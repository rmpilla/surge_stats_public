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usepa-my.sharepoint.com/personal/beaulieu_jake_epa_gov/Documents/gitRepository/surge_stats/scratch/harsha/"/>
    </mc:Choice>
  </mc:AlternateContent>
  <xr:revisionPtr revIDLastSave="39" documentId="11_89115DFCC639EFAF652BD92614396321D4315CD5" xr6:coauthVersionLast="47" xr6:coauthVersionMax="47" xr10:uidLastSave="{C24ACC97-99C5-459B-845F-EEB4C9C92026}"/>
  <bookViews>
    <workbookView xWindow="780" yWindow="2460" windowWidth="23040" windowHeight="12060" xr2:uid="{00000000-000D-0000-FFFF-FFFF00000000}"/>
  </bookViews>
  <sheets>
    <sheet name="masterDataSheet" sheetId="1" r:id="rId1"/>
    <sheet name="sensorCalcs" sheetId="3" r:id="rId2"/>
    <sheet name="sondeData" sheetId="5" r:id="rId3"/>
    <sheet name="exetainerCodes" sheetId="2" r:id="rId4"/>
    <sheet name="controlTrap" sheetId="6" r:id="rId5"/>
    <sheet name="dropdownList" sheetId="4" r:id="rId6"/>
  </sheets>
  <definedNames>
    <definedName name="_xlnm._FilterDatabase" localSheetId="3" hidden="1">exetainerCodes!$A$1:$P$1462</definedName>
    <definedName name="_xlnm._FilterDatabase" localSheetId="0" hidden="1">masterDataSheet!$A$2:$O$311</definedName>
    <definedName name="circuitNumbers">dropdownList!$A$1:$A$21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8" i="3" l="1"/>
  <c r="N311" i="1" l="1"/>
  <c r="I311" i="1"/>
  <c r="C311" i="1"/>
  <c r="J238" i="3"/>
  <c r="K238" i="3" s="1"/>
  <c r="L238" i="3"/>
  <c r="M238" i="3" s="1"/>
  <c r="N238" i="3" s="1"/>
  <c r="K309" i="1"/>
  <c r="L309" i="1"/>
  <c r="N309" i="1"/>
  <c r="C309" i="1"/>
  <c r="J236" i="3"/>
  <c r="K236" i="3" s="1"/>
  <c r="G236" i="3"/>
  <c r="I309" i="1" s="1"/>
  <c r="L236" i="3"/>
  <c r="M236" i="3" s="1"/>
  <c r="N236" i="3" s="1"/>
  <c r="O238" i="3" l="1"/>
  <c r="U238" i="3"/>
  <c r="P236" i="3"/>
  <c r="M309" i="1" s="1"/>
  <c r="P238" i="3"/>
  <c r="M311" i="1" s="1"/>
  <c r="C189" i="1"/>
  <c r="G179" i="3"/>
  <c r="C305" i="1" l="1"/>
  <c r="L232" i="3" l="1"/>
  <c r="M232" i="3" s="1"/>
  <c r="N232" i="3" s="1"/>
  <c r="L233" i="3"/>
  <c r="M233" i="3" s="1"/>
  <c r="N233" i="3" s="1"/>
  <c r="L234" i="3"/>
  <c r="M234" i="3" s="1"/>
  <c r="N234" i="3" s="1"/>
  <c r="L235" i="3"/>
  <c r="M235" i="3"/>
  <c r="N235" i="3"/>
  <c r="L237" i="3"/>
  <c r="M237" i="3"/>
  <c r="N237" i="3" s="1"/>
  <c r="R231" i="3"/>
  <c r="J231" i="3"/>
  <c r="K231" i="3" s="1"/>
  <c r="J232" i="3"/>
  <c r="K232" i="3"/>
  <c r="J233" i="3"/>
  <c r="K233" i="3" s="1"/>
  <c r="U233" i="3" s="1"/>
  <c r="J234" i="3"/>
  <c r="K234" i="3" s="1"/>
  <c r="J235" i="3"/>
  <c r="K235" i="3" s="1"/>
  <c r="K41" i="1" s="1"/>
  <c r="J237" i="3"/>
  <c r="K237" i="3" s="1"/>
  <c r="G231" i="3"/>
  <c r="I304" i="1" s="1"/>
  <c r="G232" i="3"/>
  <c r="I305" i="1" s="1"/>
  <c r="G233" i="3"/>
  <c r="I306" i="1" s="1"/>
  <c r="G234" i="3"/>
  <c r="I307" i="1" s="1"/>
  <c r="G235" i="3"/>
  <c r="I41" i="1" s="1"/>
  <c r="G237" i="3"/>
  <c r="I310" i="1" s="1"/>
  <c r="K304" i="1"/>
  <c r="L304" i="1"/>
  <c r="N304" i="1"/>
  <c r="N305" i="1"/>
  <c r="N306" i="1"/>
  <c r="N307" i="1"/>
  <c r="N41" i="1"/>
  <c r="N310" i="1"/>
  <c r="C304" i="1"/>
  <c r="C306" i="1"/>
  <c r="C307" i="1"/>
  <c r="C41" i="1"/>
  <c r="C310" i="1"/>
  <c r="J310" i="1"/>
  <c r="J307" i="1"/>
  <c r="J306" i="1"/>
  <c r="J305" i="1"/>
  <c r="J304" i="1"/>
  <c r="L231" i="3"/>
  <c r="M231" i="3" s="1"/>
  <c r="N231" i="3" s="1"/>
  <c r="O237" i="3" l="1"/>
  <c r="K310" i="1" s="1"/>
  <c r="T231" i="3"/>
  <c r="Q231" i="3"/>
  <c r="L41" i="1"/>
  <c r="P231" i="3"/>
  <c r="M304" i="1" s="1"/>
  <c r="P235" i="3"/>
  <c r="M41" i="1" s="1"/>
  <c r="O233" i="3"/>
  <c r="K306" i="1" s="1"/>
  <c r="P233" i="3"/>
  <c r="M306" i="1" s="1"/>
  <c r="L306" i="1"/>
  <c r="L305" i="1"/>
  <c r="P232" i="3"/>
  <c r="M305" i="1" s="1"/>
  <c r="K305" i="1"/>
  <c r="K307" i="1"/>
  <c r="P234" i="3"/>
  <c r="M307" i="1" s="1"/>
  <c r="L307" i="1"/>
  <c r="U237" i="3"/>
  <c r="L310" i="1" s="1"/>
  <c r="P237" i="3"/>
  <c r="M310" i="1" s="1"/>
  <c r="N296" i="1"/>
  <c r="N76" i="1"/>
  <c r="N298" i="1"/>
  <c r="N299" i="1"/>
  <c r="N300" i="1"/>
  <c r="N27" i="1"/>
  <c r="N302" i="1"/>
  <c r="N181" i="1"/>
  <c r="C296" i="1"/>
  <c r="C76" i="1"/>
  <c r="C298" i="1"/>
  <c r="C299" i="1"/>
  <c r="C300" i="1"/>
  <c r="C27" i="1"/>
  <c r="C302" i="1"/>
  <c r="C181" i="1"/>
  <c r="G225" i="3"/>
  <c r="I298" i="1" s="1"/>
  <c r="G226" i="3"/>
  <c r="Q226" i="3" s="1"/>
  <c r="G227" i="3"/>
  <c r="I300" i="1" s="1"/>
  <c r="G228" i="3"/>
  <c r="Q228" i="3" s="1"/>
  <c r="G229" i="3"/>
  <c r="Q229" i="3" s="1"/>
  <c r="G230" i="3"/>
  <c r="Q230" i="3" s="1"/>
  <c r="J223" i="3"/>
  <c r="K223" i="3" s="1"/>
  <c r="L223" i="3"/>
  <c r="M223" i="3" s="1"/>
  <c r="N223" i="3" s="1"/>
  <c r="R223" i="3"/>
  <c r="J224" i="3"/>
  <c r="K224" i="3" s="1"/>
  <c r="L224" i="3"/>
  <c r="M224" i="3" s="1"/>
  <c r="N224" i="3" s="1"/>
  <c r="R224" i="3"/>
  <c r="J225" i="3"/>
  <c r="K225" i="3" s="1"/>
  <c r="L225" i="3"/>
  <c r="M225" i="3" s="1"/>
  <c r="N225" i="3" s="1"/>
  <c r="R225" i="3"/>
  <c r="J226" i="3"/>
  <c r="K226" i="3" s="1"/>
  <c r="L226" i="3"/>
  <c r="M226" i="3" s="1"/>
  <c r="N226" i="3" s="1"/>
  <c r="R226" i="3"/>
  <c r="J227" i="3"/>
  <c r="K227" i="3" s="1"/>
  <c r="L227" i="3"/>
  <c r="M227" i="3"/>
  <c r="N227" i="3" s="1"/>
  <c r="P227" i="3" s="1"/>
  <c r="M300" i="1" s="1"/>
  <c r="R227" i="3"/>
  <c r="J228" i="3"/>
  <c r="K228" i="3" s="1"/>
  <c r="L228" i="3"/>
  <c r="M228" i="3" s="1"/>
  <c r="N228" i="3" s="1"/>
  <c r="R228" i="3"/>
  <c r="J229" i="3"/>
  <c r="K229" i="3" s="1"/>
  <c r="K302" i="1" s="1"/>
  <c r="L229" i="3"/>
  <c r="M229" i="3" s="1"/>
  <c r="N229" i="3" s="1"/>
  <c r="R229" i="3"/>
  <c r="J230" i="3"/>
  <c r="K230" i="3" s="1"/>
  <c r="L230" i="3"/>
  <c r="M230" i="3" s="1"/>
  <c r="N230" i="3" s="1"/>
  <c r="R230" i="3"/>
  <c r="G223" i="3"/>
  <c r="T223" i="3" s="1"/>
  <c r="G224" i="3"/>
  <c r="I76" i="1" s="1"/>
  <c r="O227" i="3" l="1"/>
  <c r="K300" i="1" s="1"/>
  <c r="O228" i="3"/>
  <c r="K27" i="1" s="1"/>
  <c r="P229" i="3"/>
  <c r="M302" i="1" s="1"/>
  <c r="P228" i="3"/>
  <c r="M27" i="1" s="1"/>
  <c r="P226" i="3"/>
  <c r="M299" i="1" s="1"/>
  <c r="I302" i="1"/>
  <c r="T227" i="3"/>
  <c r="Q227" i="3"/>
  <c r="I181" i="1"/>
  <c r="T229" i="3"/>
  <c r="L302" i="1"/>
  <c r="Q223" i="3"/>
  <c r="L296" i="1" s="1"/>
  <c r="I296" i="1"/>
  <c r="Q224" i="3"/>
  <c r="Q225" i="3"/>
  <c r="I27" i="1"/>
  <c r="T224" i="3"/>
  <c r="T225" i="3"/>
  <c r="T226" i="3"/>
  <c r="U226" i="3" s="1"/>
  <c r="L299" i="1" s="1"/>
  <c r="I299" i="1"/>
  <c r="T230" i="3"/>
  <c r="L181" i="1" s="1"/>
  <c r="T228" i="3"/>
  <c r="U228" i="3" s="1"/>
  <c r="L27" i="1" s="1"/>
  <c r="K296" i="1"/>
  <c r="P223" i="3"/>
  <c r="M296" i="1" s="1"/>
  <c r="K298" i="1"/>
  <c r="K181" i="1"/>
  <c r="P230" i="3"/>
  <c r="M181" i="1" s="1"/>
  <c r="P225" i="3"/>
  <c r="M298" i="1" s="1"/>
  <c r="O226" i="3"/>
  <c r="K299" i="1" s="1"/>
  <c r="O224" i="3"/>
  <c r="K76" i="1" s="1"/>
  <c r="P224" i="3"/>
  <c r="M76" i="1" s="1"/>
  <c r="F61" i="6"/>
  <c r="F60" i="6"/>
  <c r="F59" i="6"/>
  <c r="F58" i="6"/>
  <c r="F57" i="6"/>
  <c r="F56" i="6"/>
  <c r="F50" i="6"/>
  <c r="U227" i="3" l="1"/>
  <c r="L300" i="1" s="1"/>
  <c r="L298" i="1"/>
  <c r="U224" i="3"/>
  <c r="L76" i="1" s="1"/>
  <c r="J181" i="1"/>
  <c r="J302" i="1"/>
  <c r="J27" i="1"/>
  <c r="J300" i="1"/>
  <c r="J299" i="1"/>
  <c r="J298" i="1"/>
  <c r="J76" i="1"/>
  <c r="J296" i="1"/>
  <c r="N287" i="1" l="1"/>
  <c r="N156" i="1"/>
  <c r="N289" i="1"/>
  <c r="N175" i="1"/>
  <c r="N291" i="1"/>
  <c r="N292" i="1"/>
  <c r="N143" i="1"/>
  <c r="N294" i="1"/>
  <c r="N295" i="1"/>
  <c r="C287" i="1"/>
  <c r="C156" i="1"/>
  <c r="C289" i="1"/>
  <c r="C175" i="1"/>
  <c r="C291" i="1"/>
  <c r="C292" i="1"/>
  <c r="C143" i="1"/>
  <c r="C294" i="1"/>
  <c r="C295" i="1"/>
  <c r="J214" i="3"/>
  <c r="K214" i="3" s="1"/>
  <c r="L214" i="3"/>
  <c r="M214" i="3" s="1"/>
  <c r="N214" i="3" s="1"/>
  <c r="R214" i="3"/>
  <c r="J215" i="3"/>
  <c r="K215" i="3"/>
  <c r="L215" i="3"/>
  <c r="M215" i="3" s="1"/>
  <c r="N215" i="3" s="1"/>
  <c r="R215" i="3"/>
  <c r="J216" i="3"/>
  <c r="K216" i="3" s="1"/>
  <c r="L216" i="3"/>
  <c r="M216" i="3" s="1"/>
  <c r="N216" i="3" s="1"/>
  <c r="R216" i="3"/>
  <c r="J217" i="3"/>
  <c r="K217" i="3" s="1"/>
  <c r="L217" i="3"/>
  <c r="M217" i="3" s="1"/>
  <c r="N217" i="3" s="1"/>
  <c r="R217" i="3"/>
  <c r="J218" i="3"/>
  <c r="K218" i="3" s="1"/>
  <c r="L218" i="3"/>
  <c r="M218" i="3" s="1"/>
  <c r="N218" i="3" s="1"/>
  <c r="R218" i="3"/>
  <c r="J219" i="3"/>
  <c r="K219" i="3" s="1"/>
  <c r="K292" i="1" s="1"/>
  <c r="L219" i="3"/>
  <c r="M219" i="3" s="1"/>
  <c r="N219" i="3" s="1"/>
  <c r="R219" i="3"/>
  <c r="J220" i="3"/>
  <c r="K220" i="3" s="1"/>
  <c r="L220" i="3"/>
  <c r="M220" i="3" s="1"/>
  <c r="N220" i="3" s="1"/>
  <c r="R220" i="3"/>
  <c r="J221" i="3"/>
  <c r="K221" i="3" s="1"/>
  <c r="L221" i="3"/>
  <c r="M221" i="3" s="1"/>
  <c r="N221" i="3" s="1"/>
  <c r="R221" i="3"/>
  <c r="J222" i="3"/>
  <c r="K222" i="3" s="1"/>
  <c r="L222" i="3"/>
  <c r="M222" i="3" s="1"/>
  <c r="N222" i="3" s="1"/>
  <c r="P222" i="3" s="1"/>
  <c r="M295" i="1" s="1"/>
  <c r="R222" i="3"/>
  <c r="G215" i="3"/>
  <c r="I156" i="1" s="1"/>
  <c r="G216" i="3"/>
  <c r="Q216" i="3" s="1"/>
  <c r="G217" i="3"/>
  <c r="Q217" i="3" s="1"/>
  <c r="G218" i="3"/>
  <c r="T218" i="3" s="1"/>
  <c r="G219" i="3"/>
  <c r="Q219" i="3" s="1"/>
  <c r="G220" i="3"/>
  <c r="Q220" i="3" s="1"/>
  <c r="G221" i="3"/>
  <c r="T221" i="3" s="1"/>
  <c r="G222" i="3"/>
  <c r="I295" i="1" s="1"/>
  <c r="G214" i="3"/>
  <c r="Q214" i="3" s="1"/>
  <c r="J295" i="1"/>
  <c r="J294" i="1"/>
  <c r="J143" i="1"/>
  <c r="J292" i="1"/>
  <c r="J289" i="1"/>
  <c r="J156" i="1"/>
  <c r="J287" i="1"/>
  <c r="O218" i="3" l="1"/>
  <c r="K291" i="1" s="1"/>
  <c r="T217" i="3"/>
  <c r="U217" i="3" s="1"/>
  <c r="L175" i="1" s="1"/>
  <c r="I175" i="1"/>
  <c r="P221" i="3"/>
  <c r="M294" i="1" s="1"/>
  <c r="P219" i="3"/>
  <c r="I287" i="1"/>
  <c r="T214" i="3"/>
  <c r="M292" i="1"/>
  <c r="O222" i="3"/>
  <c r="K295" i="1" s="1"/>
  <c r="P218" i="3"/>
  <c r="M291" i="1" s="1"/>
  <c r="T222" i="3"/>
  <c r="Q222" i="3"/>
  <c r="I294" i="1"/>
  <c r="Q221" i="3"/>
  <c r="U221" i="3" s="1"/>
  <c r="L294" i="1" s="1"/>
  <c r="I143" i="1"/>
  <c r="T220" i="3"/>
  <c r="U220" i="3" s="1"/>
  <c r="L143" i="1" s="1"/>
  <c r="T219" i="3"/>
  <c r="L292" i="1" s="1"/>
  <c r="I292" i="1"/>
  <c r="Q218" i="3"/>
  <c r="U218" i="3" s="1"/>
  <c r="L291" i="1" s="1"/>
  <c r="I291" i="1"/>
  <c r="I289" i="1"/>
  <c r="T216" i="3"/>
  <c r="L289" i="1" s="1"/>
  <c r="T215" i="3"/>
  <c r="Q215" i="3"/>
  <c r="O220" i="3"/>
  <c r="K143" i="1" s="1"/>
  <c r="O215" i="3"/>
  <c r="K156" i="1" s="1"/>
  <c r="K289" i="1"/>
  <c r="P216" i="3"/>
  <c r="M289" i="1" s="1"/>
  <c r="O221" i="3"/>
  <c r="K294" i="1" s="1"/>
  <c r="P217" i="3"/>
  <c r="M175" i="1" s="1"/>
  <c r="O217" i="3"/>
  <c r="K175" i="1" s="1"/>
  <c r="P220" i="3"/>
  <c r="M143" i="1" s="1"/>
  <c r="P215" i="3"/>
  <c r="M156" i="1" s="1"/>
  <c r="L287" i="1"/>
  <c r="K287" i="1"/>
  <c r="P214" i="3"/>
  <c r="M287" i="1" s="1"/>
  <c r="C269" i="1"/>
  <c r="U215" i="3" l="1"/>
  <c r="L156" i="1" s="1"/>
  <c r="U222" i="3"/>
  <c r="L295" i="1" s="1"/>
  <c r="F55" i="6"/>
  <c r="F54" i="6"/>
  <c r="F53" i="6"/>
  <c r="F52" i="6"/>
  <c r="F51" i="6"/>
  <c r="C165" i="1" l="1"/>
  <c r="C284" i="1"/>
  <c r="C280" i="1"/>
  <c r="G205" i="3"/>
  <c r="Q205" i="3" s="1"/>
  <c r="G206" i="3"/>
  <c r="T206" i="3" s="1"/>
  <c r="G207" i="3"/>
  <c r="T207" i="3" s="1"/>
  <c r="G208" i="3"/>
  <c r="T208" i="3" s="1"/>
  <c r="G209" i="3"/>
  <c r="Q209" i="3" s="1"/>
  <c r="G210" i="3"/>
  <c r="T210" i="3" s="1"/>
  <c r="G211" i="3"/>
  <c r="T211" i="3" s="1"/>
  <c r="G212" i="3"/>
  <c r="T212" i="3" s="1"/>
  <c r="G213" i="3"/>
  <c r="I286" i="1" s="1"/>
  <c r="J206" i="3"/>
  <c r="L206" i="3"/>
  <c r="M206" i="3" s="1"/>
  <c r="N206" i="3" s="1"/>
  <c r="R206" i="3"/>
  <c r="J207" i="3"/>
  <c r="L207" i="3"/>
  <c r="M207" i="3" s="1"/>
  <c r="N207" i="3" s="1"/>
  <c r="R207" i="3"/>
  <c r="J208" i="3"/>
  <c r="L208" i="3"/>
  <c r="M208" i="3" s="1"/>
  <c r="N208" i="3" s="1"/>
  <c r="R208" i="3"/>
  <c r="J209" i="3"/>
  <c r="K209" i="3" s="1"/>
  <c r="L209" i="3"/>
  <c r="M209" i="3" s="1"/>
  <c r="N209" i="3" s="1"/>
  <c r="R209" i="3"/>
  <c r="J210" i="3"/>
  <c r="K210" i="3" s="1"/>
  <c r="L210" i="3"/>
  <c r="M210" i="3"/>
  <c r="N210" i="3" s="1"/>
  <c r="R210" i="3"/>
  <c r="J211" i="3"/>
  <c r="K211" i="3" s="1"/>
  <c r="L211" i="3"/>
  <c r="M211" i="3" s="1"/>
  <c r="N211" i="3" s="1"/>
  <c r="R211" i="3"/>
  <c r="J212" i="3"/>
  <c r="K212" i="3"/>
  <c r="L212" i="3"/>
  <c r="M212" i="3" s="1"/>
  <c r="N212" i="3" s="1"/>
  <c r="R212" i="3"/>
  <c r="J213" i="3"/>
  <c r="K213" i="3" s="1"/>
  <c r="L213" i="3"/>
  <c r="M213" i="3" s="1"/>
  <c r="N213" i="3" s="1"/>
  <c r="R213" i="3"/>
  <c r="N278" i="1"/>
  <c r="N48" i="1"/>
  <c r="N280" i="1"/>
  <c r="N281" i="1"/>
  <c r="N282" i="1"/>
  <c r="N308" i="1"/>
  <c r="N284" i="1"/>
  <c r="N165" i="1"/>
  <c r="N286" i="1"/>
  <c r="C278" i="1"/>
  <c r="C48" i="1"/>
  <c r="C281" i="1"/>
  <c r="C282" i="1"/>
  <c r="C308" i="1"/>
  <c r="C286" i="1"/>
  <c r="J205" i="3"/>
  <c r="K205" i="3" s="1"/>
  <c r="L205" i="3"/>
  <c r="M205" i="3" s="1"/>
  <c r="N205" i="3" s="1"/>
  <c r="R205" i="3"/>
  <c r="J286" i="1"/>
  <c r="J165" i="1"/>
  <c r="J284" i="1"/>
  <c r="J282" i="1"/>
  <c r="J280" i="1"/>
  <c r="J48" i="1"/>
  <c r="J278" i="1"/>
  <c r="C274" i="1"/>
  <c r="P209" i="3" l="1"/>
  <c r="M282" i="1" s="1"/>
  <c r="P206" i="3"/>
  <c r="M48" i="1" s="1"/>
  <c r="P212" i="3"/>
  <c r="M165" i="1" s="1"/>
  <c r="O209" i="3"/>
  <c r="K282" i="1" s="1"/>
  <c r="K206" i="3"/>
  <c r="O206" i="3" s="1"/>
  <c r="K48" i="1" s="1"/>
  <c r="P207" i="3"/>
  <c r="M280" i="1" s="1"/>
  <c r="O212" i="3"/>
  <c r="K165" i="1" s="1"/>
  <c r="O211" i="3"/>
  <c r="K284" i="1" s="1"/>
  <c r="P208" i="3"/>
  <c r="M281" i="1" s="1"/>
  <c r="K207" i="3"/>
  <c r="O207" i="3" s="1"/>
  <c r="K280" i="1" s="1"/>
  <c r="T213" i="3"/>
  <c r="Q212" i="3"/>
  <c r="U212" i="3" s="1"/>
  <c r="L165" i="1" s="1"/>
  <c r="Q211" i="3"/>
  <c r="U211" i="3" s="1"/>
  <c r="L284" i="1" s="1"/>
  <c r="Q210" i="3"/>
  <c r="U210" i="3" s="1"/>
  <c r="L308" i="1" s="1"/>
  <c r="T209" i="3"/>
  <c r="U209" i="3" s="1"/>
  <c r="L282" i="1" s="1"/>
  <c r="Q208" i="3"/>
  <c r="I281" i="1"/>
  <c r="K208" i="3"/>
  <c r="O208" i="3" s="1"/>
  <c r="K281" i="1" s="1"/>
  <c r="I280" i="1"/>
  <c r="Q207" i="3"/>
  <c r="Q206" i="3"/>
  <c r="U206" i="3" s="1"/>
  <c r="L48" i="1" s="1"/>
  <c r="I48" i="1"/>
  <c r="Q213" i="3"/>
  <c r="I278" i="1"/>
  <c r="T205" i="3"/>
  <c r="I165" i="1"/>
  <c r="I284" i="1"/>
  <c r="I308" i="1"/>
  <c r="I282" i="1"/>
  <c r="O210" i="3"/>
  <c r="K308" i="1" s="1"/>
  <c r="O213" i="3"/>
  <c r="K286" i="1" s="1"/>
  <c r="P210" i="3"/>
  <c r="M308" i="1" s="1"/>
  <c r="P213" i="3"/>
  <c r="M286" i="1" s="1"/>
  <c r="P211" i="3"/>
  <c r="M284" i="1" s="1"/>
  <c r="O205" i="3"/>
  <c r="K278" i="1" s="1"/>
  <c r="U205" i="3"/>
  <c r="L278" i="1" s="1"/>
  <c r="P205" i="3"/>
  <c r="M278" i="1" s="1"/>
  <c r="C277" i="1"/>
  <c r="G204" i="3"/>
  <c r="Q204" i="3" s="1"/>
  <c r="C276" i="1"/>
  <c r="G203" i="3"/>
  <c r="T203" i="3" s="1"/>
  <c r="C301" i="1"/>
  <c r="G202" i="3"/>
  <c r="T202" i="3" s="1"/>
  <c r="G201" i="3"/>
  <c r="Q201" i="3" s="1"/>
  <c r="C273" i="1"/>
  <c r="J201" i="3"/>
  <c r="K201" i="3" s="1"/>
  <c r="L201" i="3"/>
  <c r="M201" i="3" s="1"/>
  <c r="N201" i="3" s="1"/>
  <c r="R201" i="3"/>
  <c r="J202" i="3"/>
  <c r="K202" i="3" s="1"/>
  <c r="L202" i="3"/>
  <c r="M202" i="3" s="1"/>
  <c r="N202" i="3" s="1"/>
  <c r="R202" i="3"/>
  <c r="J203" i="3"/>
  <c r="K203" i="3" s="1"/>
  <c r="L203" i="3"/>
  <c r="M203" i="3" s="1"/>
  <c r="N203" i="3" s="1"/>
  <c r="R203" i="3"/>
  <c r="J204" i="3"/>
  <c r="K204" i="3"/>
  <c r="L204" i="3"/>
  <c r="M204" i="3" s="1"/>
  <c r="N204" i="3" s="1"/>
  <c r="R204" i="3"/>
  <c r="J200" i="3"/>
  <c r="K200" i="3" s="1"/>
  <c r="L200" i="3"/>
  <c r="M200" i="3" s="1"/>
  <c r="N200" i="3" s="1"/>
  <c r="R200" i="3"/>
  <c r="G200" i="3"/>
  <c r="T200" i="3" s="1"/>
  <c r="C187" i="1"/>
  <c r="J199" i="3"/>
  <c r="K199" i="3"/>
  <c r="L199" i="3"/>
  <c r="M199" i="3" s="1"/>
  <c r="N199" i="3" s="1"/>
  <c r="R199" i="3"/>
  <c r="G199" i="3"/>
  <c r="T199" i="3" s="1"/>
  <c r="C271" i="1"/>
  <c r="J198" i="3"/>
  <c r="K198" i="3" s="1"/>
  <c r="L198" i="3"/>
  <c r="M198" i="3" s="1"/>
  <c r="N198" i="3" s="1"/>
  <c r="R198" i="3"/>
  <c r="G198" i="3"/>
  <c r="T198" i="3" s="1"/>
  <c r="N271" i="1"/>
  <c r="N187" i="1"/>
  <c r="N273" i="1"/>
  <c r="N274" i="1"/>
  <c r="N301" i="1"/>
  <c r="N276" i="1"/>
  <c r="N277" i="1"/>
  <c r="N269" i="1"/>
  <c r="N21" i="1"/>
  <c r="C21" i="1"/>
  <c r="J197" i="3"/>
  <c r="K197" i="3"/>
  <c r="L197" i="3"/>
  <c r="M197" i="3" s="1"/>
  <c r="N197" i="3" s="1"/>
  <c r="R197" i="3"/>
  <c r="G197" i="3"/>
  <c r="T197" i="3" s="1"/>
  <c r="J196" i="3"/>
  <c r="L196" i="3"/>
  <c r="M196" i="3"/>
  <c r="N196" i="3"/>
  <c r="R196" i="3"/>
  <c r="G196" i="3"/>
  <c r="I269" i="1" s="1"/>
  <c r="P196" i="3" l="1"/>
  <c r="M269" i="1" s="1"/>
  <c r="Q200" i="3"/>
  <c r="K196" i="3"/>
  <c r="O196" i="3" s="1"/>
  <c r="K269" i="1" s="1"/>
  <c r="Q199" i="3"/>
  <c r="P204" i="3"/>
  <c r="M277" i="1" s="1"/>
  <c r="Q197" i="3"/>
  <c r="Q198" i="3"/>
  <c r="U198" i="3" s="1"/>
  <c r="L271" i="1" s="1"/>
  <c r="P199" i="3"/>
  <c r="M187" i="1" s="1"/>
  <c r="T196" i="3"/>
  <c r="P202" i="3"/>
  <c r="M301" i="1" s="1"/>
  <c r="O197" i="3"/>
  <c r="K21" i="1" s="1"/>
  <c r="P197" i="3"/>
  <c r="M21" i="1" s="1"/>
  <c r="I21" i="1"/>
  <c r="O204" i="3"/>
  <c r="K277" i="1" s="1"/>
  <c r="O200" i="3"/>
  <c r="K273" i="1" s="1"/>
  <c r="O202" i="3"/>
  <c r="K301" i="1" s="1"/>
  <c r="Q196" i="3"/>
  <c r="U196" i="3" s="1"/>
  <c r="L269" i="1" s="1"/>
  <c r="P201" i="3"/>
  <c r="M274" i="1" s="1"/>
  <c r="U207" i="3"/>
  <c r="L280" i="1" s="1"/>
  <c r="U213" i="3"/>
  <c r="L286" i="1" s="1"/>
  <c r="U208" i="3"/>
  <c r="L281" i="1" s="1"/>
  <c r="U197" i="3"/>
  <c r="L21" i="1" s="1"/>
  <c r="U199" i="3"/>
  <c r="L187" i="1" s="1"/>
  <c r="U200" i="3"/>
  <c r="L273" i="1" s="1"/>
  <c r="I277" i="1"/>
  <c r="T204" i="3"/>
  <c r="U204" i="3" s="1"/>
  <c r="L277" i="1" s="1"/>
  <c r="Q203" i="3"/>
  <c r="I276" i="1"/>
  <c r="Q202" i="3"/>
  <c r="U202" i="3"/>
  <c r="L301" i="1" s="1"/>
  <c r="I301" i="1"/>
  <c r="I274" i="1"/>
  <c r="T201" i="3"/>
  <c r="U201" i="3" s="1"/>
  <c r="L274" i="1" s="1"/>
  <c r="O203" i="3"/>
  <c r="K276" i="1" s="1"/>
  <c r="P203" i="3"/>
  <c r="M276" i="1" s="1"/>
  <c r="U203" i="3"/>
  <c r="L276" i="1" s="1"/>
  <c r="O201" i="3"/>
  <c r="K274" i="1" s="1"/>
  <c r="P200" i="3"/>
  <c r="M273" i="1" s="1"/>
  <c r="I273" i="1"/>
  <c r="O199" i="3"/>
  <c r="K187" i="1" s="1"/>
  <c r="I187" i="1"/>
  <c r="P198" i="3"/>
  <c r="M271" i="1" s="1"/>
  <c r="O198" i="3"/>
  <c r="K271" i="1" s="1"/>
  <c r="I271" i="1"/>
  <c r="F30" i="6"/>
  <c r="F31" i="6"/>
  <c r="F29" i="6"/>
  <c r="F36" i="6"/>
  <c r="F37" i="6"/>
  <c r="F35" i="6"/>
  <c r="F42" i="6"/>
  <c r="F43" i="6"/>
  <c r="F41" i="6"/>
  <c r="J277" i="1"/>
  <c r="J276" i="1" l="1"/>
  <c r="J301" i="1"/>
  <c r="J274" i="1"/>
  <c r="J273" i="1"/>
  <c r="J187" i="1"/>
  <c r="J271" i="1"/>
  <c r="J21" i="1"/>
  <c r="J269" i="1"/>
  <c r="F49" i="6"/>
  <c r="F48" i="6"/>
  <c r="F47" i="6"/>
  <c r="F46" i="6"/>
  <c r="F45" i="6"/>
  <c r="F44" i="6"/>
  <c r="G195" i="3" l="1"/>
  <c r="Q195" i="3" s="1"/>
  <c r="G194" i="3"/>
  <c r="T194" i="3" s="1"/>
  <c r="G193" i="3"/>
  <c r="Q193" i="3" s="1"/>
  <c r="G192" i="3"/>
  <c r="I153" i="1" s="1"/>
  <c r="G191" i="3"/>
  <c r="Q191" i="3" s="1"/>
  <c r="G190" i="3"/>
  <c r="T190" i="3" s="1"/>
  <c r="G189" i="3"/>
  <c r="I262" i="1" s="1"/>
  <c r="J188" i="3"/>
  <c r="K188" i="3" s="1"/>
  <c r="L188" i="3"/>
  <c r="M188" i="3" s="1"/>
  <c r="N188" i="3" s="1"/>
  <c r="R188" i="3"/>
  <c r="J189" i="3"/>
  <c r="L189" i="3"/>
  <c r="M189" i="3" s="1"/>
  <c r="N189" i="3" s="1"/>
  <c r="R189" i="3"/>
  <c r="J190" i="3"/>
  <c r="K190" i="3" s="1"/>
  <c r="L190" i="3"/>
  <c r="M190" i="3" s="1"/>
  <c r="N190" i="3" s="1"/>
  <c r="R190" i="3"/>
  <c r="J191" i="3"/>
  <c r="K191" i="3" s="1"/>
  <c r="L191" i="3"/>
  <c r="M191" i="3"/>
  <c r="N191" i="3" s="1"/>
  <c r="R191" i="3"/>
  <c r="J192" i="3"/>
  <c r="K192" i="3" s="1"/>
  <c r="L192" i="3"/>
  <c r="M192" i="3" s="1"/>
  <c r="N192" i="3" s="1"/>
  <c r="R192" i="3"/>
  <c r="J193" i="3"/>
  <c r="L193" i="3"/>
  <c r="M193" i="3" s="1"/>
  <c r="N193" i="3" s="1"/>
  <c r="R193" i="3"/>
  <c r="J194" i="3"/>
  <c r="K194" i="3" s="1"/>
  <c r="L194" i="3"/>
  <c r="M194" i="3"/>
  <c r="N194" i="3"/>
  <c r="R194" i="3"/>
  <c r="J195" i="3"/>
  <c r="K195" i="3" s="1"/>
  <c r="L195" i="3"/>
  <c r="M195" i="3" s="1"/>
  <c r="N195" i="3" s="1"/>
  <c r="R195" i="3"/>
  <c r="G188" i="3"/>
  <c r="I101" i="1" s="1"/>
  <c r="N260" i="1"/>
  <c r="N101" i="1"/>
  <c r="N262" i="1"/>
  <c r="N263" i="1"/>
  <c r="N264" i="1"/>
  <c r="N153" i="1"/>
  <c r="N266" i="1"/>
  <c r="N148" i="1"/>
  <c r="N268" i="1"/>
  <c r="C260" i="1"/>
  <c r="C101" i="1"/>
  <c r="C262" i="1"/>
  <c r="C263" i="1"/>
  <c r="C264" i="1"/>
  <c r="C153" i="1"/>
  <c r="C266" i="1"/>
  <c r="C148" i="1"/>
  <c r="C268" i="1"/>
  <c r="J187" i="3"/>
  <c r="K187" i="3" s="1"/>
  <c r="L187" i="3"/>
  <c r="M187" i="3" s="1"/>
  <c r="N187" i="3" s="1"/>
  <c r="R187" i="3"/>
  <c r="G187" i="3"/>
  <c r="I260" i="1" s="1"/>
  <c r="T187" i="3" l="1"/>
  <c r="Q187" i="3"/>
  <c r="O188" i="3"/>
  <c r="K101" i="1" s="1"/>
  <c r="O192" i="3"/>
  <c r="K153" i="1" s="1"/>
  <c r="P193" i="3"/>
  <c r="M266" i="1" s="1"/>
  <c r="P189" i="3"/>
  <c r="M262" i="1" s="1"/>
  <c r="T188" i="3"/>
  <c r="I263" i="1"/>
  <c r="P192" i="3"/>
  <c r="M153" i="1" s="1"/>
  <c r="Q188" i="3"/>
  <c r="O191" i="3"/>
  <c r="K264" i="1" s="1"/>
  <c r="O187" i="3"/>
  <c r="K260" i="1" s="1"/>
  <c r="T195" i="3"/>
  <c r="U195" i="3" s="1"/>
  <c r="L268" i="1" s="1"/>
  <c r="I268" i="1"/>
  <c r="Q194" i="3"/>
  <c r="U194" i="3" s="1"/>
  <c r="L148" i="1" s="1"/>
  <c r="I148" i="1"/>
  <c r="I266" i="1"/>
  <c r="T193" i="3"/>
  <c r="P194" i="3"/>
  <c r="M148" i="1" s="1"/>
  <c r="K193" i="3"/>
  <c r="O193" i="3" s="1"/>
  <c r="K266" i="1" s="1"/>
  <c r="T192" i="3"/>
  <c r="Q192" i="3"/>
  <c r="T191" i="3"/>
  <c r="U191" i="3" s="1"/>
  <c r="L264" i="1" s="1"/>
  <c r="I264" i="1"/>
  <c r="P191" i="3"/>
  <c r="M264" i="1" s="1"/>
  <c r="Q190" i="3"/>
  <c r="U190" i="3" s="1"/>
  <c r="L263" i="1" s="1"/>
  <c r="T189" i="3"/>
  <c r="Q189" i="3"/>
  <c r="K189" i="3"/>
  <c r="O189" i="3" s="1"/>
  <c r="K262" i="1" s="1"/>
  <c r="O195" i="3"/>
  <c r="K268" i="1" s="1"/>
  <c r="O194" i="3"/>
  <c r="K148" i="1" s="1"/>
  <c r="O190" i="3"/>
  <c r="K263" i="1" s="1"/>
  <c r="P190" i="3"/>
  <c r="M263" i="1" s="1"/>
  <c r="P195" i="3"/>
  <c r="M268" i="1" s="1"/>
  <c r="P188" i="3"/>
  <c r="M101" i="1" s="1"/>
  <c r="U187" i="3"/>
  <c r="L260" i="1" s="1"/>
  <c r="P187" i="3"/>
  <c r="M260" i="1" s="1"/>
  <c r="J268" i="1"/>
  <c r="J148" i="1"/>
  <c r="J266" i="1"/>
  <c r="J153" i="1"/>
  <c r="J264" i="1"/>
  <c r="J263" i="1"/>
  <c r="J262" i="1"/>
  <c r="J260" i="1"/>
  <c r="F40" i="6"/>
  <c r="F39" i="6"/>
  <c r="F38" i="6"/>
  <c r="F34" i="6"/>
  <c r="F33" i="6"/>
  <c r="F32" i="6"/>
  <c r="U188" i="3" l="1"/>
  <c r="L101" i="1" s="1"/>
  <c r="U192" i="3"/>
  <c r="L153" i="1" s="1"/>
  <c r="U193" i="3"/>
  <c r="L266" i="1" s="1"/>
  <c r="U189" i="3"/>
  <c r="L262" i="1" s="1"/>
  <c r="F28" i="6"/>
  <c r="F27" i="6"/>
  <c r="F26" i="6"/>
  <c r="F18" i="6" l="1"/>
  <c r="F19" i="6"/>
  <c r="F17" i="6"/>
  <c r="F15" i="6"/>
  <c r="F16" i="6"/>
  <c r="F14" i="6"/>
  <c r="F13" i="6"/>
  <c r="F12" i="6"/>
  <c r="F11" i="6"/>
  <c r="F10" i="6"/>
  <c r="F9" i="6"/>
  <c r="F8" i="6"/>
  <c r="F7" i="6"/>
  <c r="F6" i="6"/>
  <c r="F5" i="6"/>
  <c r="F3" i="6"/>
  <c r="F4" i="6"/>
  <c r="F2" i="6"/>
  <c r="F25" i="6"/>
  <c r="F24" i="6"/>
  <c r="F23" i="6"/>
  <c r="F22" i="6"/>
  <c r="F21" i="6"/>
  <c r="F20" i="6"/>
  <c r="G186" i="3" l="1"/>
  <c r="Q186" i="3" s="1"/>
  <c r="G185" i="3"/>
  <c r="I133" i="1" s="1"/>
  <c r="N257" i="1"/>
  <c r="N133" i="1"/>
  <c r="N259" i="1"/>
  <c r="L184" i="3"/>
  <c r="M184" i="3" s="1"/>
  <c r="N184" i="3" s="1"/>
  <c r="R184" i="3"/>
  <c r="L185" i="3"/>
  <c r="M185" i="3" s="1"/>
  <c r="N185" i="3" s="1"/>
  <c r="R185" i="3"/>
  <c r="L186" i="3"/>
  <c r="M186" i="3" s="1"/>
  <c r="N186" i="3" s="1"/>
  <c r="R186" i="3"/>
  <c r="J184" i="3"/>
  <c r="K184" i="3" s="1"/>
  <c r="J185" i="3"/>
  <c r="K185" i="3" s="1"/>
  <c r="J186" i="3"/>
  <c r="K186" i="3" s="1"/>
  <c r="G184" i="3"/>
  <c r="I257" i="1" s="1"/>
  <c r="J259" i="1"/>
  <c r="J133" i="1"/>
  <c r="J257" i="1"/>
  <c r="C257" i="1"/>
  <c r="C133" i="1"/>
  <c r="C259" i="1"/>
  <c r="I259" i="1" l="1"/>
  <c r="T186" i="3"/>
  <c r="U186" i="3" s="1"/>
  <c r="L259" i="1" s="1"/>
  <c r="Q185" i="3"/>
  <c r="T185" i="3"/>
  <c r="T184" i="3"/>
  <c r="Q184" i="3"/>
  <c r="O186" i="3"/>
  <c r="K259" i="1" s="1"/>
  <c r="P186" i="3"/>
  <c r="M259" i="1" s="1"/>
  <c r="O184" i="3"/>
  <c r="K257" i="1" s="1"/>
  <c r="P184" i="3"/>
  <c r="M257" i="1" s="1"/>
  <c r="O185" i="3"/>
  <c r="K133" i="1" s="1"/>
  <c r="P185" i="3"/>
  <c r="M133" i="1" s="1"/>
  <c r="G183" i="3"/>
  <c r="Q183" i="3" s="1"/>
  <c r="G182" i="3"/>
  <c r="T182" i="3" s="1"/>
  <c r="G181" i="3"/>
  <c r="Q181" i="3" s="1"/>
  <c r="Q179" i="3"/>
  <c r="R179" i="3"/>
  <c r="T179" i="3"/>
  <c r="R180" i="3"/>
  <c r="R181" i="3"/>
  <c r="R182" i="3"/>
  <c r="R183" i="3"/>
  <c r="J181" i="3"/>
  <c r="K181" i="3" s="1"/>
  <c r="J182" i="3"/>
  <c r="K182" i="3" s="1"/>
  <c r="J183" i="3"/>
  <c r="J179" i="3"/>
  <c r="K179" i="3" s="1"/>
  <c r="O179" i="3" s="1"/>
  <c r="K189" i="1" s="1"/>
  <c r="J180" i="3"/>
  <c r="K180" i="3" s="1"/>
  <c r="O180" i="3" s="1"/>
  <c r="K253" i="1" s="1"/>
  <c r="G180" i="3"/>
  <c r="I253" i="1" s="1"/>
  <c r="C253" i="1"/>
  <c r="C254" i="1"/>
  <c r="C255" i="1"/>
  <c r="C303" i="1"/>
  <c r="C251" i="1"/>
  <c r="J303" i="1"/>
  <c r="J255" i="1"/>
  <c r="J254" i="1"/>
  <c r="J253" i="1"/>
  <c r="J189" i="1"/>
  <c r="J251" i="1"/>
  <c r="N251" i="1"/>
  <c r="N189" i="1"/>
  <c r="N253" i="1"/>
  <c r="N254" i="1"/>
  <c r="N255" i="1"/>
  <c r="N303" i="1"/>
  <c r="I189" i="1"/>
  <c r="R178" i="3"/>
  <c r="J178" i="3"/>
  <c r="K178" i="3" s="1"/>
  <c r="G178" i="3"/>
  <c r="Q178" i="3" s="1"/>
  <c r="L183" i="3"/>
  <c r="M183" i="3" s="1"/>
  <c r="N183" i="3" s="1"/>
  <c r="L182" i="3"/>
  <c r="M182" i="3" s="1"/>
  <c r="N182" i="3" s="1"/>
  <c r="L181" i="3"/>
  <c r="M181" i="3" s="1"/>
  <c r="N181" i="3" s="1"/>
  <c r="L180" i="3"/>
  <c r="M180" i="3" s="1"/>
  <c r="N180" i="3" s="1"/>
  <c r="L179" i="3"/>
  <c r="M179" i="3" s="1"/>
  <c r="N179" i="3" s="1"/>
  <c r="L178" i="3"/>
  <c r="M178" i="3" s="1"/>
  <c r="N178" i="3" s="1"/>
  <c r="N250" i="1"/>
  <c r="R177" i="3"/>
  <c r="J177" i="3"/>
  <c r="K177" i="3" s="1"/>
  <c r="C250" i="1"/>
  <c r="G177" i="3"/>
  <c r="T177" i="3" s="1"/>
  <c r="N140" i="1"/>
  <c r="C140" i="1"/>
  <c r="R176" i="3"/>
  <c r="J176" i="3"/>
  <c r="K176" i="3" s="1"/>
  <c r="G176" i="3"/>
  <c r="I140" i="1" s="1"/>
  <c r="N248" i="1"/>
  <c r="C248" i="1"/>
  <c r="R175" i="3"/>
  <c r="J175" i="3"/>
  <c r="K175" i="3" s="1"/>
  <c r="G175" i="3"/>
  <c r="Q175" i="3" s="1"/>
  <c r="Q177" i="3" l="1"/>
  <c r="Q176" i="3"/>
  <c r="I250" i="1"/>
  <c r="T176" i="3"/>
  <c r="P179" i="3"/>
  <c r="M189" i="1" s="1"/>
  <c r="O178" i="3"/>
  <c r="K251" i="1" s="1"/>
  <c r="P180" i="3"/>
  <c r="M253" i="1" s="1"/>
  <c r="U179" i="3"/>
  <c r="L189" i="1" s="1"/>
  <c r="O181" i="3"/>
  <c r="K254" i="1" s="1"/>
  <c r="U184" i="3"/>
  <c r="L257" i="1" s="1"/>
  <c r="T175" i="3"/>
  <c r="P181" i="3"/>
  <c r="M254" i="1" s="1"/>
  <c r="P183" i="3"/>
  <c r="M303" i="1" s="1"/>
  <c r="T180" i="3"/>
  <c r="U185" i="3"/>
  <c r="L133" i="1" s="1"/>
  <c r="I248" i="1"/>
  <c r="I251" i="1"/>
  <c r="T178" i="3"/>
  <c r="U178" i="3" s="1"/>
  <c r="L251" i="1" s="1"/>
  <c r="O182" i="3"/>
  <c r="K255" i="1" s="1"/>
  <c r="P178" i="3"/>
  <c r="M251" i="1" s="1"/>
  <c r="Q180" i="3"/>
  <c r="K183" i="3"/>
  <c r="O183" i="3" s="1"/>
  <c r="K303" i="1" s="1"/>
  <c r="I303" i="1"/>
  <c r="T183" i="3"/>
  <c r="I255" i="1"/>
  <c r="Q182" i="3"/>
  <c r="U182" i="3" s="1"/>
  <c r="L255" i="1" s="1"/>
  <c r="I254" i="1"/>
  <c r="T181" i="3"/>
  <c r="U181" i="3" s="1"/>
  <c r="L254" i="1" s="1"/>
  <c r="P182" i="3"/>
  <c r="M255" i="1" s="1"/>
  <c r="J145" i="3"/>
  <c r="L145" i="3"/>
  <c r="M145" i="3" s="1"/>
  <c r="N145" i="3" s="1"/>
  <c r="N275" i="1"/>
  <c r="C275" i="1"/>
  <c r="R130" i="3"/>
  <c r="J130" i="3"/>
  <c r="K130" i="3" s="1"/>
  <c r="G130" i="3"/>
  <c r="T130" i="3" s="1"/>
  <c r="L130" i="3"/>
  <c r="M130" i="3" s="1"/>
  <c r="N130" i="3" s="1"/>
  <c r="P130" i="3" s="1"/>
  <c r="M275" i="1" s="1"/>
  <c r="C137" i="1"/>
  <c r="I137" i="1"/>
  <c r="L136" i="3"/>
  <c r="M136" i="3" s="1"/>
  <c r="N136" i="3" s="1"/>
  <c r="J136" i="3"/>
  <c r="T136" i="3"/>
  <c r="N293" i="1"/>
  <c r="C293" i="1"/>
  <c r="R158" i="3"/>
  <c r="J158" i="3"/>
  <c r="K158" i="3" s="1"/>
  <c r="G158" i="3"/>
  <c r="T158" i="3" s="1"/>
  <c r="U180" i="3" l="1"/>
  <c r="L253" i="1" s="1"/>
  <c r="Q130" i="3"/>
  <c r="U130" i="3" s="1"/>
  <c r="L275" i="1" s="1"/>
  <c r="U183" i="3"/>
  <c r="L303" i="1" s="1"/>
  <c r="I293" i="1"/>
  <c r="O130" i="3"/>
  <c r="K275" i="1" s="1"/>
  <c r="Q158" i="3"/>
  <c r="I275" i="1"/>
  <c r="Q136" i="3"/>
  <c r="N163" i="1"/>
  <c r="C163" i="1"/>
  <c r="N245" i="1"/>
  <c r="N246" i="1"/>
  <c r="C245" i="1"/>
  <c r="C246" i="1"/>
  <c r="R174" i="3"/>
  <c r="J174" i="3"/>
  <c r="K174" i="3" s="1"/>
  <c r="G174" i="3"/>
  <c r="I163" i="1" s="1"/>
  <c r="R173" i="3"/>
  <c r="J173" i="3"/>
  <c r="K173" i="3" s="1"/>
  <c r="G173" i="3"/>
  <c r="Q173" i="3" s="1"/>
  <c r="R172" i="3"/>
  <c r="J172" i="3"/>
  <c r="K172" i="3" s="1"/>
  <c r="G172" i="3"/>
  <c r="Q172" i="3" s="1"/>
  <c r="N244" i="1"/>
  <c r="C244" i="1"/>
  <c r="R171" i="3"/>
  <c r="J171" i="3"/>
  <c r="K171" i="3" s="1"/>
  <c r="G171" i="3"/>
  <c r="Q171" i="3" s="1"/>
  <c r="N135" i="1"/>
  <c r="C135" i="1"/>
  <c r="R170" i="3"/>
  <c r="J170" i="3"/>
  <c r="K170" i="3" s="1"/>
  <c r="T173" i="3" l="1"/>
  <c r="I246" i="1"/>
  <c r="T174" i="3"/>
  <c r="I245" i="1"/>
  <c r="T172" i="3"/>
  <c r="I244" i="1"/>
  <c r="Q174" i="3"/>
  <c r="T171" i="3"/>
  <c r="G170" i="3"/>
  <c r="N242" i="1"/>
  <c r="C242" i="1"/>
  <c r="R169" i="3"/>
  <c r="J169" i="3"/>
  <c r="K169" i="3"/>
  <c r="O169" i="3" s="1"/>
  <c r="K242" i="1" s="1"/>
  <c r="G169" i="3"/>
  <c r="I242" i="1" s="1"/>
  <c r="N241" i="1"/>
  <c r="C241" i="1"/>
  <c r="R168" i="3"/>
  <c r="J168" i="3"/>
  <c r="K168" i="3" s="1"/>
  <c r="G168" i="3"/>
  <c r="Q168" i="3" s="1"/>
  <c r="N168" i="1"/>
  <c r="C168" i="1"/>
  <c r="R167" i="3"/>
  <c r="J167" i="3"/>
  <c r="K167" i="3"/>
  <c r="G167" i="3"/>
  <c r="Q167" i="3" s="1"/>
  <c r="N239" i="1"/>
  <c r="R166" i="3"/>
  <c r="J166" i="3"/>
  <c r="K166" i="3" s="1"/>
  <c r="C239" i="1"/>
  <c r="G166" i="3"/>
  <c r="I239" i="1" s="1"/>
  <c r="N158" i="1"/>
  <c r="C158" i="1"/>
  <c r="R165" i="3"/>
  <c r="J165" i="3"/>
  <c r="K165" i="3" s="1"/>
  <c r="G165" i="3"/>
  <c r="I158" i="1" s="1"/>
  <c r="N237" i="1"/>
  <c r="C237" i="1"/>
  <c r="R164" i="3"/>
  <c r="J164" i="3"/>
  <c r="K164" i="3" s="1"/>
  <c r="G164" i="3"/>
  <c r="T164" i="3" s="1"/>
  <c r="N236" i="1"/>
  <c r="I236" i="1"/>
  <c r="C236" i="1"/>
  <c r="R163" i="3"/>
  <c r="J163" i="3"/>
  <c r="K163" i="3" s="1"/>
  <c r="G163" i="3"/>
  <c r="Q163" i="3" s="1"/>
  <c r="N235" i="1"/>
  <c r="C235" i="1"/>
  <c r="R162" i="3"/>
  <c r="J162" i="3"/>
  <c r="K162" i="3" s="1"/>
  <c r="G162" i="3"/>
  <c r="Q162" i="3" s="1"/>
  <c r="N119" i="1"/>
  <c r="C119" i="1"/>
  <c r="R161" i="3"/>
  <c r="J161" i="3"/>
  <c r="K161" i="3" s="1"/>
  <c r="G161" i="3"/>
  <c r="T161" i="3" s="1"/>
  <c r="N233" i="1"/>
  <c r="C233" i="1"/>
  <c r="R160" i="3"/>
  <c r="J160" i="3"/>
  <c r="K160" i="3" s="1"/>
  <c r="O160" i="3" s="1"/>
  <c r="K233" i="1" s="1"/>
  <c r="G160" i="3"/>
  <c r="T160" i="3" s="1"/>
  <c r="Q159" i="3"/>
  <c r="R159" i="3"/>
  <c r="J159" i="3"/>
  <c r="K159" i="3" s="1"/>
  <c r="O159" i="3" s="1"/>
  <c r="K232" i="1" s="1"/>
  <c r="G159" i="3"/>
  <c r="I232" i="1" s="1"/>
  <c r="C232" i="1"/>
  <c r="N232" i="1"/>
  <c r="N230" i="1"/>
  <c r="C230" i="1"/>
  <c r="R157" i="3"/>
  <c r="T157" i="3"/>
  <c r="J157" i="3"/>
  <c r="K157" i="3" s="1"/>
  <c r="G157" i="3"/>
  <c r="I230" i="1" s="1"/>
  <c r="J250" i="1"/>
  <c r="J140" i="1"/>
  <c r="J248" i="1"/>
  <c r="J163" i="1"/>
  <c r="J246" i="1"/>
  <c r="J245" i="1"/>
  <c r="J244" i="1"/>
  <c r="J135" i="1"/>
  <c r="J242" i="1"/>
  <c r="J241" i="1"/>
  <c r="J168" i="1"/>
  <c r="J239" i="1"/>
  <c r="J158" i="1"/>
  <c r="J237" i="1"/>
  <c r="J236" i="1"/>
  <c r="J235" i="1"/>
  <c r="J119" i="1"/>
  <c r="J233" i="1"/>
  <c r="J232" i="1"/>
  <c r="J293" i="1"/>
  <c r="J230" i="1"/>
  <c r="L177" i="3"/>
  <c r="M177" i="3" s="1"/>
  <c r="N177" i="3" s="1"/>
  <c r="L176" i="3"/>
  <c r="M176" i="3" s="1"/>
  <c r="N176" i="3" s="1"/>
  <c r="L175" i="3"/>
  <c r="M175" i="3" s="1"/>
  <c r="N175" i="3" s="1"/>
  <c r="L174" i="3"/>
  <c r="M174" i="3" s="1"/>
  <c r="N174" i="3" s="1"/>
  <c r="O174" i="3" s="1"/>
  <c r="K163" i="1" s="1"/>
  <c r="L173" i="3"/>
  <c r="M173" i="3" s="1"/>
  <c r="N173" i="3" s="1"/>
  <c r="U173" i="3" s="1"/>
  <c r="L246" i="1" s="1"/>
  <c r="L172" i="3"/>
  <c r="M172" i="3"/>
  <c r="N172" i="3" s="1"/>
  <c r="P172" i="3" s="1"/>
  <c r="M245" i="1" s="1"/>
  <c r="L171" i="3"/>
  <c r="M171" i="3" s="1"/>
  <c r="N171" i="3" s="1"/>
  <c r="L170" i="3"/>
  <c r="M170" i="3" s="1"/>
  <c r="N170" i="3" s="1"/>
  <c r="O170" i="3" s="1"/>
  <c r="K135" i="1" s="1"/>
  <c r="L169" i="3"/>
  <c r="M169" i="3" s="1"/>
  <c r="N169" i="3" s="1"/>
  <c r="P169" i="3" s="1"/>
  <c r="M242" i="1" s="1"/>
  <c r="L168" i="3"/>
  <c r="M168" i="3" s="1"/>
  <c r="N168" i="3" s="1"/>
  <c r="L167" i="3"/>
  <c r="M167" i="3" s="1"/>
  <c r="N167" i="3" s="1"/>
  <c r="P167" i="3" s="1"/>
  <c r="M168" i="1" s="1"/>
  <c r="L166" i="3"/>
  <c r="M166" i="3" s="1"/>
  <c r="N166" i="3" s="1"/>
  <c r="L165" i="3"/>
  <c r="M165" i="3" s="1"/>
  <c r="N165" i="3" s="1"/>
  <c r="L164" i="3"/>
  <c r="M164" i="3" s="1"/>
  <c r="N164" i="3" s="1"/>
  <c r="L163" i="3"/>
  <c r="M163" i="3" s="1"/>
  <c r="N163" i="3" s="1"/>
  <c r="O163" i="3" s="1"/>
  <c r="K236" i="1" s="1"/>
  <c r="L162" i="3"/>
  <c r="M162" i="3" s="1"/>
  <c r="N162" i="3" s="1"/>
  <c r="L161" i="3"/>
  <c r="M161" i="3" s="1"/>
  <c r="N161" i="3" s="1"/>
  <c r="L160" i="3"/>
  <c r="M160" i="3" s="1"/>
  <c r="N160" i="3" s="1"/>
  <c r="L159" i="3"/>
  <c r="M159" i="3" s="1"/>
  <c r="N159" i="3" s="1"/>
  <c r="L158" i="3"/>
  <c r="M158" i="3" s="1"/>
  <c r="N158" i="3" s="1"/>
  <c r="L157" i="3"/>
  <c r="M157" i="3" s="1"/>
  <c r="N157" i="3" s="1"/>
  <c r="O157" i="3" s="1"/>
  <c r="K230" i="1" s="1"/>
  <c r="Q160" i="3" l="1"/>
  <c r="T165" i="3"/>
  <c r="O166" i="3"/>
  <c r="K239" i="1" s="1"/>
  <c r="P174" i="3"/>
  <c r="M163" i="1" s="1"/>
  <c r="P157" i="3"/>
  <c r="M230" i="1" s="1"/>
  <c r="Q157" i="3"/>
  <c r="Q169" i="3"/>
  <c r="O165" i="3"/>
  <c r="K158" i="1" s="1"/>
  <c r="T166" i="3"/>
  <c r="I235" i="1"/>
  <c r="P160" i="3"/>
  <c r="M233" i="1" s="1"/>
  <c r="P159" i="3"/>
  <c r="M232" i="1" s="1"/>
  <c r="O162" i="3"/>
  <c r="K235" i="1" s="1"/>
  <c r="O164" i="3"/>
  <c r="K237" i="1" s="1"/>
  <c r="Q165" i="3"/>
  <c r="U165" i="3" s="1"/>
  <c r="L158" i="1" s="1"/>
  <c r="Q166" i="3"/>
  <c r="U166" i="3" s="1"/>
  <c r="L239" i="1" s="1"/>
  <c r="T162" i="3"/>
  <c r="U162" i="3" s="1"/>
  <c r="L235" i="1" s="1"/>
  <c r="P166" i="3"/>
  <c r="M239" i="1" s="1"/>
  <c r="P163" i="3"/>
  <c r="M236" i="1" s="1"/>
  <c r="O173" i="3"/>
  <c r="K246" i="1" s="1"/>
  <c r="O161" i="3"/>
  <c r="K119" i="1" s="1"/>
  <c r="P161" i="3"/>
  <c r="M119" i="1" s="1"/>
  <c r="O168" i="3"/>
  <c r="K241" i="1" s="1"/>
  <c r="T169" i="3"/>
  <c r="U169" i="3" s="1"/>
  <c r="L242" i="1" s="1"/>
  <c r="P173" i="3"/>
  <c r="M246" i="1" s="1"/>
  <c r="P177" i="3"/>
  <c r="M250" i="1" s="1"/>
  <c r="O177" i="3"/>
  <c r="K250" i="1" s="1"/>
  <c r="U177" i="3"/>
  <c r="L250" i="1" s="1"/>
  <c r="P171" i="3"/>
  <c r="M244" i="1" s="1"/>
  <c r="O171" i="3"/>
  <c r="K244" i="1" s="1"/>
  <c r="U171" i="3"/>
  <c r="L244" i="1" s="1"/>
  <c r="U160" i="3"/>
  <c r="L233" i="1" s="1"/>
  <c r="I241" i="1"/>
  <c r="I237" i="1"/>
  <c r="U157" i="3"/>
  <c r="L230" i="1" s="1"/>
  <c r="I168" i="1"/>
  <c r="O172" i="3"/>
  <c r="K245" i="1" s="1"/>
  <c r="P165" i="3"/>
  <c r="M158" i="1" s="1"/>
  <c r="T170" i="3"/>
  <c r="I135" i="1"/>
  <c r="Q170" i="3"/>
  <c r="O158" i="3"/>
  <c r="K293" i="1" s="1"/>
  <c r="P158" i="3"/>
  <c r="M293" i="1" s="1"/>
  <c r="O175" i="3"/>
  <c r="K248" i="1" s="1"/>
  <c r="P175" i="3"/>
  <c r="M248" i="1" s="1"/>
  <c r="U175" i="3"/>
  <c r="L248" i="1" s="1"/>
  <c r="I233" i="1"/>
  <c r="P162" i="3"/>
  <c r="M235" i="1" s="1"/>
  <c r="Q164" i="3"/>
  <c r="U164" i="3" s="1"/>
  <c r="L237" i="1" s="1"/>
  <c r="T167" i="3"/>
  <c r="U167" i="3" s="1"/>
  <c r="L168" i="1" s="1"/>
  <c r="P168" i="3"/>
  <c r="M241" i="1" s="1"/>
  <c r="U158" i="3"/>
  <c r="L293" i="1" s="1"/>
  <c r="O167" i="3"/>
  <c r="K168" i="1" s="1"/>
  <c r="T168" i="3"/>
  <c r="U168" i="3" s="1"/>
  <c r="L241" i="1" s="1"/>
  <c r="O176" i="3"/>
  <c r="K140" i="1" s="1"/>
  <c r="P176" i="3"/>
  <c r="M140" i="1" s="1"/>
  <c r="U176" i="3"/>
  <c r="L140" i="1" s="1"/>
  <c r="Q161" i="3"/>
  <c r="U161" i="3" s="1"/>
  <c r="L119" i="1" s="1"/>
  <c r="P164" i="3"/>
  <c r="M237" i="1" s="1"/>
  <c r="I119" i="1"/>
  <c r="U174" i="3"/>
  <c r="L163" i="1" s="1"/>
  <c r="U172" i="3"/>
  <c r="L245" i="1" s="1"/>
  <c r="T159" i="3"/>
  <c r="U159" i="3" s="1"/>
  <c r="L232" i="1" s="1"/>
  <c r="P170" i="3"/>
  <c r="M135" i="1" s="1"/>
  <c r="T163" i="3"/>
  <c r="U163" i="3" s="1"/>
  <c r="L236" i="1" s="1"/>
  <c r="C223" i="1"/>
  <c r="C219" i="1"/>
  <c r="N290" i="1"/>
  <c r="N225" i="1"/>
  <c r="C290" i="1"/>
  <c r="J151" i="3"/>
  <c r="K151" i="3" s="1"/>
  <c r="L151" i="3"/>
  <c r="M151" i="3" s="1"/>
  <c r="N151" i="3" s="1"/>
  <c r="R151" i="3"/>
  <c r="G151" i="3"/>
  <c r="T151" i="3" s="1"/>
  <c r="C225" i="1"/>
  <c r="I290" i="1" l="1"/>
  <c r="Q151" i="3"/>
  <c r="U151" i="3" s="1"/>
  <c r="L290" i="1" s="1"/>
  <c r="U170" i="3"/>
  <c r="L135" i="1" s="1"/>
  <c r="O151" i="3"/>
  <c r="K290" i="1" s="1"/>
  <c r="P151" i="3"/>
  <c r="M290" i="1" s="1"/>
  <c r="C229" i="1"/>
  <c r="C228" i="1"/>
  <c r="N4" i="1"/>
  <c r="N228" i="1"/>
  <c r="N229" i="1"/>
  <c r="C4" i="1"/>
  <c r="N226" i="1"/>
  <c r="C226" i="1"/>
  <c r="J153" i="3"/>
  <c r="L153" i="3"/>
  <c r="M153" i="3" s="1"/>
  <c r="N153" i="3" s="1"/>
  <c r="R153" i="3"/>
  <c r="J154" i="3"/>
  <c r="K154" i="3" s="1"/>
  <c r="L154" i="3"/>
  <c r="M154" i="3" s="1"/>
  <c r="N154" i="3" s="1"/>
  <c r="R154" i="3"/>
  <c r="J155" i="3"/>
  <c r="L155" i="3"/>
  <c r="M155" i="3" s="1"/>
  <c r="N155" i="3" s="1"/>
  <c r="R155" i="3"/>
  <c r="J156" i="3"/>
  <c r="K156" i="3" s="1"/>
  <c r="L156" i="3"/>
  <c r="M156" i="3" s="1"/>
  <c r="N156" i="3" s="1"/>
  <c r="R156" i="3"/>
  <c r="G153" i="3"/>
  <c r="Q153" i="3" s="1"/>
  <c r="G154" i="3"/>
  <c r="Q154" i="3" s="1"/>
  <c r="G155" i="3"/>
  <c r="T155" i="3" s="1"/>
  <c r="G156" i="3"/>
  <c r="T156" i="3" s="1"/>
  <c r="J152" i="3"/>
  <c r="L152" i="3"/>
  <c r="M152" i="3" s="1"/>
  <c r="N152" i="3" s="1"/>
  <c r="R152" i="3"/>
  <c r="G152" i="3"/>
  <c r="I225" i="1" s="1"/>
  <c r="N223" i="1"/>
  <c r="J150" i="3"/>
  <c r="K150" i="3" s="1"/>
  <c r="L150" i="3"/>
  <c r="M150" i="3" s="1"/>
  <c r="N150" i="3" s="1"/>
  <c r="R150" i="3"/>
  <c r="G150" i="3"/>
  <c r="T150" i="3" s="1"/>
  <c r="N222" i="1"/>
  <c r="C222" i="1"/>
  <c r="J149" i="3"/>
  <c r="K149" i="3"/>
  <c r="L149" i="3"/>
  <c r="M149" i="3" s="1"/>
  <c r="N149" i="3" s="1"/>
  <c r="R149" i="3"/>
  <c r="G149" i="3"/>
  <c r="I222" i="1" s="1"/>
  <c r="N125" i="1"/>
  <c r="C125" i="1"/>
  <c r="J148" i="3"/>
  <c r="K148" i="3"/>
  <c r="L148" i="3"/>
  <c r="M148" i="3" s="1"/>
  <c r="N148" i="3" s="1"/>
  <c r="R148" i="3"/>
  <c r="G148" i="3"/>
  <c r="Q148" i="3" s="1"/>
  <c r="N220" i="1"/>
  <c r="C220" i="1"/>
  <c r="J147" i="3"/>
  <c r="K147" i="3" s="1"/>
  <c r="L147" i="3"/>
  <c r="M147" i="3" s="1"/>
  <c r="N147" i="3" s="1"/>
  <c r="R147" i="3"/>
  <c r="G147" i="3"/>
  <c r="I220" i="1" s="1"/>
  <c r="N219" i="1"/>
  <c r="G146" i="3"/>
  <c r="Q146" i="3" s="1"/>
  <c r="J146" i="3"/>
  <c r="L146" i="3"/>
  <c r="M146" i="3" s="1"/>
  <c r="N146" i="3" s="1"/>
  <c r="R146" i="3"/>
  <c r="N217" i="1"/>
  <c r="C217" i="1"/>
  <c r="J144" i="3"/>
  <c r="K144" i="3" s="1"/>
  <c r="L144" i="3"/>
  <c r="M144" i="3" s="1"/>
  <c r="N144" i="3" s="1"/>
  <c r="R144" i="3"/>
  <c r="G144" i="3"/>
  <c r="T144" i="3" s="1"/>
  <c r="N37" i="1"/>
  <c r="C37" i="1"/>
  <c r="J143" i="3"/>
  <c r="K143" i="3"/>
  <c r="L143" i="3"/>
  <c r="M143" i="3" s="1"/>
  <c r="N143" i="3" s="1"/>
  <c r="R143" i="3"/>
  <c r="G143" i="3"/>
  <c r="I37" i="1" s="1"/>
  <c r="N215" i="1"/>
  <c r="C215" i="1"/>
  <c r="J142" i="3"/>
  <c r="L142" i="3"/>
  <c r="M142" i="3" s="1"/>
  <c r="N142" i="3" s="1"/>
  <c r="R142" i="3"/>
  <c r="G142" i="3"/>
  <c r="Q142" i="3" s="1"/>
  <c r="Q150" i="3" l="1"/>
  <c r="I215" i="1"/>
  <c r="P150" i="3"/>
  <c r="M223" i="1" s="1"/>
  <c r="Q147" i="3"/>
  <c r="Q144" i="3"/>
  <c r="U144" i="3" s="1"/>
  <c r="L217" i="1" s="1"/>
  <c r="T142" i="3"/>
  <c r="T143" i="3"/>
  <c r="T147" i="3"/>
  <c r="T148" i="3"/>
  <c r="U150" i="3"/>
  <c r="L223" i="1" s="1"/>
  <c r="I219" i="1"/>
  <c r="T149" i="3"/>
  <c r="Q143" i="3"/>
  <c r="U143" i="3" s="1"/>
  <c r="L37" i="1" s="1"/>
  <c r="U147" i="3"/>
  <c r="L220" i="1" s="1"/>
  <c r="P155" i="3"/>
  <c r="M228" i="1" s="1"/>
  <c r="P153" i="3"/>
  <c r="M226" i="1" s="1"/>
  <c r="I4" i="1"/>
  <c r="I217" i="1"/>
  <c r="I125" i="1"/>
  <c r="Q149" i="3"/>
  <c r="U149" i="3" s="1"/>
  <c r="L222" i="1" s="1"/>
  <c r="I223" i="1"/>
  <c r="I226" i="1"/>
  <c r="P152" i="3"/>
  <c r="M225" i="1" s="1"/>
  <c r="O156" i="3"/>
  <c r="K229" i="1" s="1"/>
  <c r="P144" i="3"/>
  <c r="M217" i="1" s="1"/>
  <c r="Q152" i="3"/>
  <c r="T152" i="3"/>
  <c r="Q156" i="3"/>
  <c r="U156" i="3" s="1"/>
  <c r="L229" i="1" s="1"/>
  <c r="I229" i="1"/>
  <c r="Q155" i="3"/>
  <c r="I228" i="1"/>
  <c r="K155" i="3"/>
  <c r="O155" i="3" s="1"/>
  <c r="K228" i="1" s="1"/>
  <c r="T154" i="3"/>
  <c r="U154" i="3" s="1"/>
  <c r="L4" i="1" s="1"/>
  <c r="O154" i="3"/>
  <c r="K4" i="1" s="1"/>
  <c r="P154" i="3"/>
  <c r="M4" i="1" s="1"/>
  <c r="T153" i="3"/>
  <c r="K153" i="3"/>
  <c r="O153" i="3" s="1"/>
  <c r="K226" i="1" s="1"/>
  <c r="P156" i="3"/>
  <c r="M229" i="1" s="1"/>
  <c r="K152" i="3"/>
  <c r="O152" i="3" s="1"/>
  <c r="K225" i="1" s="1"/>
  <c r="O150" i="3"/>
  <c r="K223" i="1" s="1"/>
  <c r="P149" i="3"/>
  <c r="M222" i="1" s="1"/>
  <c r="O149" i="3"/>
  <c r="K222" i="1" s="1"/>
  <c r="P148" i="3"/>
  <c r="M125" i="1" s="1"/>
  <c r="U148" i="3"/>
  <c r="L125" i="1" s="1"/>
  <c r="O148" i="3"/>
  <c r="K125" i="1" s="1"/>
  <c r="O147" i="3"/>
  <c r="K220" i="1" s="1"/>
  <c r="P147" i="3"/>
  <c r="M220" i="1" s="1"/>
  <c r="T146" i="3"/>
  <c r="P146" i="3"/>
  <c r="M219" i="1" s="1"/>
  <c r="K146" i="3"/>
  <c r="O146" i="3" s="1"/>
  <c r="K219" i="1" s="1"/>
  <c r="O144" i="3"/>
  <c r="K217" i="1" s="1"/>
  <c r="O143" i="3"/>
  <c r="K37" i="1" s="1"/>
  <c r="P143" i="3"/>
  <c r="M37" i="1" s="1"/>
  <c r="P142" i="3"/>
  <c r="M215" i="1" s="1"/>
  <c r="K142" i="3"/>
  <c r="N214" i="1"/>
  <c r="C214" i="1"/>
  <c r="J141" i="3"/>
  <c r="L141" i="3"/>
  <c r="M141" i="3" s="1"/>
  <c r="N141" i="3" s="1"/>
  <c r="R141" i="3"/>
  <c r="G141" i="3"/>
  <c r="I214" i="1" s="1"/>
  <c r="N285" i="1"/>
  <c r="C285" i="1"/>
  <c r="J140" i="3"/>
  <c r="K140" i="3"/>
  <c r="L140" i="3"/>
  <c r="M140" i="3" s="1"/>
  <c r="N140" i="3" s="1"/>
  <c r="R140" i="3"/>
  <c r="G140" i="3"/>
  <c r="T140" i="3" s="1"/>
  <c r="N212" i="1"/>
  <c r="N211" i="1"/>
  <c r="N210" i="1"/>
  <c r="C212" i="1"/>
  <c r="J139" i="3"/>
  <c r="K139" i="3" s="1"/>
  <c r="L139" i="3"/>
  <c r="M139" i="3" s="1"/>
  <c r="N139" i="3" s="1"/>
  <c r="R139" i="3"/>
  <c r="G139" i="3"/>
  <c r="T139" i="3" s="1"/>
  <c r="C211" i="1"/>
  <c r="J138" i="3"/>
  <c r="K138" i="3" s="1"/>
  <c r="L138" i="3"/>
  <c r="M138" i="3" s="1"/>
  <c r="N138" i="3" s="1"/>
  <c r="P138" i="3" s="1"/>
  <c r="M211" i="1" s="1"/>
  <c r="R138" i="3"/>
  <c r="G138" i="3"/>
  <c r="Q138" i="3" s="1"/>
  <c r="C210" i="1"/>
  <c r="J137" i="3"/>
  <c r="K137" i="3" s="1"/>
  <c r="L137" i="3"/>
  <c r="M137" i="3" s="1"/>
  <c r="N137" i="3" s="1"/>
  <c r="R137" i="3"/>
  <c r="G137" i="3"/>
  <c r="Q137" i="3" s="1"/>
  <c r="N208" i="1"/>
  <c r="C208" i="1"/>
  <c r="L135" i="3"/>
  <c r="M135" i="3" s="1"/>
  <c r="N135" i="3" s="1"/>
  <c r="R135" i="3"/>
  <c r="J135" i="3"/>
  <c r="K135" i="3" s="1"/>
  <c r="G135" i="3"/>
  <c r="I208" i="1" s="1"/>
  <c r="N195" i="1"/>
  <c r="C195" i="1"/>
  <c r="R134" i="3"/>
  <c r="J134" i="3"/>
  <c r="K134" i="3" s="1"/>
  <c r="G134" i="3"/>
  <c r="I195" i="1" s="1"/>
  <c r="L134" i="3"/>
  <c r="M134" i="3" s="1"/>
  <c r="N134" i="3" s="1"/>
  <c r="N206" i="1"/>
  <c r="C206" i="1"/>
  <c r="J133" i="3"/>
  <c r="K133" i="3" s="1"/>
  <c r="L133" i="3"/>
  <c r="M133" i="3" s="1"/>
  <c r="N133" i="3" s="1"/>
  <c r="R133" i="3"/>
  <c r="G133" i="3"/>
  <c r="Q133" i="3" s="1"/>
  <c r="O134" i="3" l="1"/>
  <c r="K195" i="1" s="1"/>
  <c r="I206" i="1"/>
  <c r="I211" i="1"/>
  <c r="T134" i="3"/>
  <c r="I212" i="1"/>
  <c r="O135" i="3"/>
  <c r="K208" i="1" s="1"/>
  <c r="Q134" i="3"/>
  <c r="U134" i="3" s="1"/>
  <c r="L195" i="1" s="1"/>
  <c r="T133" i="3"/>
  <c r="P141" i="3"/>
  <c r="M214" i="1" s="1"/>
  <c r="P140" i="3"/>
  <c r="M285" i="1" s="1"/>
  <c r="O140" i="3"/>
  <c r="K285" i="1" s="1"/>
  <c r="T137" i="3"/>
  <c r="U137" i="3" s="1"/>
  <c r="L210" i="1" s="1"/>
  <c r="I210" i="1"/>
  <c r="T135" i="3"/>
  <c r="I285" i="1"/>
  <c r="Q141" i="3"/>
  <c r="T138" i="3"/>
  <c r="U138" i="3" s="1"/>
  <c r="L211" i="1" s="1"/>
  <c r="Q135" i="3"/>
  <c r="U135" i="3" s="1"/>
  <c r="L208" i="1" s="1"/>
  <c r="Q140" i="3"/>
  <c r="U140" i="3" s="1"/>
  <c r="L285" i="1" s="1"/>
  <c r="O133" i="3"/>
  <c r="K206" i="1" s="1"/>
  <c r="P135" i="3"/>
  <c r="M208" i="1" s="1"/>
  <c r="Q139" i="3"/>
  <c r="U139" i="3" s="1"/>
  <c r="L212" i="1" s="1"/>
  <c r="T141" i="3"/>
  <c r="K141" i="3"/>
  <c r="O141" i="3" s="1"/>
  <c r="K214" i="1" s="1"/>
  <c r="U152" i="3"/>
  <c r="L225" i="1" s="1"/>
  <c r="U155" i="3"/>
  <c r="L228" i="1" s="1"/>
  <c r="U153" i="3"/>
  <c r="L226" i="1" s="1"/>
  <c r="U146" i="3"/>
  <c r="L219" i="1" s="1"/>
  <c r="U142" i="3"/>
  <c r="L215" i="1" s="1"/>
  <c r="O142" i="3"/>
  <c r="K215" i="1" s="1"/>
  <c r="O137" i="3"/>
  <c r="K210" i="1" s="1"/>
  <c r="O139" i="3"/>
  <c r="K212" i="1" s="1"/>
  <c r="P139" i="3"/>
  <c r="M212" i="1" s="1"/>
  <c r="O138" i="3"/>
  <c r="K211" i="1" s="1"/>
  <c r="P137" i="3"/>
  <c r="M210" i="1" s="1"/>
  <c r="P134" i="3"/>
  <c r="M195" i="1" s="1"/>
  <c r="U133" i="3"/>
  <c r="L206" i="1" s="1"/>
  <c r="P133" i="3"/>
  <c r="M206" i="1" s="1"/>
  <c r="J203" i="1"/>
  <c r="J279" i="1"/>
  <c r="J205" i="1"/>
  <c r="J201" i="1"/>
  <c r="J192" i="1"/>
  <c r="J191" i="1"/>
  <c r="U141" i="3" l="1"/>
  <c r="L214" i="1" s="1"/>
  <c r="C205" i="1"/>
  <c r="N198" i="1"/>
  <c r="C198" i="1"/>
  <c r="R129" i="3"/>
  <c r="J129" i="3"/>
  <c r="K129" i="3" s="1"/>
  <c r="G129" i="3"/>
  <c r="Q129" i="3" s="1"/>
  <c r="L129" i="3"/>
  <c r="M129" i="3" s="1"/>
  <c r="N129" i="3" s="1"/>
  <c r="P129" i="3" s="1"/>
  <c r="M198" i="1" s="1"/>
  <c r="N205" i="1"/>
  <c r="C201" i="1"/>
  <c r="N201" i="1"/>
  <c r="R132" i="3"/>
  <c r="J132" i="3"/>
  <c r="K132" i="3" s="1"/>
  <c r="G132" i="3"/>
  <c r="I205" i="1" s="1"/>
  <c r="L132" i="3"/>
  <c r="M132" i="3" s="1"/>
  <c r="N132" i="3" s="1"/>
  <c r="R131" i="3"/>
  <c r="J131" i="3"/>
  <c r="K131" i="3" s="1"/>
  <c r="G131" i="3"/>
  <c r="Q131" i="3" s="1"/>
  <c r="L131" i="3"/>
  <c r="M131" i="3" s="1"/>
  <c r="N131" i="3" s="1"/>
  <c r="O129" i="3" l="1"/>
  <c r="K198" i="1" s="1"/>
  <c r="O132" i="3"/>
  <c r="K205" i="1" s="1"/>
  <c r="O131" i="3"/>
  <c r="K201" i="1" s="1"/>
  <c r="P131" i="3"/>
  <c r="M201" i="1" s="1"/>
  <c r="Q132" i="3"/>
  <c r="I201" i="1"/>
  <c r="T131" i="3"/>
  <c r="U131" i="3" s="1"/>
  <c r="L201" i="1" s="1"/>
  <c r="I198" i="1"/>
  <c r="T132" i="3"/>
  <c r="P132" i="3"/>
  <c r="M205" i="1" s="1"/>
  <c r="T129" i="3"/>
  <c r="U129" i="3" s="1"/>
  <c r="L198" i="1" s="1"/>
  <c r="N71" i="1"/>
  <c r="C71" i="1"/>
  <c r="R128" i="3"/>
  <c r="J128" i="3"/>
  <c r="K128" i="3" s="1"/>
  <c r="G128" i="3"/>
  <c r="I71" i="1" s="1"/>
  <c r="L128" i="3"/>
  <c r="M128" i="3" s="1"/>
  <c r="N128" i="3" s="1"/>
  <c r="C183" i="1"/>
  <c r="N183" i="1"/>
  <c r="R127" i="3"/>
  <c r="J127" i="3"/>
  <c r="K127" i="3" s="1"/>
  <c r="G127" i="3"/>
  <c r="I183" i="1" s="1"/>
  <c r="L127" i="3"/>
  <c r="M127" i="3" s="1"/>
  <c r="N127" i="3" s="1"/>
  <c r="J261" i="1"/>
  <c r="J234" i="1"/>
  <c r="T127" i="3" l="1"/>
  <c r="O127" i="3"/>
  <c r="K183" i="1" s="1"/>
  <c r="Q127" i="3"/>
  <c r="Q128" i="3"/>
  <c r="P127" i="3"/>
  <c r="M183" i="1" s="1"/>
  <c r="U132" i="3"/>
  <c r="L205" i="1" s="1"/>
  <c r="P128" i="3"/>
  <c r="M71" i="1" s="1"/>
  <c r="O128" i="3"/>
  <c r="K71" i="1" s="1"/>
  <c r="T128" i="3"/>
  <c r="J188" i="1"/>
  <c r="J256" i="1"/>
  <c r="J173" i="1"/>
  <c r="J258" i="1"/>
  <c r="J155" i="1"/>
  <c r="J150" i="1"/>
  <c r="U127" i="3" l="1"/>
  <c r="L183" i="1" s="1"/>
  <c r="U128" i="3"/>
  <c r="L71" i="1" s="1"/>
  <c r="J151" i="1"/>
  <c r="J172" i="1"/>
  <c r="J142" i="1"/>
  <c r="J134" i="1"/>
  <c r="O130" i="1"/>
  <c r="N130" i="1"/>
  <c r="J130" i="1"/>
  <c r="C130" i="1"/>
  <c r="R126" i="3"/>
  <c r="G126" i="3"/>
  <c r="T126" i="3" s="1"/>
  <c r="J194" i="1"/>
  <c r="Q126" i="3" l="1"/>
  <c r="K106" i="1"/>
  <c r="L106" i="1"/>
  <c r="M106" i="1"/>
  <c r="N106" i="1"/>
  <c r="J126" i="3" l="1"/>
  <c r="L126" i="3"/>
  <c r="M126" i="3" s="1"/>
  <c r="N126" i="3" s="1"/>
  <c r="N194" i="1"/>
  <c r="C194" i="1"/>
  <c r="R125" i="3"/>
  <c r="J125" i="3"/>
  <c r="K125" i="3" s="1"/>
  <c r="G125" i="3"/>
  <c r="Q125" i="3" s="1"/>
  <c r="L125" i="3"/>
  <c r="M125" i="3" s="1"/>
  <c r="N125" i="3" s="1"/>
  <c r="N128" i="1"/>
  <c r="C128" i="1"/>
  <c r="R124" i="3"/>
  <c r="J124" i="3"/>
  <c r="K124" i="3" s="1"/>
  <c r="G124" i="3"/>
  <c r="T124" i="3" s="1"/>
  <c r="L124" i="3"/>
  <c r="M124" i="3" s="1"/>
  <c r="N124" i="3" s="1"/>
  <c r="C227" i="1"/>
  <c r="N126" i="1"/>
  <c r="N227" i="1"/>
  <c r="C126" i="1"/>
  <c r="L123" i="3"/>
  <c r="M123" i="3" s="1"/>
  <c r="N123" i="3" s="1"/>
  <c r="R123" i="3"/>
  <c r="J123" i="3"/>
  <c r="K123" i="3" s="1"/>
  <c r="G123" i="3"/>
  <c r="Q123" i="3" s="1"/>
  <c r="R122" i="3"/>
  <c r="J122" i="3"/>
  <c r="K122" i="3" s="1"/>
  <c r="G122" i="3"/>
  <c r="Q122" i="3" s="1"/>
  <c r="L122" i="3"/>
  <c r="M122" i="3" s="1"/>
  <c r="N122" i="3" s="1"/>
  <c r="N98" i="1"/>
  <c r="C98" i="1"/>
  <c r="R121" i="3"/>
  <c r="J121" i="3"/>
  <c r="K121" i="3" s="1"/>
  <c r="G121" i="3"/>
  <c r="Q121" i="3" s="1"/>
  <c r="N124" i="1"/>
  <c r="C124" i="1"/>
  <c r="L121" i="3"/>
  <c r="M121" i="3" s="1"/>
  <c r="N121" i="3" s="1"/>
  <c r="R120" i="3"/>
  <c r="J120" i="3"/>
  <c r="K120" i="3" s="1"/>
  <c r="G120" i="3"/>
  <c r="T120" i="3" s="1"/>
  <c r="L120" i="3"/>
  <c r="M120" i="3" s="1"/>
  <c r="N120" i="3" s="1"/>
  <c r="N123" i="1"/>
  <c r="C123" i="1"/>
  <c r="R119" i="3"/>
  <c r="J119" i="3"/>
  <c r="K119" i="3" s="1"/>
  <c r="G119" i="3"/>
  <c r="T119" i="3" s="1"/>
  <c r="L119" i="3"/>
  <c r="M119" i="3" s="1"/>
  <c r="N119" i="3" s="1"/>
  <c r="P126" i="3" l="1"/>
  <c r="M130" i="1" s="1"/>
  <c r="O119" i="3"/>
  <c r="K123" i="1" s="1"/>
  <c r="Q124" i="3"/>
  <c r="U124" i="3" s="1"/>
  <c r="L128" i="1" s="1"/>
  <c r="P124" i="3"/>
  <c r="M128" i="1" s="1"/>
  <c r="O122" i="3"/>
  <c r="K126" i="1" s="1"/>
  <c r="P125" i="3"/>
  <c r="M194" i="1" s="1"/>
  <c r="P119" i="3"/>
  <c r="M123" i="1" s="1"/>
  <c r="T123" i="3"/>
  <c r="U123" i="3" s="1"/>
  <c r="L227" i="1" s="1"/>
  <c r="O124" i="3"/>
  <c r="K128" i="1" s="1"/>
  <c r="O125" i="3"/>
  <c r="K194" i="1" s="1"/>
  <c r="Q119" i="3"/>
  <c r="U119" i="3" s="1"/>
  <c r="L123" i="1" s="1"/>
  <c r="P120" i="3"/>
  <c r="M124" i="1" s="1"/>
  <c r="O121" i="3"/>
  <c r="K98" i="1" s="1"/>
  <c r="O120" i="3"/>
  <c r="K124" i="1" s="1"/>
  <c r="T125" i="3"/>
  <c r="P121" i="3"/>
  <c r="M98" i="1" s="1"/>
  <c r="T122" i="3"/>
  <c r="U122" i="3" s="1"/>
  <c r="L126" i="1" s="1"/>
  <c r="K126" i="3"/>
  <c r="P122" i="3"/>
  <c r="M126" i="1" s="1"/>
  <c r="O123" i="3"/>
  <c r="K227" i="1" s="1"/>
  <c r="P123" i="3"/>
  <c r="M227" i="1" s="1"/>
  <c r="T121" i="3"/>
  <c r="U121" i="3" s="1"/>
  <c r="L98" i="1" s="1"/>
  <c r="Q120" i="3"/>
  <c r="U120" i="3" s="1"/>
  <c r="L124" i="1" s="1"/>
  <c r="N129" i="1"/>
  <c r="N121" i="1"/>
  <c r="N120" i="1"/>
  <c r="N29" i="1"/>
  <c r="N118" i="1"/>
  <c r="N107" i="1"/>
  <c r="N116" i="1"/>
  <c r="N115" i="1"/>
  <c r="N103" i="1"/>
  <c r="N113" i="1"/>
  <c r="N204" i="1"/>
  <c r="N111" i="1"/>
  <c r="N110" i="1"/>
  <c r="N109" i="1"/>
  <c r="N108" i="1"/>
  <c r="N89" i="1"/>
  <c r="R102" i="3"/>
  <c r="L103" i="3"/>
  <c r="M103" i="3" s="1"/>
  <c r="N103" i="3" s="1"/>
  <c r="L104" i="3"/>
  <c r="M104" i="3" s="1"/>
  <c r="N104" i="3" s="1"/>
  <c r="L105" i="3"/>
  <c r="M105" i="3" s="1"/>
  <c r="N105" i="3" s="1"/>
  <c r="L106" i="3"/>
  <c r="M106" i="3" s="1"/>
  <c r="N106" i="3" s="1"/>
  <c r="L107" i="3"/>
  <c r="M107" i="3" s="1"/>
  <c r="N107" i="3" s="1"/>
  <c r="L108" i="3"/>
  <c r="M108" i="3" s="1"/>
  <c r="N108" i="3" s="1"/>
  <c r="L109" i="3"/>
  <c r="M109" i="3" s="1"/>
  <c r="N109" i="3" s="1"/>
  <c r="L110" i="3"/>
  <c r="M110" i="3" s="1"/>
  <c r="N110" i="3" s="1"/>
  <c r="L111" i="3"/>
  <c r="M111" i="3" s="1"/>
  <c r="N111" i="3" s="1"/>
  <c r="L112" i="3"/>
  <c r="M112" i="3" s="1"/>
  <c r="N112" i="3" s="1"/>
  <c r="L113" i="3"/>
  <c r="M113" i="3" s="1"/>
  <c r="N113" i="3" s="1"/>
  <c r="L114" i="3"/>
  <c r="M114" i="3" s="1"/>
  <c r="N114" i="3" s="1"/>
  <c r="L115" i="3"/>
  <c r="M115" i="3" s="1"/>
  <c r="N115" i="3" s="1"/>
  <c r="L116" i="3"/>
  <c r="M116" i="3" s="1"/>
  <c r="N116" i="3" s="1"/>
  <c r="L117" i="3"/>
  <c r="M117" i="3" s="1"/>
  <c r="N117" i="3" s="1"/>
  <c r="L118" i="3"/>
  <c r="M118" i="3" s="1"/>
  <c r="N118" i="3" s="1"/>
  <c r="R103" i="3"/>
  <c r="R104" i="3"/>
  <c r="R105" i="3"/>
  <c r="R106" i="3"/>
  <c r="R107" i="3"/>
  <c r="R108" i="3"/>
  <c r="R109" i="3"/>
  <c r="R110" i="3"/>
  <c r="R111" i="3"/>
  <c r="R112" i="3"/>
  <c r="R113" i="3"/>
  <c r="R114" i="3"/>
  <c r="R115" i="3"/>
  <c r="R116" i="3"/>
  <c r="R117" i="3"/>
  <c r="R118" i="3"/>
  <c r="J102" i="3"/>
  <c r="K102" i="3" s="1"/>
  <c r="J103" i="3"/>
  <c r="K103" i="3" s="1"/>
  <c r="J104" i="3"/>
  <c r="K104" i="3" s="1"/>
  <c r="J105" i="3"/>
  <c r="K105" i="3" s="1"/>
  <c r="J106" i="3"/>
  <c r="K106" i="3" s="1"/>
  <c r="J107" i="3"/>
  <c r="K107" i="3" s="1"/>
  <c r="J108" i="3"/>
  <c r="K108" i="3" s="1"/>
  <c r="J109" i="3"/>
  <c r="K109" i="3" s="1"/>
  <c r="J110" i="3"/>
  <c r="K110" i="3" s="1"/>
  <c r="J111" i="3"/>
  <c r="K111" i="3" s="1"/>
  <c r="J112" i="3"/>
  <c r="K112" i="3" s="1"/>
  <c r="J113" i="3"/>
  <c r="K113" i="3" s="1"/>
  <c r="J114" i="3"/>
  <c r="K114" i="3" s="1"/>
  <c r="J115" i="3"/>
  <c r="K115" i="3" s="1"/>
  <c r="J116" i="3"/>
  <c r="K116" i="3" s="1"/>
  <c r="J117" i="3"/>
  <c r="K117" i="3" s="1"/>
  <c r="J118" i="3"/>
  <c r="G102" i="3"/>
  <c r="T102" i="3" s="1"/>
  <c r="G103" i="3"/>
  <c r="T103" i="3" s="1"/>
  <c r="G104" i="3"/>
  <c r="Q104" i="3" s="1"/>
  <c r="G105" i="3"/>
  <c r="T105" i="3" s="1"/>
  <c r="G106" i="3"/>
  <c r="Q106" i="3" s="1"/>
  <c r="G107" i="3"/>
  <c r="Q107" i="3" s="1"/>
  <c r="G108" i="3"/>
  <c r="Q108" i="3" s="1"/>
  <c r="G109" i="3"/>
  <c r="T109" i="3" s="1"/>
  <c r="G110" i="3"/>
  <c r="Q110" i="3" s="1"/>
  <c r="G111" i="3"/>
  <c r="Q111" i="3" s="1"/>
  <c r="G112" i="3"/>
  <c r="Q112" i="3" s="1"/>
  <c r="G113" i="3"/>
  <c r="T113" i="3" s="1"/>
  <c r="G114" i="3"/>
  <c r="Q114" i="3" s="1"/>
  <c r="G115" i="3"/>
  <c r="T115" i="3" s="1"/>
  <c r="G116" i="3"/>
  <c r="Q116" i="3" s="1"/>
  <c r="G117" i="3"/>
  <c r="Q117" i="3" s="1"/>
  <c r="G118" i="3"/>
  <c r="Q118" i="3" s="1"/>
  <c r="C106" i="1"/>
  <c r="C129" i="1"/>
  <c r="C121" i="1"/>
  <c r="C120" i="1"/>
  <c r="C29" i="1"/>
  <c r="C118" i="1"/>
  <c r="C107" i="1"/>
  <c r="C116" i="1"/>
  <c r="C115" i="1"/>
  <c r="C103" i="1"/>
  <c r="C113" i="1"/>
  <c r="C204" i="1"/>
  <c r="C111" i="1"/>
  <c r="C110" i="1"/>
  <c r="C109" i="1"/>
  <c r="C108" i="1"/>
  <c r="C89" i="1"/>
  <c r="J129" i="1"/>
  <c r="J121" i="1"/>
  <c r="J120" i="1"/>
  <c r="J29" i="1"/>
  <c r="J118" i="1"/>
  <c r="J107" i="1"/>
  <c r="J116" i="1"/>
  <c r="J115" i="1"/>
  <c r="J103" i="1"/>
  <c r="J113" i="1"/>
  <c r="J204" i="1"/>
  <c r="J111" i="1"/>
  <c r="J110" i="1"/>
  <c r="J109" i="1"/>
  <c r="J108" i="1"/>
  <c r="J89" i="1"/>
  <c r="J106" i="1"/>
  <c r="O126" i="3" l="1"/>
  <c r="K130" i="1" s="1"/>
  <c r="U126" i="3"/>
  <c r="L130" i="1" s="1"/>
  <c r="P109" i="3"/>
  <c r="M113" i="1" s="1"/>
  <c r="T117" i="3"/>
  <c r="U117" i="3" s="1"/>
  <c r="L121" i="1" s="1"/>
  <c r="P108" i="3"/>
  <c r="M204" i="1" s="1"/>
  <c r="U125" i="3"/>
  <c r="L194" i="1" s="1"/>
  <c r="P107" i="3"/>
  <c r="M111" i="1" s="1"/>
  <c r="P117" i="3"/>
  <c r="M121" i="1" s="1"/>
  <c r="T118" i="3"/>
  <c r="O112" i="3"/>
  <c r="K116" i="1" s="1"/>
  <c r="T107" i="3"/>
  <c r="U107" i="3" s="1"/>
  <c r="L111" i="1" s="1"/>
  <c r="O115" i="3"/>
  <c r="K29" i="1" s="1"/>
  <c r="T111" i="3"/>
  <c r="U111" i="3" s="1"/>
  <c r="L115" i="1" s="1"/>
  <c r="Q103" i="3"/>
  <c r="U103" i="3" s="1"/>
  <c r="L89" i="1" s="1"/>
  <c r="O109" i="3"/>
  <c r="K113" i="1" s="1"/>
  <c r="O110" i="3"/>
  <c r="K103" i="1" s="1"/>
  <c r="P104" i="3"/>
  <c r="M108" i="1" s="1"/>
  <c r="O116" i="3"/>
  <c r="K120" i="1" s="1"/>
  <c r="O108" i="3"/>
  <c r="K204" i="1" s="1"/>
  <c r="T106" i="3"/>
  <c r="U106" i="3" s="1"/>
  <c r="L110" i="1" s="1"/>
  <c r="P118" i="3"/>
  <c r="M129" i="1" s="1"/>
  <c r="Q115" i="3"/>
  <c r="U115" i="3" s="1"/>
  <c r="L29" i="1" s="1"/>
  <c r="Q109" i="3"/>
  <c r="U109" i="3" s="1"/>
  <c r="L113" i="1" s="1"/>
  <c r="P113" i="3"/>
  <c r="M107" i="1" s="1"/>
  <c r="P105" i="3"/>
  <c r="M109" i="1" s="1"/>
  <c r="O105" i="3"/>
  <c r="K109" i="1" s="1"/>
  <c r="O117" i="3"/>
  <c r="K121" i="1" s="1"/>
  <c r="Q105" i="3"/>
  <c r="U105" i="3" s="1"/>
  <c r="L109" i="1" s="1"/>
  <c r="P115" i="3"/>
  <c r="M29" i="1" s="1"/>
  <c r="Q113" i="3"/>
  <c r="U113" i="3" s="1"/>
  <c r="L107" i="1" s="1"/>
  <c r="T112" i="3"/>
  <c r="U112" i="3" s="1"/>
  <c r="L116" i="1" s="1"/>
  <c r="T110" i="3"/>
  <c r="U110" i="3" s="1"/>
  <c r="L103" i="1" s="1"/>
  <c r="T108" i="3"/>
  <c r="U108" i="3" s="1"/>
  <c r="L204" i="1" s="1"/>
  <c r="T104" i="3"/>
  <c r="U104" i="3" s="1"/>
  <c r="L108" i="1" s="1"/>
  <c r="Q102" i="3"/>
  <c r="K118" i="3"/>
  <c r="O118" i="3" s="1"/>
  <c r="K129" i="1" s="1"/>
  <c r="T116" i="3"/>
  <c r="U116" i="3" s="1"/>
  <c r="L120" i="1" s="1"/>
  <c r="T114" i="3"/>
  <c r="U114" i="3" s="1"/>
  <c r="L118" i="1" s="1"/>
  <c r="P112" i="3"/>
  <c r="M116" i="1" s="1"/>
  <c r="P111" i="3"/>
  <c r="M115" i="1" s="1"/>
  <c r="O111" i="3"/>
  <c r="K115" i="1" s="1"/>
  <c r="P114" i="3"/>
  <c r="M118" i="1" s="1"/>
  <c r="O114" i="3"/>
  <c r="K118" i="1" s="1"/>
  <c r="P103" i="3"/>
  <c r="M89" i="1" s="1"/>
  <c r="O103" i="3"/>
  <c r="K89" i="1" s="1"/>
  <c r="O106" i="3"/>
  <c r="K110" i="1" s="1"/>
  <c r="P106" i="3"/>
  <c r="M110" i="1" s="1"/>
  <c r="P116" i="3"/>
  <c r="M120" i="1" s="1"/>
  <c r="O113" i="3"/>
  <c r="K107" i="1" s="1"/>
  <c r="O107" i="3"/>
  <c r="K111" i="1" s="1"/>
  <c r="O104" i="3"/>
  <c r="K108" i="1" s="1"/>
  <c r="P110" i="3"/>
  <c r="M103" i="1" s="1"/>
  <c r="J229" i="1"/>
  <c r="J228" i="1"/>
  <c r="J4" i="1"/>
  <c r="J226" i="1"/>
  <c r="J290" i="1"/>
  <c r="J223" i="1"/>
  <c r="J222" i="1"/>
  <c r="J125" i="1"/>
  <c r="J220" i="1"/>
  <c r="J219" i="1"/>
  <c r="J283" i="1"/>
  <c r="J217" i="1"/>
  <c r="J37" i="1"/>
  <c r="J215" i="1"/>
  <c r="J214" i="1"/>
  <c r="J285" i="1"/>
  <c r="J212" i="1"/>
  <c r="J211" i="1"/>
  <c r="J210" i="1"/>
  <c r="J137" i="1"/>
  <c r="J208" i="1"/>
  <c r="J195" i="1"/>
  <c r="J206" i="1"/>
  <c r="J297" i="1"/>
  <c r="J272" i="1"/>
  <c r="J200" i="1"/>
  <c r="J275" i="1"/>
  <c r="J198" i="1"/>
  <c r="J197" i="1"/>
  <c r="J196" i="1"/>
  <c r="J288" i="1"/>
  <c r="J265" i="1"/>
  <c r="J193" i="1"/>
  <c r="J190" i="1"/>
  <c r="J186" i="1"/>
  <c r="J185" i="1"/>
  <c r="J71" i="1"/>
  <c r="J183" i="1"/>
  <c r="J182" i="1"/>
  <c r="J247" i="1"/>
  <c r="J180" i="1"/>
  <c r="J179" i="1"/>
  <c r="J178" i="1"/>
  <c r="J270" i="1"/>
  <c r="J176" i="1"/>
  <c r="J238" i="1"/>
  <c r="J174" i="1"/>
  <c r="J171" i="1"/>
  <c r="J170" i="1"/>
  <c r="U118" i="3" l="1"/>
  <c r="L129" i="1" s="1"/>
  <c r="J167" i="1"/>
  <c r="J166" i="1"/>
  <c r="J164" i="1"/>
  <c r="J224" i="1"/>
  <c r="J162" i="1"/>
  <c r="J161" i="1"/>
  <c r="J252" i="1"/>
  <c r="J159" i="1"/>
  <c r="J218" i="1"/>
  <c r="J157" i="1"/>
  <c r="J243" i="1"/>
  <c r="J209" i="1"/>
  <c r="J152" i="1"/>
  <c r="J149" i="1"/>
  <c r="J249" i="1"/>
  <c r="J147" i="1"/>
  <c r="J146" i="1"/>
  <c r="J139" i="1"/>
  <c r="J138" i="1"/>
  <c r="J202" i="1"/>
  <c r="J136" i="1"/>
  <c r="J117" i="1"/>
  <c r="J132" i="1"/>
  <c r="J131" i="1"/>
  <c r="J128" i="1"/>
  <c r="J227" i="1"/>
  <c r="J126" i="1"/>
  <c r="J98" i="1"/>
  <c r="J124" i="1"/>
  <c r="J123" i="1"/>
  <c r="N33" i="1" l="1"/>
  <c r="N8" i="1"/>
  <c r="O34" i="1" l="1"/>
  <c r="O92" i="1" l="1"/>
  <c r="D60" i="5" l="1"/>
  <c r="J105" i="1" l="1"/>
  <c r="J81" i="1" l="1"/>
  <c r="J62" i="1"/>
  <c r="J199" i="1"/>
  <c r="J61" i="1"/>
  <c r="J24" i="1" l="1"/>
  <c r="J207" i="1"/>
  <c r="J8" i="1"/>
  <c r="J7" i="1"/>
  <c r="J6" i="1"/>
  <c r="J5" i="1"/>
  <c r="J13" i="1"/>
  <c r="J3" i="1"/>
  <c r="N9" i="1"/>
  <c r="N10" i="1"/>
  <c r="N11" i="1"/>
  <c r="N12" i="1"/>
  <c r="N207" i="1"/>
  <c r="N14" i="1"/>
  <c r="N15" i="1"/>
  <c r="N16" i="1"/>
  <c r="N17" i="1"/>
  <c r="N18" i="1"/>
  <c r="N19" i="1"/>
  <c r="N20" i="1"/>
  <c r="N85" i="1"/>
  <c r="N34" i="1"/>
  <c r="N25" i="1"/>
  <c r="N26" i="1"/>
  <c r="N184" i="1"/>
  <c r="N28" i="1"/>
  <c r="N216" i="1"/>
  <c r="N30" i="1"/>
  <c r="N31" i="1"/>
  <c r="N32" i="1"/>
  <c r="N199" i="1"/>
  <c r="N36" i="1"/>
  <c r="N94" i="1"/>
  <c r="N38" i="1"/>
  <c r="N39" i="1"/>
  <c r="N40" i="1"/>
  <c r="N84" i="1"/>
  <c r="N42" i="1"/>
  <c r="N43" i="1"/>
  <c r="N61" i="1"/>
  <c r="N45" i="1"/>
  <c r="N46" i="1"/>
  <c r="N55" i="1"/>
  <c r="N52" i="1"/>
  <c r="N66" i="1"/>
  <c r="N49" i="1"/>
  <c r="N92" i="1"/>
  <c r="N50" i="1"/>
  <c r="N160" i="1"/>
  <c r="N95" i="1"/>
  <c r="N96" i="1"/>
  <c r="N97" i="1"/>
  <c r="N80" i="1"/>
  <c r="N99" i="1"/>
  <c r="N100" i="1"/>
  <c r="N127" i="1"/>
  <c r="N102" i="1"/>
  <c r="N122" i="1"/>
  <c r="N104" i="1"/>
  <c r="N105" i="1"/>
  <c r="D80" i="5" l="1"/>
  <c r="D79" i="5"/>
  <c r="J74" i="1" l="1"/>
  <c r="J59" i="1"/>
  <c r="J90" i="1"/>
  <c r="J221" i="1"/>
  <c r="J88" i="1"/>
  <c r="J95" i="1"/>
  <c r="J96" i="1"/>
  <c r="J160" i="1"/>
  <c r="J50" i="1"/>
  <c r="J92" i="1"/>
  <c r="J91" i="1"/>
  <c r="J99" i="1"/>
  <c r="J80" i="1"/>
  <c r="J97" i="1"/>
  <c r="J104" i="1"/>
  <c r="J122" i="1"/>
  <c r="J102" i="1"/>
  <c r="J127" i="1"/>
  <c r="J100" i="1"/>
  <c r="L102" i="3"/>
  <c r="M102" i="3" s="1"/>
  <c r="N102" i="3" s="1"/>
  <c r="O105" i="1"/>
  <c r="C105" i="1"/>
  <c r="R101" i="3"/>
  <c r="J101" i="3"/>
  <c r="K101" i="3" s="1"/>
  <c r="G101" i="3"/>
  <c r="Q101" i="3" s="1"/>
  <c r="L101" i="3"/>
  <c r="M101" i="3" s="1"/>
  <c r="N101" i="3" s="1"/>
  <c r="O104" i="1"/>
  <c r="C104" i="1"/>
  <c r="R100" i="3"/>
  <c r="J100" i="3"/>
  <c r="K100" i="3" s="1"/>
  <c r="G100" i="3"/>
  <c r="T100" i="3" s="1"/>
  <c r="L100" i="3"/>
  <c r="M100" i="3" s="1"/>
  <c r="N100" i="3" s="1"/>
  <c r="O122" i="1"/>
  <c r="C122" i="1"/>
  <c r="R99" i="3"/>
  <c r="J99" i="3"/>
  <c r="K99" i="3" s="1"/>
  <c r="G99" i="3"/>
  <c r="Q99" i="3" s="1"/>
  <c r="L99" i="3"/>
  <c r="M99" i="3" s="1"/>
  <c r="N99" i="3" s="1"/>
  <c r="O102" i="1"/>
  <c r="C102" i="1"/>
  <c r="R98" i="3"/>
  <c r="J98" i="3"/>
  <c r="K98" i="3" s="1"/>
  <c r="G98" i="3"/>
  <c r="T98" i="3" s="1"/>
  <c r="L98" i="3"/>
  <c r="M98" i="3" s="1"/>
  <c r="N98" i="3" s="1"/>
  <c r="O101" i="3" l="1"/>
  <c r="K105" i="1" s="1"/>
  <c r="O98" i="3"/>
  <c r="K102" i="1" s="1"/>
  <c r="O99" i="3"/>
  <c r="K122" i="1" s="1"/>
  <c r="P100" i="3"/>
  <c r="M104" i="1" s="1"/>
  <c r="P98" i="3"/>
  <c r="M102" i="1" s="1"/>
  <c r="O100" i="3"/>
  <c r="K104" i="1" s="1"/>
  <c r="Q98" i="3"/>
  <c r="U98" i="3" s="1"/>
  <c r="L102" i="1" s="1"/>
  <c r="Q100" i="3"/>
  <c r="U100" i="3" s="1"/>
  <c r="L104" i="1" s="1"/>
  <c r="T99" i="3"/>
  <c r="U99" i="3" s="1"/>
  <c r="L122" i="1" s="1"/>
  <c r="T101" i="3"/>
  <c r="U101" i="3" s="1"/>
  <c r="L105" i="1" s="1"/>
  <c r="P99" i="3"/>
  <c r="M122" i="1" s="1"/>
  <c r="P101" i="3"/>
  <c r="M105" i="1" s="1"/>
  <c r="O127" i="1"/>
  <c r="C127" i="1"/>
  <c r="R97" i="3"/>
  <c r="J97" i="3"/>
  <c r="K97" i="3" s="1"/>
  <c r="G97" i="3"/>
  <c r="Q97" i="3" s="1"/>
  <c r="L97" i="3"/>
  <c r="M97" i="3" s="1"/>
  <c r="N97" i="3" s="1"/>
  <c r="O100" i="1"/>
  <c r="C100" i="1"/>
  <c r="R96" i="3"/>
  <c r="J96" i="3"/>
  <c r="K96" i="3" s="1"/>
  <c r="G96" i="3"/>
  <c r="T96" i="3" s="1"/>
  <c r="L96" i="3"/>
  <c r="M96" i="3" s="1"/>
  <c r="N96" i="3" s="1"/>
  <c r="C99" i="1"/>
  <c r="C80" i="1"/>
  <c r="J94" i="3"/>
  <c r="K94" i="3" s="1"/>
  <c r="J95" i="3"/>
  <c r="K95" i="3" s="1"/>
  <c r="L93" i="3"/>
  <c r="M93" i="3" s="1"/>
  <c r="N93" i="3" s="1"/>
  <c r="R93" i="3"/>
  <c r="L94" i="3"/>
  <c r="M94" i="3" s="1"/>
  <c r="N94" i="3" s="1"/>
  <c r="R94" i="3"/>
  <c r="L95" i="3"/>
  <c r="M95" i="3" s="1"/>
  <c r="N95" i="3" s="1"/>
  <c r="R95" i="3"/>
  <c r="J93" i="3"/>
  <c r="K93" i="3" s="1"/>
  <c r="C97" i="1"/>
  <c r="O96" i="1"/>
  <c r="C96" i="1"/>
  <c r="O95" i="1"/>
  <c r="C95" i="1"/>
  <c r="O160" i="1"/>
  <c r="O50" i="1"/>
  <c r="O114" i="1"/>
  <c r="O97" i="3" l="1"/>
  <c r="K127" i="1" s="1"/>
  <c r="P97" i="3"/>
  <c r="M127" i="1" s="1"/>
  <c r="Q96" i="3"/>
  <c r="U96" i="3" s="1"/>
  <c r="L100" i="1" s="1"/>
  <c r="O96" i="3"/>
  <c r="K100" i="1" s="1"/>
  <c r="O93" i="3"/>
  <c r="K97" i="1" s="1"/>
  <c r="O95" i="3"/>
  <c r="K99" i="1" s="1"/>
  <c r="P96" i="3"/>
  <c r="M100" i="1" s="1"/>
  <c r="T97" i="3"/>
  <c r="U97" i="3" s="1"/>
  <c r="L127" i="1" s="1"/>
  <c r="O94" i="3"/>
  <c r="K80" i="1" s="1"/>
  <c r="P93" i="3"/>
  <c r="M97" i="1" s="1"/>
  <c r="P94" i="3"/>
  <c r="M80" i="1" s="1"/>
  <c r="P95" i="3"/>
  <c r="M99" i="1" s="1"/>
  <c r="C50" i="1"/>
  <c r="C92" i="1" l="1"/>
  <c r="O91" i="1" l="1"/>
  <c r="J87" i="1" l="1"/>
  <c r="M86" i="1"/>
  <c r="L86" i="1"/>
  <c r="K86" i="1"/>
  <c r="J86" i="1"/>
  <c r="J114" i="1"/>
  <c r="J83" i="1"/>
  <c r="J82" i="1"/>
  <c r="J35" i="1"/>
  <c r="M79" i="1"/>
  <c r="L79" i="1"/>
  <c r="K79" i="1"/>
  <c r="J79" i="1"/>
  <c r="J78" i="1"/>
  <c r="J77" i="1"/>
  <c r="M73" i="1"/>
  <c r="L73" i="1"/>
  <c r="K73" i="1"/>
  <c r="J72" i="1"/>
  <c r="J73" i="1"/>
  <c r="J51" i="1"/>
  <c r="J70" i="1"/>
  <c r="J69" i="1"/>
  <c r="J68" i="1"/>
  <c r="J154" i="1"/>
  <c r="J58" i="1"/>
  <c r="J65" i="1"/>
  <c r="J64" i="1"/>
  <c r="J60" i="1"/>
  <c r="J63" i="1"/>
  <c r="J54" i="1"/>
  <c r="J75" i="1"/>
  <c r="J44" i="1"/>
  <c r="J53" i="1"/>
  <c r="L32" i="3"/>
  <c r="L31" i="3"/>
  <c r="L30" i="3"/>
  <c r="L29" i="3"/>
  <c r="L28" i="3"/>
  <c r="L27" i="3"/>
  <c r="L26" i="3"/>
  <c r="L25" i="3"/>
  <c r="L24" i="3"/>
  <c r="L23" i="3"/>
  <c r="L22" i="3"/>
  <c r="L21" i="3"/>
  <c r="L20" i="3"/>
  <c r="L19" i="3"/>
  <c r="L18" i="3"/>
  <c r="L17" i="3"/>
  <c r="L16" i="3"/>
  <c r="L15" i="3"/>
  <c r="L14" i="3"/>
  <c r="L13" i="3"/>
  <c r="L12" i="3"/>
  <c r="L11" i="3"/>
  <c r="L10" i="3"/>
  <c r="L9" i="3"/>
  <c r="L8" i="3"/>
  <c r="L7" i="3"/>
  <c r="L6" i="3"/>
  <c r="L5" i="3"/>
  <c r="L4" i="3"/>
  <c r="L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33" i="3"/>
  <c r="M4" i="3" l="1"/>
  <c r="N4" i="3" s="1"/>
  <c r="M5" i="3"/>
  <c r="N5" i="3" s="1"/>
  <c r="M6" i="3"/>
  <c r="N6" i="3" s="1"/>
  <c r="M7" i="3"/>
  <c r="N7" i="3" s="1"/>
  <c r="M8" i="3"/>
  <c r="N8" i="3" s="1"/>
  <c r="M10" i="3"/>
  <c r="N10" i="3" s="1"/>
  <c r="M11" i="3"/>
  <c r="N11" i="3" s="1"/>
  <c r="M12" i="3"/>
  <c r="N12" i="3" s="1"/>
  <c r="M14" i="3"/>
  <c r="N14" i="3" s="1"/>
  <c r="M15" i="3"/>
  <c r="N15" i="3" s="1"/>
  <c r="M16" i="3"/>
  <c r="N16" i="3" s="1"/>
  <c r="M17" i="3"/>
  <c r="N17" i="3" s="1"/>
  <c r="M18" i="3"/>
  <c r="N18" i="3" s="1"/>
  <c r="M19" i="3"/>
  <c r="N19" i="3" s="1"/>
  <c r="M20" i="3"/>
  <c r="N20" i="3" s="1"/>
  <c r="M22" i="3"/>
  <c r="N22" i="3" s="1"/>
  <c r="M23" i="3"/>
  <c r="N23" i="3" s="1"/>
  <c r="M24" i="3"/>
  <c r="N24" i="3" s="1"/>
  <c r="M25" i="3"/>
  <c r="N25" i="3" s="1"/>
  <c r="M26" i="3"/>
  <c r="N26" i="3" s="1"/>
  <c r="M27" i="3"/>
  <c r="N27" i="3" s="1"/>
  <c r="M28" i="3"/>
  <c r="N28" i="3" s="1"/>
  <c r="M29" i="3"/>
  <c r="N29" i="3" s="1"/>
  <c r="M30" i="3"/>
  <c r="N30" i="3" s="1"/>
  <c r="M31" i="3"/>
  <c r="N31" i="3" s="1"/>
  <c r="M32" i="3"/>
  <c r="N32" i="3" s="1"/>
  <c r="M33" i="3"/>
  <c r="N33" i="3" s="1"/>
  <c r="M35" i="3"/>
  <c r="N35" i="3" s="1"/>
  <c r="M36" i="3"/>
  <c r="N36" i="3" s="1"/>
  <c r="M37" i="3"/>
  <c r="N37" i="3" s="1"/>
  <c r="M38" i="3"/>
  <c r="N38" i="3" s="1"/>
  <c r="M39" i="3"/>
  <c r="N39" i="3" s="1"/>
  <c r="M40" i="3"/>
  <c r="N40" i="3" s="1"/>
  <c r="M41" i="3"/>
  <c r="N41" i="3" s="1"/>
  <c r="M43" i="3"/>
  <c r="N43" i="3" s="1"/>
  <c r="M44" i="3"/>
  <c r="N44" i="3" s="1"/>
  <c r="M45" i="3"/>
  <c r="N45" i="3" s="1"/>
  <c r="M46" i="3"/>
  <c r="N46" i="3" s="1"/>
  <c r="M47" i="3"/>
  <c r="N47" i="3" s="1"/>
  <c r="M48" i="3"/>
  <c r="N48" i="3" s="1"/>
  <c r="M49" i="3"/>
  <c r="N49" i="3" s="1"/>
  <c r="M51" i="3"/>
  <c r="N51" i="3" s="1"/>
  <c r="M52" i="3"/>
  <c r="N52" i="3" s="1"/>
  <c r="M53" i="3"/>
  <c r="N53" i="3" s="1"/>
  <c r="M54" i="3"/>
  <c r="N54" i="3" s="1"/>
  <c r="M55" i="3"/>
  <c r="N55" i="3" s="1"/>
  <c r="M56" i="3"/>
  <c r="N56" i="3" s="1"/>
  <c r="M57" i="3"/>
  <c r="N57" i="3" s="1"/>
  <c r="M59" i="3"/>
  <c r="N59" i="3" s="1"/>
  <c r="M60" i="3"/>
  <c r="N60" i="3" s="1"/>
  <c r="M61" i="3"/>
  <c r="N61" i="3" s="1"/>
  <c r="M62" i="3"/>
  <c r="N62" i="3" s="1"/>
  <c r="M63" i="3"/>
  <c r="N63" i="3" s="1"/>
  <c r="M64" i="3"/>
  <c r="N64" i="3" s="1"/>
  <c r="M65" i="3"/>
  <c r="N65" i="3" s="1"/>
  <c r="M67" i="3"/>
  <c r="N67" i="3" s="1"/>
  <c r="M68" i="3"/>
  <c r="N68" i="3" s="1"/>
  <c r="M69" i="3"/>
  <c r="N69" i="3" s="1"/>
  <c r="M70" i="3"/>
  <c r="N70" i="3" s="1"/>
  <c r="M72" i="3"/>
  <c r="N72" i="3" s="1"/>
  <c r="M73" i="3"/>
  <c r="N73" i="3" s="1"/>
  <c r="M74" i="3"/>
  <c r="N74" i="3" s="1"/>
  <c r="M76" i="3"/>
  <c r="N76" i="3" s="1"/>
  <c r="M77" i="3"/>
  <c r="N77" i="3" s="1"/>
  <c r="M78" i="3"/>
  <c r="N78" i="3" s="1"/>
  <c r="M80" i="3"/>
  <c r="N80" i="3" s="1"/>
  <c r="M81" i="3"/>
  <c r="N81" i="3" s="1"/>
  <c r="M82" i="3"/>
  <c r="N82" i="3" s="1"/>
  <c r="M84" i="3"/>
  <c r="N84" i="3" s="1"/>
  <c r="M85" i="3"/>
  <c r="N85" i="3" s="1"/>
  <c r="M86" i="3"/>
  <c r="N86" i="3" s="1"/>
  <c r="M88" i="3"/>
  <c r="N88" i="3" s="1"/>
  <c r="M89" i="3"/>
  <c r="N89" i="3" s="1"/>
  <c r="M90" i="3"/>
  <c r="N90" i="3" s="1"/>
  <c r="M92" i="3"/>
  <c r="N92" i="3" s="1"/>
  <c r="M3" i="3"/>
  <c r="N3" i="3" s="1"/>
  <c r="L11" i="1"/>
  <c r="K11" i="1"/>
  <c r="K10" i="1"/>
  <c r="L10" i="1"/>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4" i="3"/>
  <c r="R5" i="3"/>
  <c r="R6" i="3"/>
  <c r="R7" i="3"/>
  <c r="R8" i="3"/>
  <c r="R9" i="3"/>
  <c r="R10" i="3"/>
  <c r="R11" i="3"/>
  <c r="R12" i="3"/>
  <c r="R13" i="3"/>
  <c r="R14" i="3"/>
  <c r="R15" i="3"/>
  <c r="R3" i="3"/>
  <c r="G4" i="3"/>
  <c r="T4" i="3" s="1"/>
  <c r="G5" i="3"/>
  <c r="Q5" i="3" s="1"/>
  <c r="T6" i="3"/>
  <c r="G7" i="3"/>
  <c r="Q7" i="3" s="1"/>
  <c r="G8" i="3"/>
  <c r="T8" i="3" s="1"/>
  <c r="G9" i="3"/>
  <c r="Q9" i="3" s="1"/>
  <c r="G10" i="3"/>
  <c r="T10" i="3" s="1"/>
  <c r="G11" i="3"/>
  <c r="Q11" i="3" s="1"/>
  <c r="G12" i="3"/>
  <c r="T12" i="3" s="1"/>
  <c r="G13" i="3"/>
  <c r="Q13" i="3" s="1"/>
  <c r="G14" i="3"/>
  <c r="T14" i="3" s="1"/>
  <c r="G15" i="3"/>
  <c r="Q15" i="3" s="1"/>
  <c r="G16" i="3"/>
  <c r="T16" i="3" s="1"/>
  <c r="G17" i="3"/>
  <c r="G18" i="3"/>
  <c r="Q18" i="3" s="1"/>
  <c r="G19" i="3"/>
  <c r="G20" i="3"/>
  <c r="T20" i="3" s="1"/>
  <c r="G21" i="3"/>
  <c r="G22" i="3"/>
  <c r="T22" i="3" s="1"/>
  <c r="G23" i="3"/>
  <c r="Q23" i="3" s="1"/>
  <c r="G24" i="3"/>
  <c r="G25" i="3"/>
  <c r="T25" i="3" s="1"/>
  <c r="G26" i="3"/>
  <c r="G27" i="3"/>
  <c r="Q27" i="3" s="1"/>
  <c r="G28" i="3"/>
  <c r="G29" i="3"/>
  <c r="T29" i="3" s="1"/>
  <c r="G30" i="3"/>
  <c r="G31" i="3"/>
  <c r="Q31" i="3" s="1"/>
  <c r="G32" i="3"/>
  <c r="G33" i="3"/>
  <c r="T33" i="3" s="1"/>
  <c r="G34" i="3"/>
  <c r="G35" i="3"/>
  <c r="Q35" i="3" s="1"/>
  <c r="G36" i="3"/>
  <c r="G37" i="3"/>
  <c r="T37" i="3" s="1"/>
  <c r="G38" i="3"/>
  <c r="G39" i="3"/>
  <c r="Q39" i="3" s="1"/>
  <c r="G40" i="3"/>
  <c r="G41" i="3"/>
  <c r="T41" i="3" s="1"/>
  <c r="G42" i="3"/>
  <c r="G43" i="3"/>
  <c r="Q43" i="3" s="1"/>
  <c r="G44" i="3"/>
  <c r="G45" i="3"/>
  <c r="T45" i="3" s="1"/>
  <c r="G46" i="3"/>
  <c r="G47" i="3"/>
  <c r="Q47" i="3" s="1"/>
  <c r="G48" i="3"/>
  <c r="G49" i="3"/>
  <c r="T49" i="3" s="1"/>
  <c r="G50" i="3"/>
  <c r="G51" i="3"/>
  <c r="Q51" i="3" s="1"/>
  <c r="G52" i="3"/>
  <c r="G53" i="3"/>
  <c r="T53" i="3" s="1"/>
  <c r="G54" i="3"/>
  <c r="G55" i="3"/>
  <c r="Q55" i="3" s="1"/>
  <c r="G56" i="3"/>
  <c r="G57" i="3"/>
  <c r="T57" i="3" s="1"/>
  <c r="G58" i="3"/>
  <c r="G59" i="3"/>
  <c r="Q59" i="3" s="1"/>
  <c r="G60" i="3"/>
  <c r="G61" i="3"/>
  <c r="T61" i="3" s="1"/>
  <c r="G62" i="3"/>
  <c r="G63" i="3"/>
  <c r="Q63" i="3" s="1"/>
  <c r="G64" i="3"/>
  <c r="G65" i="3"/>
  <c r="T65" i="3" s="1"/>
  <c r="G66" i="3"/>
  <c r="G67" i="3"/>
  <c r="Q67" i="3" s="1"/>
  <c r="G68" i="3"/>
  <c r="G69" i="3"/>
  <c r="T69" i="3" s="1"/>
  <c r="G70" i="3"/>
  <c r="G71" i="3"/>
  <c r="Q71" i="3" s="1"/>
  <c r="G72" i="3"/>
  <c r="T72" i="3" s="1"/>
  <c r="G73" i="3"/>
  <c r="T73" i="3" s="1"/>
  <c r="G74" i="3"/>
  <c r="T74" i="3" s="1"/>
  <c r="G75" i="3"/>
  <c r="Q75" i="3" s="1"/>
  <c r="G76" i="3"/>
  <c r="T76" i="3" s="1"/>
  <c r="G77" i="3"/>
  <c r="T77" i="3" s="1"/>
  <c r="G78" i="3"/>
  <c r="T78" i="3" s="1"/>
  <c r="G79" i="3"/>
  <c r="Q79" i="3" s="1"/>
  <c r="G80" i="3"/>
  <c r="T80" i="3" s="1"/>
  <c r="G81" i="3"/>
  <c r="T81" i="3" s="1"/>
  <c r="G82" i="3"/>
  <c r="T82" i="3" s="1"/>
  <c r="G83" i="3"/>
  <c r="Q83" i="3" s="1"/>
  <c r="G84" i="3"/>
  <c r="T84" i="3" s="1"/>
  <c r="G85" i="3"/>
  <c r="T85" i="3" s="1"/>
  <c r="G86" i="3"/>
  <c r="T86" i="3" s="1"/>
  <c r="G87" i="3"/>
  <c r="Q87" i="3" s="1"/>
  <c r="G88" i="3"/>
  <c r="T88" i="3" s="1"/>
  <c r="G89" i="3"/>
  <c r="T89" i="3" s="1"/>
  <c r="G90" i="3"/>
  <c r="T90" i="3" s="1"/>
  <c r="G91" i="3"/>
  <c r="Q91" i="3" s="1"/>
  <c r="G92" i="3"/>
  <c r="T92" i="3" s="1"/>
  <c r="G93" i="3"/>
  <c r="G94" i="3"/>
  <c r="G95" i="3"/>
  <c r="G3" i="3"/>
  <c r="T3" i="3" s="1"/>
  <c r="M9" i="3"/>
  <c r="N9" i="3" s="1"/>
  <c r="M13" i="3"/>
  <c r="N13" i="3" s="1"/>
  <c r="M21" i="3"/>
  <c r="N21" i="3" s="1"/>
  <c r="M34" i="3"/>
  <c r="N34" i="3" s="1"/>
  <c r="M42" i="3"/>
  <c r="N42" i="3" s="1"/>
  <c r="M50" i="3"/>
  <c r="N50" i="3" s="1"/>
  <c r="M58" i="3"/>
  <c r="N58" i="3" s="1"/>
  <c r="M66" i="3"/>
  <c r="N66" i="3" s="1"/>
  <c r="M71" i="3"/>
  <c r="N71" i="3" s="1"/>
  <c r="M75" i="3"/>
  <c r="N75" i="3" s="1"/>
  <c r="M79" i="3"/>
  <c r="N79" i="3" s="1"/>
  <c r="M83" i="3"/>
  <c r="N83" i="3" s="1"/>
  <c r="M87" i="3"/>
  <c r="N87" i="3" s="1"/>
  <c r="M91" i="3"/>
  <c r="N91" i="3" s="1"/>
  <c r="J4" i="3"/>
  <c r="K4" i="3" s="1"/>
  <c r="J5" i="3"/>
  <c r="K5" i="3" s="1"/>
  <c r="J6" i="3"/>
  <c r="J7" i="3"/>
  <c r="K7" i="3" s="1"/>
  <c r="J8" i="3"/>
  <c r="K8" i="3" s="1"/>
  <c r="J9" i="3"/>
  <c r="K9" i="3" s="1"/>
  <c r="J10" i="3"/>
  <c r="K10" i="3" s="1"/>
  <c r="J11" i="3"/>
  <c r="K11" i="3" s="1"/>
  <c r="J12" i="3"/>
  <c r="K12" i="3" s="1"/>
  <c r="J13" i="3"/>
  <c r="K13" i="3" s="1"/>
  <c r="J14" i="3"/>
  <c r="K14" i="3" s="1"/>
  <c r="J15" i="3"/>
  <c r="K15" i="3" s="1"/>
  <c r="J16" i="3"/>
  <c r="K16" i="3" s="1"/>
  <c r="J17" i="3"/>
  <c r="K17" i="3" s="1"/>
  <c r="J18" i="3"/>
  <c r="K18" i="3" s="1"/>
  <c r="J19" i="3"/>
  <c r="K19" i="3" s="1"/>
  <c r="J20" i="3"/>
  <c r="K20" i="3" s="1"/>
  <c r="J21" i="3"/>
  <c r="K21" i="3" s="1"/>
  <c r="J22" i="3"/>
  <c r="K22" i="3" s="1"/>
  <c r="J23" i="3"/>
  <c r="K23" i="3" s="1"/>
  <c r="J24" i="3"/>
  <c r="K24" i="3" s="1"/>
  <c r="J25" i="3"/>
  <c r="K25" i="3" s="1"/>
  <c r="J26" i="3"/>
  <c r="K26" i="3" s="1"/>
  <c r="J27" i="3"/>
  <c r="K27" i="3" s="1"/>
  <c r="J28" i="3"/>
  <c r="K28" i="3" s="1"/>
  <c r="J29" i="3"/>
  <c r="K29" i="3" s="1"/>
  <c r="J30" i="3"/>
  <c r="K30" i="3" s="1"/>
  <c r="J31" i="3"/>
  <c r="K31" i="3" s="1"/>
  <c r="J32" i="3"/>
  <c r="K32" i="3" s="1"/>
  <c r="J33" i="3"/>
  <c r="K33" i="3" s="1"/>
  <c r="J34" i="3"/>
  <c r="K34" i="3" s="1"/>
  <c r="J35" i="3"/>
  <c r="K35" i="3" s="1"/>
  <c r="J36" i="3"/>
  <c r="K36" i="3" s="1"/>
  <c r="J37" i="3"/>
  <c r="K37" i="3" s="1"/>
  <c r="J38" i="3"/>
  <c r="K38" i="3" s="1"/>
  <c r="J39" i="3"/>
  <c r="K39" i="3" s="1"/>
  <c r="J40" i="3"/>
  <c r="K40" i="3" s="1"/>
  <c r="J41" i="3"/>
  <c r="K41" i="3" s="1"/>
  <c r="J42" i="3"/>
  <c r="K42" i="3" s="1"/>
  <c r="J43" i="3"/>
  <c r="K43" i="3" s="1"/>
  <c r="J44" i="3"/>
  <c r="K44" i="3" s="1"/>
  <c r="J45" i="3"/>
  <c r="K45" i="3" s="1"/>
  <c r="J46" i="3"/>
  <c r="K46" i="3" s="1"/>
  <c r="J47" i="3"/>
  <c r="K47" i="3" s="1"/>
  <c r="J48" i="3"/>
  <c r="K48" i="3" s="1"/>
  <c r="J49" i="3"/>
  <c r="K49" i="3" s="1"/>
  <c r="J50" i="3"/>
  <c r="K50" i="3" s="1"/>
  <c r="J51" i="3"/>
  <c r="K51" i="3" s="1"/>
  <c r="J52" i="3"/>
  <c r="K52" i="3" s="1"/>
  <c r="J53" i="3"/>
  <c r="K53" i="3" s="1"/>
  <c r="J54" i="3"/>
  <c r="K54" i="3" s="1"/>
  <c r="J55" i="3"/>
  <c r="K55" i="3" s="1"/>
  <c r="J56" i="3"/>
  <c r="J57" i="3"/>
  <c r="K57" i="3" s="1"/>
  <c r="J58" i="3"/>
  <c r="K58" i="3" s="1"/>
  <c r="J59" i="3"/>
  <c r="K59" i="3" s="1"/>
  <c r="J60" i="3"/>
  <c r="K60" i="3" s="1"/>
  <c r="J61" i="3"/>
  <c r="K61" i="3" s="1"/>
  <c r="J62" i="3"/>
  <c r="K62" i="3" s="1"/>
  <c r="J63" i="3"/>
  <c r="K63" i="3" s="1"/>
  <c r="J64" i="3"/>
  <c r="K64" i="3" s="1"/>
  <c r="J65" i="3"/>
  <c r="K65" i="3" s="1"/>
  <c r="J66" i="3"/>
  <c r="K66" i="3" s="1"/>
  <c r="J67" i="3"/>
  <c r="K67" i="3" s="1"/>
  <c r="J68" i="3"/>
  <c r="K68" i="3" s="1"/>
  <c r="J69" i="3"/>
  <c r="K69" i="3" s="1"/>
  <c r="J70" i="3"/>
  <c r="K70" i="3" s="1"/>
  <c r="J71" i="3"/>
  <c r="K71" i="3" s="1"/>
  <c r="J72" i="3"/>
  <c r="K72" i="3" s="1"/>
  <c r="J73" i="3"/>
  <c r="K73" i="3" s="1"/>
  <c r="J74" i="3"/>
  <c r="K74" i="3" s="1"/>
  <c r="J75" i="3"/>
  <c r="K75" i="3" s="1"/>
  <c r="J76" i="3"/>
  <c r="K76" i="3" s="1"/>
  <c r="J77" i="3"/>
  <c r="K77" i="3" s="1"/>
  <c r="J78" i="3"/>
  <c r="K78" i="3" s="1"/>
  <c r="J79" i="3"/>
  <c r="K79" i="3" s="1"/>
  <c r="J80" i="3"/>
  <c r="K80" i="3" s="1"/>
  <c r="J81" i="3"/>
  <c r="K81" i="3" s="1"/>
  <c r="J82" i="3"/>
  <c r="K82" i="3" s="1"/>
  <c r="J83" i="3"/>
  <c r="K83" i="3" s="1"/>
  <c r="J84" i="3"/>
  <c r="K84" i="3" s="1"/>
  <c r="J85" i="3"/>
  <c r="K85" i="3" s="1"/>
  <c r="J86" i="3"/>
  <c r="K86" i="3" s="1"/>
  <c r="J87" i="3"/>
  <c r="K87" i="3" s="1"/>
  <c r="J88" i="3"/>
  <c r="K88" i="3" s="1"/>
  <c r="J89" i="3"/>
  <c r="K89" i="3" s="1"/>
  <c r="J90" i="3"/>
  <c r="K90" i="3" s="1"/>
  <c r="J91" i="3"/>
  <c r="K91" i="3" s="1"/>
  <c r="J92" i="3"/>
  <c r="K92" i="3" s="1"/>
  <c r="J3" i="3"/>
  <c r="K3" i="3" s="1"/>
  <c r="Q93" i="3" l="1"/>
  <c r="T93" i="3"/>
  <c r="T95" i="3"/>
  <c r="Q95" i="3"/>
  <c r="T94" i="3"/>
  <c r="Q94" i="3"/>
  <c r="O66" i="3"/>
  <c r="K70" i="1" s="1"/>
  <c r="O58" i="3"/>
  <c r="K63" i="1" s="1"/>
  <c r="O50" i="3"/>
  <c r="K53" i="1" s="1"/>
  <c r="O42" i="3"/>
  <c r="K47" i="1" s="1"/>
  <c r="O34" i="3"/>
  <c r="K36" i="1" s="1"/>
  <c r="O21" i="3"/>
  <c r="K33" i="1" s="1"/>
  <c r="O4" i="3"/>
  <c r="K9" i="1" s="1"/>
  <c r="O19" i="3"/>
  <c r="O17" i="3"/>
  <c r="K85" i="1" s="1"/>
  <c r="O14" i="3"/>
  <c r="K18" i="1" s="1"/>
  <c r="O12" i="3"/>
  <c r="K16" i="1" s="1"/>
  <c r="O10" i="3"/>
  <c r="K14" i="1" s="1"/>
  <c r="O8" i="3"/>
  <c r="K12" i="1" s="1"/>
  <c r="O62" i="3"/>
  <c r="K58" i="1" s="1"/>
  <c r="O54" i="3"/>
  <c r="K44" i="1" s="1"/>
  <c r="O46" i="3"/>
  <c r="K66" i="1" s="1"/>
  <c r="O38" i="3"/>
  <c r="L40" i="1" s="1"/>
  <c r="O28" i="3"/>
  <c r="K30" i="1" s="1"/>
  <c r="O92" i="3"/>
  <c r="K96" i="1" s="1"/>
  <c r="O88" i="3"/>
  <c r="K92" i="1" s="1"/>
  <c r="O84" i="3"/>
  <c r="K88" i="1" s="1"/>
  <c r="O80" i="3"/>
  <c r="K114" i="1" s="1"/>
  <c r="O76" i="3"/>
  <c r="K35" i="1" s="1"/>
  <c r="O72" i="3"/>
  <c r="K67" i="1" s="1"/>
  <c r="O68" i="3"/>
  <c r="K72" i="1" s="1"/>
  <c r="O64" i="3"/>
  <c r="K68" i="1" s="1"/>
  <c r="O60" i="3"/>
  <c r="K64" i="1" s="1"/>
  <c r="O52" i="3"/>
  <c r="K54" i="1" s="1"/>
  <c r="O48" i="3"/>
  <c r="K56" i="1" s="1"/>
  <c r="O44" i="3"/>
  <c r="K177" i="1" s="1"/>
  <c r="O40" i="3"/>
  <c r="K45" i="1" s="1"/>
  <c r="O36" i="3"/>
  <c r="K38" i="1" s="1"/>
  <c r="O32" i="3"/>
  <c r="K43" i="1" s="1"/>
  <c r="O30" i="3"/>
  <c r="K32" i="1" s="1"/>
  <c r="O26" i="3"/>
  <c r="K28" i="1" s="1"/>
  <c r="O24" i="3"/>
  <c r="K26" i="1" s="1"/>
  <c r="O90" i="3"/>
  <c r="K160" i="1" s="1"/>
  <c r="O74" i="3"/>
  <c r="K78" i="1" s="1"/>
  <c r="O3" i="3"/>
  <c r="K8" i="1" s="1"/>
  <c r="O91" i="3"/>
  <c r="K95" i="1" s="1"/>
  <c r="O89" i="3"/>
  <c r="K50" i="1" s="1"/>
  <c r="O87" i="3"/>
  <c r="K91" i="1" s="1"/>
  <c r="O85" i="3"/>
  <c r="K221" i="1" s="1"/>
  <c r="O83" i="3"/>
  <c r="K87" i="1" s="1"/>
  <c r="O81" i="3"/>
  <c r="K59" i="1" s="1"/>
  <c r="O79" i="3"/>
  <c r="K83" i="1" s="1"/>
  <c r="O77" i="3"/>
  <c r="K81" i="1" s="1"/>
  <c r="O73" i="3"/>
  <c r="K77" i="1" s="1"/>
  <c r="O71" i="3"/>
  <c r="K93" i="1" s="1"/>
  <c r="O15" i="3"/>
  <c r="O11" i="3"/>
  <c r="K15" i="1" s="1"/>
  <c r="O86" i="3"/>
  <c r="K90" i="1" s="1"/>
  <c r="O78" i="3"/>
  <c r="K82" i="1" s="1"/>
  <c r="O70" i="3"/>
  <c r="K74" i="1" s="1"/>
  <c r="O13" i="3"/>
  <c r="K17" i="1" s="1"/>
  <c r="O9" i="3"/>
  <c r="K207" i="1" s="1"/>
  <c r="O67" i="3"/>
  <c r="K51" i="1" s="1"/>
  <c r="O65" i="3"/>
  <c r="K69" i="1" s="1"/>
  <c r="O63" i="3"/>
  <c r="K154" i="1" s="1"/>
  <c r="O61" i="3"/>
  <c r="K65" i="1" s="1"/>
  <c r="O59" i="3"/>
  <c r="K60" i="1" s="1"/>
  <c r="O57" i="3"/>
  <c r="O55" i="3"/>
  <c r="K75" i="1" s="1"/>
  <c r="O53" i="3"/>
  <c r="K57" i="1" s="1"/>
  <c r="O51" i="3"/>
  <c r="K213" i="1" s="1"/>
  <c r="O49" i="3"/>
  <c r="K61" i="1" s="1"/>
  <c r="O47" i="3"/>
  <c r="K49" i="1" s="1"/>
  <c r="O45" i="3"/>
  <c r="K52" i="1" s="1"/>
  <c r="O43" i="3"/>
  <c r="K55" i="1" s="1"/>
  <c r="O41" i="3"/>
  <c r="K46" i="1" s="1"/>
  <c r="O39" i="3"/>
  <c r="K84" i="1" s="1"/>
  <c r="O37" i="3"/>
  <c r="K39" i="1" s="1"/>
  <c r="O35" i="3"/>
  <c r="K94" i="1" s="1"/>
  <c r="O33" i="3"/>
  <c r="K199" i="1" s="1"/>
  <c r="O31" i="3"/>
  <c r="K42" i="1" s="1"/>
  <c r="O29" i="3"/>
  <c r="K31" i="1" s="1"/>
  <c r="O27" i="3"/>
  <c r="K216" i="1" s="1"/>
  <c r="O25" i="3"/>
  <c r="K184" i="1" s="1"/>
  <c r="O23" i="3"/>
  <c r="K25" i="1" s="1"/>
  <c r="O22" i="3"/>
  <c r="K34" i="1" s="1"/>
  <c r="O20" i="3"/>
  <c r="O18" i="3"/>
  <c r="O16" i="3"/>
  <c r="K20" i="1" s="1"/>
  <c r="P90" i="3"/>
  <c r="M160" i="1" s="1"/>
  <c r="P86" i="3"/>
  <c r="M90" i="1" s="1"/>
  <c r="P78" i="3"/>
  <c r="M82" i="1" s="1"/>
  <c r="P74" i="3"/>
  <c r="M78" i="1" s="1"/>
  <c r="P70" i="3"/>
  <c r="M74" i="1" s="1"/>
  <c r="P66" i="3"/>
  <c r="M70" i="1" s="1"/>
  <c r="P62" i="3"/>
  <c r="M58" i="1" s="1"/>
  <c r="P58" i="3"/>
  <c r="M63" i="1" s="1"/>
  <c r="P54" i="3"/>
  <c r="M44" i="1" s="1"/>
  <c r="P50" i="3"/>
  <c r="M53" i="1" s="1"/>
  <c r="P46" i="3"/>
  <c r="M66" i="1" s="1"/>
  <c r="P42" i="3"/>
  <c r="M47" i="1" s="1"/>
  <c r="P38" i="3"/>
  <c r="M40" i="1" s="1"/>
  <c r="P34" i="3"/>
  <c r="M36" i="1" s="1"/>
  <c r="P30" i="3"/>
  <c r="M32" i="1" s="1"/>
  <c r="P26" i="3"/>
  <c r="M28" i="1" s="1"/>
  <c r="P17" i="3"/>
  <c r="M85" i="1" s="1"/>
  <c r="P15" i="3"/>
  <c r="M19" i="1" s="1"/>
  <c r="P11" i="3"/>
  <c r="P91" i="3"/>
  <c r="M95" i="1" s="1"/>
  <c r="P89" i="3"/>
  <c r="M50" i="1" s="1"/>
  <c r="P87" i="3"/>
  <c r="M91" i="1" s="1"/>
  <c r="P85" i="3"/>
  <c r="M221" i="1" s="1"/>
  <c r="P83" i="3"/>
  <c r="M87" i="1" s="1"/>
  <c r="P81" i="3"/>
  <c r="M59" i="1" s="1"/>
  <c r="P79" i="3"/>
  <c r="M83" i="1" s="1"/>
  <c r="P77" i="3"/>
  <c r="M81" i="1" s="1"/>
  <c r="P73" i="3"/>
  <c r="M77" i="1" s="1"/>
  <c r="P71" i="3"/>
  <c r="M93" i="1" s="1"/>
  <c r="P67" i="3"/>
  <c r="M51" i="1" s="1"/>
  <c r="P65" i="3"/>
  <c r="M69" i="1" s="1"/>
  <c r="P63" i="3"/>
  <c r="M154" i="1" s="1"/>
  <c r="P61" i="3"/>
  <c r="M65" i="1" s="1"/>
  <c r="P59" i="3"/>
  <c r="M60" i="1" s="1"/>
  <c r="P57" i="3"/>
  <c r="P55" i="3"/>
  <c r="M75" i="1" s="1"/>
  <c r="P53" i="3"/>
  <c r="M57" i="1" s="1"/>
  <c r="P51" i="3"/>
  <c r="M213" i="1" s="1"/>
  <c r="P49" i="3"/>
  <c r="M61" i="1" s="1"/>
  <c r="P47" i="3"/>
  <c r="M49" i="1" s="1"/>
  <c r="P45" i="3"/>
  <c r="M52" i="1" s="1"/>
  <c r="P43" i="3"/>
  <c r="M55" i="1" s="1"/>
  <c r="P41" i="3"/>
  <c r="M46" i="1" s="1"/>
  <c r="P39" i="3"/>
  <c r="M84" i="1" s="1"/>
  <c r="P37" i="3"/>
  <c r="M39" i="1" s="1"/>
  <c r="P35" i="3"/>
  <c r="M94" i="1" s="1"/>
  <c r="P33" i="3"/>
  <c r="M199" i="1" s="1"/>
  <c r="P31" i="3"/>
  <c r="M42" i="1" s="1"/>
  <c r="P29" i="3"/>
  <c r="M31" i="1" s="1"/>
  <c r="P27" i="3"/>
  <c r="M216" i="1" s="1"/>
  <c r="P25" i="3"/>
  <c r="M184" i="1" s="1"/>
  <c r="P23" i="3"/>
  <c r="M25" i="1" s="1"/>
  <c r="P22" i="3"/>
  <c r="M34" i="1" s="1"/>
  <c r="P20" i="3"/>
  <c r="P18" i="3"/>
  <c r="P16" i="3"/>
  <c r="M20" i="1" s="1"/>
  <c r="P14" i="3"/>
  <c r="M18" i="1" s="1"/>
  <c r="P12" i="3"/>
  <c r="M16" i="1" s="1"/>
  <c r="P10" i="3"/>
  <c r="M14" i="1" s="1"/>
  <c r="P8" i="3"/>
  <c r="M12" i="1" s="1"/>
  <c r="P4" i="3"/>
  <c r="M9" i="1" s="1"/>
  <c r="P3" i="3"/>
  <c r="M8" i="1" s="1"/>
  <c r="P92" i="3"/>
  <c r="M96" i="1" s="1"/>
  <c r="P88" i="3"/>
  <c r="M92" i="1" s="1"/>
  <c r="P84" i="3"/>
  <c r="M88" i="1" s="1"/>
  <c r="P80" i="3"/>
  <c r="M114" i="1" s="1"/>
  <c r="P76" i="3"/>
  <c r="M35" i="1" s="1"/>
  <c r="P72" i="3"/>
  <c r="M67" i="1" s="1"/>
  <c r="P68" i="3"/>
  <c r="M72" i="1" s="1"/>
  <c r="P64" i="3"/>
  <c r="M68" i="1" s="1"/>
  <c r="P60" i="3"/>
  <c r="M64" i="1" s="1"/>
  <c r="P52" i="3"/>
  <c r="M54" i="1" s="1"/>
  <c r="P48" i="3"/>
  <c r="P44" i="3"/>
  <c r="M177" i="1" s="1"/>
  <c r="P40" i="3"/>
  <c r="M45" i="1" s="1"/>
  <c r="P36" i="3"/>
  <c r="M38" i="1" s="1"/>
  <c r="P32" i="3"/>
  <c r="M43" i="1" s="1"/>
  <c r="P28" i="3"/>
  <c r="M30" i="1" s="1"/>
  <c r="P24" i="3"/>
  <c r="M26" i="1" s="1"/>
  <c r="P21" i="3"/>
  <c r="M33" i="1" s="1"/>
  <c r="P19" i="3"/>
  <c r="P13" i="3"/>
  <c r="M17" i="1" s="1"/>
  <c r="P9" i="3"/>
  <c r="M207" i="1" s="1"/>
  <c r="Q92" i="3"/>
  <c r="U92" i="3" s="1"/>
  <c r="L96" i="1" s="1"/>
  <c r="Q84" i="3"/>
  <c r="U84" i="3" s="1"/>
  <c r="L88" i="1" s="1"/>
  <c r="Q76" i="3"/>
  <c r="U76" i="3" s="1"/>
  <c r="L35" i="1" s="1"/>
  <c r="T7" i="3"/>
  <c r="Q88" i="3"/>
  <c r="U88" i="3" s="1"/>
  <c r="L92" i="1" s="1"/>
  <c r="Q80" i="3"/>
  <c r="U80" i="3" s="1"/>
  <c r="L114" i="1" s="1"/>
  <c r="Q72" i="3"/>
  <c r="U72" i="3" s="1"/>
  <c r="L67" i="1" s="1"/>
  <c r="T15" i="3"/>
  <c r="U15" i="3" s="1"/>
  <c r="Q90" i="3"/>
  <c r="U90" i="3" s="1"/>
  <c r="L160" i="1" s="1"/>
  <c r="Q86" i="3"/>
  <c r="U86" i="3" s="1"/>
  <c r="L90" i="1" s="1"/>
  <c r="Q82" i="3"/>
  <c r="Q78" i="3"/>
  <c r="U78" i="3" s="1"/>
  <c r="L82" i="1" s="1"/>
  <c r="Q74" i="3"/>
  <c r="U74" i="3" s="1"/>
  <c r="L78" i="1" s="1"/>
  <c r="T11" i="3"/>
  <c r="U11" i="3" s="1"/>
  <c r="L15" i="1" s="1"/>
  <c r="Q69" i="3"/>
  <c r="Q65" i="3"/>
  <c r="U65" i="3" s="1"/>
  <c r="L69" i="1" s="1"/>
  <c r="Q61" i="3"/>
  <c r="Q57" i="3"/>
  <c r="U57" i="3" s="1"/>
  <c r="Q53" i="3"/>
  <c r="Q49" i="3"/>
  <c r="U49" i="3" s="1"/>
  <c r="L61" i="1" s="1"/>
  <c r="Q45" i="3"/>
  <c r="Q41" i="3"/>
  <c r="U41" i="3" s="1"/>
  <c r="L46" i="1" s="1"/>
  <c r="Q37" i="3"/>
  <c r="Q33" i="3"/>
  <c r="U33" i="3" s="1"/>
  <c r="L199" i="1" s="1"/>
  <c r="Q29" i="3"/>
  <c r="Q25" i="3"/>
  <c r="U25" i="3" s="1"/>
  <c r="L184" i="1" s="1"/>
  <c r="Q22" i="3"/>
  <c r="Q20" i="3"/>
  <c r="U20" i="3" s="1"/>
  <c r="Q16" i="3"/>
  <c r="Q14" i="3"/>
  <c r="U14" i="3" s="1"/>
  <c r="Q10" i="3"/>
  <c r="Q6" i="3"/>
  <c r="T91" i="3"/>
  <c r="U91" i="3" s="1"/>
  <c r="L95" i="1" s="1"/>
  <c r="T87" i="3"/>
  <c r="U87" i="3" s="1"/>
  <c r="L91" i="1" s="1"/>
  <c r="T83" i="3"/>
  <c r="U83" i="3" s="1"/>
  <c r="L87" i="1" s="1"/>
  <c r="T79" i="3"/>
  <c r="U79" i="3" s="1"/>
  <c r="L83" i="1" s="1"/>
  <c r="T75" i="3"/>
  <c r="T71" i="3"/>
  <c r="U71" i="3" s="1"/>
  <c r="L93" i="1" s="1"/>
  <c r="T67" i="3"/>
  <c r="T63" i="3"/>
  <c r="U63" i="3" s="1"/>
  <c r="L154" i="1" s="1"/>
  <c r="T59" i="3"/>
  <c r="U59" i="3" s="1"/>
  <c r="L60" i="1" s="1"/>
  <c r="T55" i="3"/>
  <c r="U55" i="3" s="1"/>
  <c r="L75" i="1" s="1"/>
  <c r="T51" i="3"/>
  <c r="U51" i="3" s="1"/>
  <c r="L213" i="1" s="1"/>
  <c r="T47" i="3"/>
  <c r="U47" i="3" s="1"/>
  <c r="L49" i="1" s="1"/>
  <c r="T43" i="3"/>
  <c r="U43" i="3" s="1"/>
  <c r="L55" i="1" s="1"/>
  <c r="T39" i="3"/>
  <c r="T35" i="3"/>
  <c r="U35" i="3" s="1"/>
  <c r="L94" i="1" s="1"/>
  <c r="T31" i="3"/>
  <c r="T27" i="3"/>
  <c r="U27" i="3" s="1"/>
  <c r="L216" i="1" s="1"/>
  <c r="T23" i="3"/>
  <c r="T18" i="3"/>
  <c r="T70" i="3"/>
  <c r="Q70" i="3"/>
  <c r="T68" i="3"/>
  <c r="Q68" i="3"/>
  <c r="T66" i="3"/>
  <c r="Q66" i="3"/>
  <c r="T64" i="3"/>
  <c r="Q64" i="3"/>
  <c r="T62" i="3"/>
  <c r="Q62" i="3"/>
  <c r="T60" i="3"/>
  <c r="Q60" i="3"/>
  <c r="T58" i="3"/>
  <c r="Q58" i="3"/>
  <c r="T56" i="3"/>
  <c r="Q56" i="3"/>
  <c r="T54" i="3"/>
  <c r="Q54" i="3"/>
  <c r="T52" i="3"/>
  <c r="Q52" i="3"/>
  <c r="T50" i="3"/>
  <c r="Q50" i="3"/>
  <c r="T48" i="3"/>
  <c r="Q48" i="3"/>
  <c r="T46" i="3"/>
  <c r="Q46" i="3"/>
  <c r="T44" i="3"/>
  <c r="Q44" i="3"/>
  <c r="T42" i="3"/>
  <c r="Q42" i="3"/>
  <c r="T40" i="3"/>
  <c r="Q40" i="3"/>
  <c r="T38" i="3"/>
  <c r="Q38" i="3"/>
  <c r="T36" i="3"/>
  <c r="Q36" i="3"/>
  <c r="T34" i="3"/>
  <c r="Q34" i="3"/>
  <c r="T32" i="3"/>
  <c r="Q32" i="3"/>
  <c r="T30" i="3"/>
  <c r="Q30" i="3"/>
  <c r="T28" i="3"/>
  <c r="Q28" i="3"/>
  <c r="T26" i="3"/>
  <c r="Q26" i="3"/>
  <c r="T24" i="3"/>
  <c r="Q24" i="3"/>
  <c r="T21" i="3"/>
  <c r="Q21" i="3"/>
  <c r="T19" i="3"/>
  <c r="Q19" i="3"/>
  <c r="T17" i="3"/>
  <c r="Q17" i="3"/>
  <c r="Q3" i="3"/>
  <c r="U3" i="3" s="1"/>
  <c r="Q89" i="3"/>
  <c r="Q85" i="3"/>
  <c r="U85" i="3" s="1"/>
  <c r="L221" i="1" s="1"/>
  <c r="Q81" i="3"/>
  <c r="Q77" i="3"/>
  <c r="U77" i="3" s="1"/>
  <c r="L81" i="1" s="1"/>
  <c r="Q73" i="3"/>
  <c r="Q12" i="3"/>
  <c r="Q8" i="3"/>
  <c r="U8" i="3" s="1"/>
  <c r="L12" i="1" s="1"/>
  <c r="Q4" i="3"/>
  <c r="T13" i="3"/>
  <c r="U13" i="3" s="1"/>
  <c r="L17" i="1" s="1"/>
  <c r="T9" i="3"/>
  <c r="U9" i="3" s="1"/>
  <c r="L207" i="1" s="1"/>
  <c r="T5" i="3"/>
  <c r="U95" i="3" l="1"/>
  <c r="L99" i="1" s="1"/>
  <c r="U67" i="3"/>
  <c r="L51" i="1" s="1"/>
  <c r="U93" i="3"/>
  <c r="L97" i="1" s="1"/>
  <c r="U94" i="3"/>
  <c r="L80" i="1" s="1"/>
  <c r="M56" i="1"/>
  <c r="L56" i="1"/>
  <c r="M15" i="1"/>
  <c r="U17" i="3"/>
  <c r="L85" i="1" s="1"/>
  <c r="U19" i="3"/>
  <c r="U21" i="3"/>
  <c r="L33" i="1" s="1"/>
  <c r="U24" i="3"/>
  <c r="L26" i="1" s="1"/>
  <c r="U26" i="3"/>
  <c r="L28" i="1" s="1"/>
  <c r="U28" i="3"/>
  <c r="L30" i="1" s="1"/>
  <c r="U30" i="3"/>
  <c r="L32" i="1" s="1"/>
  <c r="U32" i="3"/>
  <c r="L43" i="1" s="1"/>
  <c r="U34" i="3"/>
  <c r="L36" i="1" s="1"/>
  <c r="U36" i="3"/>
  <c r="L38" i="1" s="1"/>
  <c r="U38" i="3"/>
  <c r="U40" i="3"/>
  <c r="L45" i="1" s="1"/>
  <c r="U42" i="3"/>
  <c r="L47" i="1" s="1"/>
  <c r="U44" i="3"/>
  <c r="L177" i="1" s="1"/>
  <c r="U46" i="3"/>
  <c r="L66" i="1" s="1"/>
  <c r="U48" i="3"/>
  <c r="U50" i="3"/>
  <c r="L53" i="1" s="1"/>
  <c r="U52" i="3"/>
  <c r="L54" i="1" s="1"/>
  <c r="U54" i="3"/>
  <c r="L44" i="1" s="1"/>
  <c r="U58" i="3"/>
  <c r="L63" i="1" s="1"/>
  <c r="U60" i="3"/>
  <c r="L64" i="1" s="1"/>
  <c r="U62" i="3"/>
  <c r="L58" i="1" s="1"/>
  <c r="U64" i="3"/>
  <c r="L68" i="1" s="1"/>
  <c r="U66" i="3"/>
  <c r="L70" i="1" s="1"/>
  <c r="U68" i="3"/>
  <c r="L72" i="1" s="1"/>
  <c r="U70" i="3"/>
  <c r="L74" i="1" s="1"/>
  <c r="U18" i="3"/>
  <c r="U23" i="3"/>
  <c r="L25" i="1" s="1"/>
  <c r="U31" i="3"/>
  <c r="L42" i="1" s="1"/>
  <c r="U39" i="3"/>
  <c r="L84" i="1" s="1"/>
  <c r="U4" i="3"/>
  <c r="L9" i="1" s="1"/>
  <c r="U12" i="3"/>
  <c r="L16" i="1" s="1"/>
  <c r="U73" i="3"/>
  <c r="L77" i="1" s="1"/>
  <c r="U81" i="3"/>
  <c r="L59" i="1" s="1"/>
  <c r="U89" i="3"/>
  <c r="L50" i="1" s="1"/>
  <c r="U10" i="3"/>
  <c r="L14" i="1" s="1"/>
  <c r="U16" i="3"/>
  <c r="L20" i="1" s="1"/>
  <c r="U22" i="3"/>
  <c r="L34" i="1" s="1"/>
  <c r="U29" i="3"/>
  <c r="L31" i="1" s="1"/>
  <c r="U37" i="3"/>
  <c r="L39" i="1" s="1"/>
  <c r="U45" i="3"/>
  <c r="L52" i="1" s="1"/>
  <c r="U53" i="3"/>
  <c r="L57" i="1" s="1"/>
  <c r="U61" i="3"/>
  <c r="L65" i="1" s="1"/>
  <c r="J93" i="1" l="1"/>
  <c r="J67" i="1"/>
  <c r="J57" i="1"/>
  <c r="J213" i="1"/>
  <c r="J66" i="1"/>
  <c r="J56" i="1"/>
  <c r="J49" i="1"/>
  <c r="J177" i="1"/>
  <c r="J5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Platz, Michelle</author>
    <author>Beaulieu, Jake</author>
    <author>U.S. EPA User or Contractor</author>
  </authors>
  <commentList>
    <comment ref="C2" authorId="0" shapeId="0" xr:uid="{00000000-0006-0000-0000-000001000000}">
      <text>
        <r>
          <rPr>
            <b/>
            <sz val="9"/>
            <color indexed="81"/>
            <rFont val="Tahoma"/>
            <family val="2"/>
          </rPr>
          <t>Platz, Michelle:</t>
        </r>
        <r>
          <rPr>
            <sz val="9"/>
            <color indexed="81"/>
            <rFont val="Tahoma"/>
            <family val="2"/>
          </rPr>
          <t xml:space="preserve">
Entry format is
 yyyy-mm-dd hh:mm</t>
        </r>
      </text>
    </comment>
    <comment ref="D2" authorId="0" shapeId="0" xr:uid="{00000000-0006-0000-0000-000002000000}">
      <text>
        <r>
          <rPr>
            <b/>
            <sz val="9"/>
            <color indexed="81"/>
            <rFont val="Tahoma"/>
            <family val="2"/>
          </rPr>
          <t>Platz, Michelle:</t>
        </r>
        <r>
          <rPr>
            <sz val="9"/>
            <color indexed="81"/>
            <rFont val="Tahoma"/>
            <family val="2"/>
          </rPr>
          <t xml:space="preserve">
Entry format is
 yyyy-mm-dd hh:mm</t>
        </r>
      </text>
    </comment>
    <comment ref="E2" authorId="0" shapeId="0" xr:uid="{00000000-0006-0000-0000-000003000000}">
      <text>
        <r>
          <rPr>
            <b/>
            <sz val="9"/>
            <color indexed="81"/>
            <rFont val="Tahoma"/>
            <family val="2"/>
          </rPr>
          <t>Platz, Michelle:</t>
        </r>
        <r>
          <rPr>
            <sz val="9"/>
            <color indexed="81"/>
            <rFont val="Tahoma"/>
            <family val="2"/>
          </rPr>
          <t xml:space="preserve">
Entry format is
 yyyy-mm-dd hh:mm</t>
        </r>
      </text>
    </comment>
    <comment ref="I2" authorId="1" shapeId="0" xr:uid="{00000000-0006-0000-0000-000004000000}">
      <text>
        <r>
          <rPr>
            <b/>
            <sz val="9"/>
            <color indexed="81"/>
            <rFont val="Tahoma"/>
            <charset val="1"/>
          </rPr>
          <t>Beaulieu, Jake:</t>
        </r>
        <r>
          <rPr>
            <sz val="9"/>
            <color indexed="81"/>
            <rFont val="Tahoma"/>
            <charset val="1"/>
          </rPr>
          <t xml:space="preserve">
For the typical sensor deployment, temperature is recorded in the "sensorCalcs" worksheet.  For passive trap deployments, there is no sensor data, therefore no entry is made in the "sensorCalcs" worksheet.  Rather, temp is recorded here and the temperature normalization calculation done here.</t>
        </r>
      </text>
    </comment>
    <comment ref="J2" authorId="1" shapeId="0" xr:uid="{00000000-0006-0000-0000-000005000000}">
      <text>
        <r>
          <rPr>
            <b/>
            <sz val="9"/>
            <color indexed="81"/>
            <rFont val="Tahoma"/>
            <charset val="1"/>
          </rPr>
          <t>Beaulieu, Jake:</t>
        </r>
        <r>
          <rPr>
            <sz val="9"/>
            <color indexed="81"/>
            <rFont val="Tahoma"/>
            <charset val="1"/>
          </rPr>
          <t xml:space="preserve">
When the height of the gas column was measured in the passive traps, we calculated the volume accoridng to V=pi*r^2*h.  ((PI()*(0.875^2)*height in in)*16.387)  
Tube diameter = 1 3/4", therfore radius = 0.875"
16.387 converts from in^3 to mL.</t>
        </r>
      </text>
    </comment>
    <comment ref="C3" authorId="1" shapeId="0" xr:uid="{00000000-0006-0000-0000-000006000000}">
      <text>
        <r>
          <rPr>
            <b/>
            <sz val="9"/>
            <color indexed="81"/>
            <rFont val="Tahoma"/>
            <family val="2"/>
          </rPr>
          <t>Beaulieu, Jake:</t>
        </r>
        <r>
          <rPr>
            <sz val="9"/>
            <color indexed="81"/>
            <rFont val="Tahoma"/>
            <family val="2"/>
          </rPr>
          <t xml:space="preserve">
Not recorded, so guessing</t>
        </r>
      </text>
    </comment>
    <comment ref="D3" authorId="1" shapeId="0" xr:uid="{00000000-0006-0000-0000-000007000000}">
      <text>
        <r>
          <rPr>
            <b/>
            <sz val="9"/>
            <color indexed="81"/>
            <rFont val="Tahoma"/>
            <family val="2"/>
          </rPr>
          <t>Beaulieu, Jake:</t>
        </r>
        <r>
          <rPr>
            <sz val="9"/>
            <color indexed="81"/>
            <rFont val="Tahoma"/>
            <family val="2"/>
          </rPr>
          <t xml:space="preserve">
no logger deployed</t>
        </r>
      </text>
    </comment>
    <comment ref="I3" authorId="1" shapeId="0" xr:uid="{00000000-0006-0000-0000-000008000000}">
      <text>
        <r>
          <rPr>
            <b/>
            <sz val="9"/>
            <color indexed="81"/>
            <rFont val="Tahoma"/>
            <charset val="1"/>
          </rPr>
          <t>Beaulieu, Jake:</t>
        </r>
        <r>
          <rPr>
            <sz val="9"/>
            <color indexed="81"/>
            <rFont val="Tahoma"/>
            <charset val="1"/>
          </rPr>
          <t xml:space="preserve">
Not needed for active trap deployments</t>
        </r>
      </text>
    </comment>
    <comment ref="O3" authorId="2" shapeId="0" xr:uid="{00000000-0006-0000-0000-00000900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5" authorId="1" shapeId="0" xr:uid="{00000000-0006-0000-0000-00000E000000}">
      <text>
        <r>
          <rPr>
            <b/>
            <sz val="9"/>
            <color indexed="81"/>
            <rFont val="Tahoma"/>
            <family val="2"/>
          </rPr>
          <t>Beaulieu, Jake:</t>
        </r>
        <r>
          <rPr>
            <sz val="9"/>
            <color indexed="81"/>
            <rFont val="Tahoma"/>
            <family val="2"/>
          </rPr>
          <t xml:space="preserve">
Not recorded, so guessing</t>
        </r>
      </text>
    </comment>
    <comment ref="D5" authorId="1" shapeId="0" xr:uid="{00000000-0006-0000-0000-00000F000000}">
      <text>
        <r>
          <rPr>
            <b/>
            <sz val="9"/>
            <color indexed="81"/>
            <rFont val="Tahoma"/>
            <family val="2"/>
          </rPr>
          <t>Beaulieu, Jake:</t>
        </r>
        <r>
          <rPr>
            <sz val="9"/>
            <color indexed="81"/>
            <rFont val="Tahoma"/>
            <family val="2"/>
          </rPr>
          <t xml:space="preserve">
no logger deployed</t>
        </r>
      </text>
    </comment>
    <comment ref="I5" authorId="1" shapeId="0" xr:uid="{00000000-0006-0000-0000-000010000000}">
      <text>
        <r>
          <rPr>
            <b/>
            <sz val="9"/>
            <color indexed="81"/>
            <rFont val="Tahoma"/>
            <charset val="1"/>
          </rPr>
          <t>Beaulieu, Jake:</t>
        </r>
        <r>
          <rPr>
            <sz val="9"/>
            <color indexed="81"/>
            <rFont val="Tahoma"/>
            <charset val="1"/>
          </rPr>
          <t xml:space="preserve">
Not needed for active trap deployments</t>
        </r>
      </text>
    </comment>
    <comment ref="O5" authorId="2" shapeId="0" xr:uid="{00000000-0006-0000-0000-00001100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6" authorId="1" shapeId="0" xr:uid="{00000000-0006-0000-0000-000012000000}">
      <text>
        <r>
          <rPr>
            <b/>
            <sz val="9"/>
            <color indexed="81"/>
            <rFont val="Tahoma"/>
            <family val="2"/>
          </rPr>
          <t>Beaulieu, Jake:</t>
        </r>
        <r>
          <rPr>
            <sz val="9"/>
            <color indexed="81"/>
            <rFont val="Tahoma"/>
            <family val="2"/>
          </rPr>
          <t xml:space="preserve">
Not recorded, so guessing</t>
        </r>
      </text>
    </comment>
    <comment ref="D6" authorId="1" shapeId="0" xr:uid="{00000000-0006-0000-0000-000013000000}">
      <text>
        <r>
          <rPr>
            <b/>
            <sz val="9"/>
            <color indexed="81"/>
            <rFont val="Tahoma"/>
            <family val="2"/>
          </rPr>
          <t>Beaulieu, Jake:</t>
        </r>
        <r>
          <rPr>
            <sz val="9"/>
            <color indexed="81"/>
            <rFont val="Tahoma"/>
            <family val="2"/>
          </rPr>
          <t xml:space="preserve">
no logger deployed</t>
        </r>
      </text>
    </comment>
    <comment ref="I6" authorId="1" shapeId="0" xr:uid="{00000000-0006-0000-0000-000014000000}">
      <text>
        <r>
          <rPr>
            <b/>
            <sz val="9"/>
            <color indexed="81"/>
            <rFont val="Tahoma"/>
            <charset val="1"/>
          </rPr>
          <t>Beaulieu, Jake:</t>
        </r>
        <r>
          <rPr>
            <sz val="9"/>
            <color indexed="81"/>
            <rFont val="Tahoma"/>
            <charset val="1"/>
          </rPr>
          <t xml:space="preserve">
Not needed for active trap deployments</t>
        </r>
      </text>
    </comment>
    <comment ref="O6" authorId="2" shapeId="0" xr:uid="{00000000-0006-0000-0000-00001500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7" authorId="1" shapeId="0" xr:uid="{00000000-0006-0000-0000-000016000000}">
      <text>
        <r>
          <rPr>
            <b/>
            <sz val="9"/>
            <color indexed="81"/>
            <rFont val="Tahoma"/>
            <family val="2"/>
          </rPr>
          <t>Beaulieu, Jake:</t>
        </r>
        <r>
          <rPr>
            <sz val="9"/>
            <color indexed="81"/>
            <rFont val="Tahoma"/>
            <family val="2"/>
          </rPr>
          <t xml:space="preserve">
Not recorded, so guessing</t>
        </r>
      </text>
    </comment>
    <comment ref="D7" authorId="1" shapeId="0" xr:uid="{00000000-0006-0000-0000-000017000000}">
      <text>
        <r>
          <rPr>
            <b/>
            <sz val="9"/>
            <color indexed="81"/>
            <rFont val="Tahoma"/>
            <family val="2"/>
          </rPr>
          <t>Beaulieu, Jake:</t>
        </r>
        <r>
          <rPr>
            <sz val="9"/>
            <color indexed="81"/>
            <rFont val="Tahoma"/>
            <family val="2"/>
          </rPr>
          <t xml:space="preserve">
no logger deployed</t>
        </r>
      </text>
    </comment>
    <comment ref="I7" authorId="1" shapeId="0" xr:uid="{00000000-0006-0000-0000-000018000000}">
      <text>
        <r>
          <rPr>
            <b/>
            <sz val="9"/>
            <color indexed="81"/>
            <rFont val="Tahoma"/>
            <charset val="1"/>
          </rPr>
          <t>Beaulieu, Jake:</t>
        </r>
        <r>
          <rPr>
            <sz val="9"/>
            <color indexed="81"/>
            <rFont val="Tahoma"/>
            <charset val="1"/>
          </rPr>
          <t xml:space="preserve">
Not needed for active trap deployments</t>
        </r>
      </text>
    </comment>
    <comment ref="O7" authorId="2" shapeId="0" xr:uid="{00000000-0006-0000-0000-00001900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F8" authorId="2" shapeId="0" xr:uid="{00000000-0006-0000-0000-00001A000000}">
      <text>
        <r>
          <rPr>
            <b/>
            <sz val="9"/>
            <color indexed="81"/>
            <rFont val="Tahoma"/>
            <family val="2"/>
          </rPr>
          <t>U.S. EPA User or Contractor:</t>
        </r>
        <r>
          <rPr>
            <sz val="9"/>
            <color indexed="81"/>
            <rFont val="Tahoma"/>
            <family val="2"/>
          </rPr>
          <t xml:space="preserve">
No coordinates recorded</t>
        </r>
      </text>
    </comment>
    <comment ref="G8" authorId="2" shapeId="0" xr:uid="{00000000-0006-0000-0000-00001B000000}">
      <text>
        <r>
          <rPr>
            <b/>
            <sz val="9"/>
            <color indexed="81"/>
            <rFont val="Tahoma"/>
            <family val="2"/>
          </rPr>
          <t>U.S. EPA User or Contractor:</t>
        </r>
        <r>
          <rPr>
            <sz val="9"/>
            <color indexed="81"/>
            <rFont val="Tahoma"/>
            <family val="2"/>
          </rPr>
          <t xml:space="preserve">
No coordinates recorded</t>
        </r>
      </text>
    </comment>
    <comment ref="I8" authorId="1" shapeId="0" xr:uid="{00000000-0006-0000-0000-00001C000000}">
      <text>
        <r>
          <rPr>
            <b/>
            <sz val="9"/>
            <color indexed="81"/>
            <rFont val="Tahoma"/>
            <charset val="1"/>
          </rPr>
          <t>Beaulieu, Jake:</t>
        </r>
        <r>
          <rPr>
            <sz val="9"/>
            <color indexed="81"/>
            <rFont val="Tahoma"/>
            <charset val="1"/>
          </rPr>
          <t xml:space="preserve">
Not needed for active trap deployments</t>
        </r>
      </text>
    </comment>
    <comment ref="O8" authorId="2" shapeId="0" xr:uid="{00000000-0006-0000-0000-00001D00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F9" authorId="2" shapeId="0" xr:uid="{00000000-0006-0000-0000-00001E000000}">
      <text>
        <r>
          <rPr>
            <b/>
            <sz val="9"/>
            <color indexed="81"/>
            <rFont val="Tahoma"/>
            <family val="2"/>
          </rPr>
          <t>U.S. EPA User or Contractor:</t>
        </r>
        <r>
          <rPr>
            <sz val="9"/>
            <color indexed="81"/>
            <rFont val="Tahoma"/>
            <family val="2"/>
          </rPr>
          <t xml:space="preserve">
No coordinates recorded</t>
        </r>
      </text>
    </comment>
    <comment ref="G9" authorId="2" shapeId="0" xr:uid="{00000000-0006-0000-0000-00001F000000}">
      <text>
        <r>
          <rPr>
            <b/>
            <sz val="9"/>
            <color indexed="81"/>
            <rFont val="Tahoma"/>
            <family val="2"/>
          </rPr>
          <t>U.S. EPA User or Contractor:</t>
        </r>
        <r>
          <rPr>
            <sz val="9"/>
            <color indexed="81"/>
            <rFont val="Tahoma"/>
            <family val="2"/>
          </rPr>
          <t xml:space="preserve">
No coordinates recorded</t>
        </r>
      </text>
    </comment>
    <comment ref="I9" authorId="1" shapeId="0" xr:uid="{00000000-0006-0000-0000-000020000000}">
      <text>
        <r>
          <rPr>
            <b/>
            <sz val="9"/>
            <color indexed="81"/>
            <rFont val="Tahoma"/>
            <charset val="1"/>
          </rPr>
          <t>Beaulieu, Jake:</t>
        </r>
        <r>
          <rPr>
            <sz val="9"/>
            <color indexed="81"/>
            <rFont val="Tahoma"/>
            <charset val="1"/>
          </rPr>
          <t xml:space="preserve">
Not needed for active trap deployments</t>
        </r>
      </text>
    </comment>
    <comment ref="O9" authorId="2" shapeId="0" xr:uid="{00000000-0006-0000-0000-00002100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F10" authorId="2" shapeId="0" xr:uid="{00000000-0006-0000-0000-000022000000}">
      <text>
        <r>
          <rPr>
            <b/>
            <sz val="9"/>
            <color indexed="81"/>
            <rFont val="Tahoma"/>
            <family val="2"/>
          </rPr>
          <t>U.S. EPA User or Contractor:</t>
        </r>
        <r>
          <rPr>
            <sz val="9"/>
            <color indexed="81"/>
            <rFont val="Tahoma"/>
            <family val="2"/>
          </rPr>
          <t xml:space="preserve">
No coordinates recorded</t>
        </r>
      </text>
    </comment>
    <comment ref="G10" authorId="2" shapeId="0" xr:uid="{00000000-0006-0000-0000-000023000000}">
      <text>
        <r>
          <rPr>
            <b/>
            <sz val="9"/>
            <color indexed="81"/>
            <rFont val="Tahoma"/>
            <family val="2"/>
          </rPr>
          <t>U.S. EPA User or Contractor:</t>
        </r>
        <r>
          <rPr>
            <sz val="9"/>
            <color indexed="81"/>
            <rFont val="Tahoma"/>
            <family val="2"/>
          </rPr>
          <t xml:space="preserve">
No coordinates recorded</t>
        </r>
      </text>
    </comment>
    <comment ref="I10" authorId="1" shapeId="0" xr:uid="{00000000-0006-0000-0000-000024000000}">
      <text>
        <r>
          <rPr>
            <b/>
            <sz val="9"/>
            <color indexed="81"/>
            <rFont val="Tahoma"/>
            <charset val="1"/>
          </rPr>
          <t>Beaulieu, Jake:</t>
        </r>
        <r>
          <rPr>
            <sz val="9"/>
            <color indexed="81"/>
            <rFont val="Tahoma"/>
            <charset val="1"/>
          </rPr>
          <t xml:space="preserve">
Not needed for active trap deployments</t>
        </r>
      </text>
    </comment>
    <comment ref="O10" authorId="2" shapeId="0" xr:uid="{00000000-0006-0000-0000-00002500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D11" authorId="1" shapeId="0" xr:uid="{00000000-0006-0000-0000-000026000000}">
      <text>
        <r>
          <rPr>
            <b/>
            <sz val="9"/>
            <color indexed="81"/>
            <rFont val="Tahoma"/>
            <family val="2"/>
          </rPr>
          <t>Beaulieu, Jake:</t>
        </r>
        <r>
          <rPr>
            <sz val="9"/>
            <color indexed="81"/>
            <rFont val="Tahoma"/>
            <family val="2"/>
          </rPr>
          <t xml:space="preserve">
2.49 for all recordings</t>
        </r>
      </text>
    </comment>
    <comment ref="F11" authorId="2" shapeId="0" xr:uid="{00000000-0006-0000-0000-000027000000}">
      <text>
        <r>
          <rPr>
            <b/>
            <sz val="9"/>
            <color indexed="81"/>
            <rFont val="Tahoma"/>
            <family val="2"/>
          </rPr>
          <t>U.S. EPA User or Contractor:</t>
        </r>
        <r>
          <rPr>
            <sz val="9"/>
            <color indexed="81"/>
            <rFont val="Tahoma"/>
            <family val="2"/>
          </rPr>
          <t xml:space="preserve">
No coordinates recorded</t>
        </r>
      </text>
    </comment>
    <comment ref="G11" authorId="2" shapeId="0" xr:uid="{00000000-0006-0000-0000-000028000000}">
      <text>
        <r>
          <rPr>
            <b/>
            <sz val="9"/>
            <color indexed="81"/>
            <rFont val="Tahoma"/>
            <family val="2"/>
          </rPr>
          <t>U.S. EPA User or Contractor:</t>
        </r>
        <r>
          <rPr>
            <sz val="9"/>
            <color indexed="81"/>
            <rFont val="Tahoma"/>
            <family val="2"/>
          </rPr>
          <t xml:space="preserve">
No coordinates recorded</t>
        </r>
      </text>
    </comment>
    <comment ref="I11" authorId="1" shapeId="0" xr:uid="{00000000-0006-0000-0000-000029000000}">
      <text>
        <r>
          <rPr>
            <b/>
            <sz val="9"/>
            <color indexed="81"/>
            <rFont val="Tahoma"/>
            <charset val="1"/>
          </rPr>
          <t>Beaulieu, Jake:</t>
        </r>
        <r>
          <rPr>
            <sz val="9"/>
            <color indexed="81"/>
            <rFont val="Tahoma"/>
            <charset val="1"/>
          </rPr>
          <t xml:space="preserve">
Not needed for active trap deployments</t>
        </r>
      </text>
    </comment>
    <comment ref="O11" authorId="2" shapeId="0" xr:uid="{00000000-0006-0000-0000-00002A00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F12" authorId="2" shapeId="0" xr:uid="{00000000-0006-0000-0000-00002B000000}">
      <text>
        <r>
          <rPr>
            <b/>
            <sz val="9"/>
            <color indexed="81"/>
            <rFont val="Tahoma"/>
            <family val="2"/>
          </rPr>
          <t>U.S. EPA User or Contractor:</t>
        </r>
        <r>
          <rPr>
            <sz val="9"/>
            <color indexed="81"/>
            <rFont val="Tahoma"/>
            <family val="2"/>
          </rPr>
          <t xml:space="preserve">
No coordinates recorded</t>
        </r>
      </text>
    </comment>
    <comment ref="G12" authorId="2" shapeId="0" xr:uid="{00000000-0006-0000-0000-00002C000000}">
      <text>
        <r>
          <rPr>
            <b/>
            <sz val="9"/>
            <color indexed="81"/>
            <rFont val="Tahoma"/>
            <family val="2"/>
          </rPr>
          <t>U.S. EPA User or Contractor:</t>
        </r>
        <r>
          <rPr>
            <sz val="9"/>
            <color indexed="81"/>
            <rFont val="Tahoma"/>
            <family val="2"/>
          </rPr>
          <t xml:space="preserve">
No coordinates recorded</t>
        </r>
      </text>
    </comment>
    <comment ref="I12" authorId="1" shapeId="0" xr:uid="{00000000-0006-0000-0000-00002D000000}">
      <text>
        <r>
          <rPr>
            <b/>
            <sz val="9"/>
            <color indexed="81"/>
            <rFont val="Tahoma"/>
            <charset val="1"/>
          </rPr>
          <t>Beaulieu, Jake:</t>
        </r>
        <r>
          <rPr>
            <sz val="9"/>
            <color indexed="81"/>
            <rFont val="Tahoma"/>
            <charset val="1"/>
          </rPr>
          <t xml:space="preserve">
Not needed for active trap deployments</t>
        </r>
      </text>
    </comment>
    <comment ref="O12" authorId="2" shapeId="0" xr:uid="{00000000-0006-0000-0000-00002E00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13" authorId="1" shapeId="0" xr:uid="{00000000-0006-0000-0000-00000A000000}">
      <text>
        <r>
          <rPr>
            <b/>
            <sz val="9"/>
            <color indexed="81"/>
            <rFont val="Tahoma"/>
            <family val="2"/>
          </rPr>
          <t>Beaulieu, Jake:</t>
        </r>
        <r>
          <rPr>
            <sz val="9"/>
            <color indexed="81"/>
            <rFont val="Tahoma"/>
            <family val="2"/>
          </rPr>
          <t xml:space="preserve">
Not recorded, so guessing</t>
        </r>
      </text>
    </comment>
    <comment ref="D13" authorId="1" shapeId="0" xr:uid="{00000000-0006-0000-0000-00000B000000}">
      <text>
        <r>
          <rPr>
            <b/>
            <sz val="9"/>
            <color indexed="81"/>
            <rFont val="Tahoma"/>
            <family val="2"/>
          </rPr>
          <t>Beaulieu, Jake:</t>
        </r>
        <r>
          <rPr>
            <sz val="9"/>
            <color indexed="81"/>
            <rFont val="Tahoma"/>
            <family val="2"/>
          </rPr>
          <t xml:space="preserve">
no logger deployed</t>
        </r>
      </text>
    </comment>
    <comment ref="I13" authorId="1" shapeId="0" xr:uid="{00000000-0006-0000-0000-00000C000000}">
      <text>
        <r>
          <rPr>
            <b/>
            <sz val="9"/>
            <color indexed="81"/>
            <rFont val="Tahoma"/>
            <charset val="1"/>
          </rPr>
          <t>Beaulieu, Jake:</t>
        </r>
        <r>
          <rPr>
            <sz val="9"/>
            <color indexed="81"/>
            <rFont val="Tahoma"/>
            <charset val="1"/>
          </rPr>
          <t xml:space="preserve">
Not needed for active trap deployments</t>
        </r>
      </text>
    </comment>
    <comment ref="O13" authorId="2" shapeId="0" xr:uid="{00000000-0006-0000-0000-00000D00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F14" authorId="2" shapeId="0" xr:uid="{00000000-0006-0000-0000-000033000000}">
      <text>
        <r>
          <rPr>
            <b/>
            <sz val="9"/>
            <color indexed="81"/>
            <rFont val="Tahoma"/>
            <family val="2"/>
          </rPr>
          <t>U.S. EPA User or Contractor:</t>
        </r>
        <r>
          <rPr>
            <sz val="9"/>
            <color indexed="81"/>
            <rFont val="Tahoma"/>
            <family val="2"/>
          </rPr>
          <t xml:space="preserve">
No coordinates recorded</t>
        </r>
      </text>
    </comment>
    <comment ref="G14" authorId="2" shapeId="0" xr:uid="{00000000-0006-0000-0000-000034000000}">
      <text>
        <r>
          <rPr>
            <b/>
            <sz val="9"/>
            <color indexed="81"/>
            <rFont val="Tahoma"/>
            <family val="2"/>
          </rPr>
          <t>U.S. EPA User or Contractor:</t>
        </r>
        <r>
          <rPr>
            <sz val="9"/>
            <color indexed="81"/>
            <rFont val="Tahoma"/>
            <family val="2"/>
          </rPr>
          <t xml:space="preserve">
No coordinates recorded</t>
        </r>
      </text>
    </comment>
    <comment ref="I14" authorId="1" shapeId="0" xr:uid="{00000000-0006-0000-0000-000035000000}">
      <text>
        <r>
          <rPr>
            <b/>
            <sz val="9"/>
            <color indexed="81"/>
            <rFont val="Tahoma"/>
            <charset val="1"/>
          </rPr>
          <t>Beaulieu, Jake:</t>
        </r>
        <r>
          <rPr>
            <sz val="9"/>
            <color indexed="81"/>
            <rFont val="Tahoma"/>
            <charset val="1"/>
          </rPr>
          <t xml:space="preserve">
Not needed for active trap deployments</t>
        </r>
      </text>
    </comment>
    <comment ref="O14" authorId="2" shapeId="0" xr:uid="{00000000-0006-0000-0000-00003600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F15" authorId="2" shapeId="0" xr:uid="{00000000-0006-0000-0000-000037000000}">
      <text>
        <r>
          <rPr>
            <b/>
            <sz val="9"/>
            <color indexed="81"/>
            <rFont val="Tahoma"/>
            <family val="2"/>
          </rPr>
          <t>U.S. EPA User or Contractor:</t>
        </r>
        <r>
          <rPr>
            <sz val="9"/>
            <color indexed="81"/>
            <rFont val="Tahoma"/>
            <family val="2"/>
          </rPr>
          <t xml:space="preserve">
No coordinates recorded</t>
        </r>
      </text>
    </comment>
    <comment ref="G15" authorId="2" shapeId="0" xr:uid="{00000000-0006-0000-0000-000038000000}">
      <text>
        <r>
          <rPr>
            <b/>
            <sz val="9"/>
            <color indexed="81"/>
            <rFont val="Tahoma"/>
            <family val="2"/>
          </rPr>
          <t>U.S. EPA User or Contractor:</t>
        </r>
        <r>
          <rPr>
            <sz val="9"/>
            <color indexed="81"/>
            <rFont val="Tahoma"/>
            <family val="2"/>
          </rPr>
          <t xml:space="preserve">
No coordinates recorded</t>
        </r>
      </text>
    </comment>
    <comment ref="I15" authorId="1" shapeId="0" xr:uid="{00000000-0006-0000-0000-000039000000}">
      <text>
        <r>
          <rPr>
            <b/>
            <sz val="9"/>
            <color indexed="81"/>
            <rFont val="Tahoma"/>
            <charset val="1"/>
          </rPr>
          <t>Beaulieu, Jake:</t>
        </r>
        <r>
          <rPr>
            <sz val="9"/>
            <color indexed="81"/>
            <rFont val="Tahoma"/>
            <charset val="1"/>
          </rPr>
          <t xml:space="preserve">
Not needed for active trap deployments</t>
        </r>
      </text>
    </comment>
    <comment ref="K15" authorId="1" shapeId="0" xr:uid="{00000000-0006-0000-0000-00003A000000}">
      <text>
        <r>
          <rPr>
            <b/>
            <sz val="9"/>
            <color indexed="81"/>
            <rFont val="Tahoma"/>
            <family val="2"/>
          </rPr>
          <t>Beaulieu, Jake:</t>
        </r>
        <r>
          <rPr>
            <sz val="9"/>
            <color indexed="81"/>
            <rFont val="Tahoma"/>
            <family val="2"/>
          </rPr>
          <t xml:space="preserve">
sensor data a bit flaky</t>
        </r>
      </text>
    </comment>
    <comment ref="L15" authorId="1" shapeId="0" xr:uid="{00000000-0006-0000-0000-00003B000000}">
      <text>
        <r>
          <rPr>
            <b/>
            <sz val="9"/>
            <color indexed="81"/>
            <rFont val="Tahoma"/>
            <family val="2"/>
          </rPr>
          <t>Beaulieu, Jake:</t>
        </r>
        <r>
          <rPr>
            <sz val="9"/>
            <color indexed="81"/>
            <rFont val="Tahoma"/>
            <family val="2"/>
          </rPr>
          <t xml:space="preserve">
sensor data a bit flaky</t>
        </r>
      </text>
    </comment>
    <comment ref="M15" authorId="1" shapeId="0" xr:uid="{00000000-0006-0000-0000-00003C000000}">
      <text>
        <r>
          <rPr>
            <b/>
            <sz val="9"/>
            <color indexed="81"/>
            <rFont val="Tahoma"/>
            <family val="2"/>
          </rPr>
          <t>Beaulieu, Jake:</t>
        </r>
        <r>
          <rPr>
            <sz val="9"/>
            <color indexed="81"/>
            <rFont val="Tahoma"/>
            <family val="2"/>
          </rPr>
          <t xml:space="preserve">
sensor data a bit flaky</t>
        </r>
      </text>
    </comment>
    <comment ref="N15" authorId="1" shapeId="0" xr:uid="{00000000-0006-0000-0000-00003D000000}">
      <text>
        <r>
          <rPr>
            <b/>
            <sz val="9"/>
            <color indexed="81"/>
            <rFont val="Tahoma"/>
            <family val="2"/>
          </rPr>
          <t>Beaulieu, Jake:</t>
        </r>
        <r>
          <rPr>
            <sz val="9"/>
            <color indexed="81"/>
            <rFont val="Tahoma"/>
            <family val="2"/>
          </rPr>
          <t xml:space="preserve">
sensor data a bit flaky</t>
        </r>
      </text>
    </comment>
    <comment ref="O15" authorId="2" shapeId="0" xr:uid="{00000000-0006-0000-0000-00003E00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F16" authorId="2" shapeId="0" xr:uid="{00000000-0006-0000-0000-00003F000000}">
      <text>
        <r>
          <rPr>
            <b/>
            <sz val="9"/>
            <color indexed="81"/>
            <rFont val="Tahoma"/>
            <family val="2"/>
          </rPr>
          <t>U.S. EPA User or Contractor:</t>
        </r>
        <r>
          <rPr>
            <sz val="9"/>
            <color indexed="81"/>
            <rFont val="Tahoma"/>
            <family val="2"/>
          </rPr>
          <t xml:space="preserve">
No coordinates recorded</t>
        </r>
      </text>
    </comment>
    <comment ref="G16" authorId="2" shapeId="0" xr:uid="{00000000-0006-0000-0000-000040000000}">
      <text>
        <r>
          <rPr>
            <b/>
            <sz val="9"/>
            <color indexed="81"/>
            <rFont val="Tahoma"/>
            <family val="2"/>
          </rPr>
          <t>U.S. EPA User or Contractor:</t>
        </r>
        <r>
          <rPr>
            <sz val="9"/>
            <color indexed="81"/>
            <rFont val="Tahoma"/>
            <family val="2"/>
          </rPr>
          <t xml:space="preserve">
No coordinates recorded</t>
        </r>
      </text>
    </comment>
    <comment ref="I16" authorId="1" shapeId="0" xr:uid="{00000000-0006-0000-0000-000041000000}">
      <text>
        <r>
          <rPr>
            <b/>
            <sz val="9"/>
            <color indexed="81"/>
            <rFont val="Tahoma"/>
            <charset val="1"/>
          </rPr>
          <t>Beaulieu, Jake:</t>
        </r>
        <r>
          <rPr>
            <sz val="9"/>
            <color indexed="81"/>
            <rFont val="Tahoma"/>
            <charset val="1"/>
          </rPr>
          <t xml:space="preserve">
Not needed for active trap deployments</t>
        </r>
      </text>
    </comment>
    <comment ref="O16" authorId="2" shapeId="0" xr:uid="{00000000-0006-0000-0000-00004200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I17" authorId="1" shapeId="0" xr:uid="{00000000-0006-0000-0000-000043000000}">
      <text>
        <r>
          <rPr>
            <b/>
            <sz val="9"/>
            <color indexed="81"/>
            <rFont val="Tahoma"/>
            <charset val="1"/>
          </rPr>
          <t>Beaulieu, Jake:</t>
        </r>
        <r>
          <rPr>
            <sz val="9"/>
            <color indexed="81"/>
            <rFont val="Tahoma"/>
            <charset val="1"/>
          </rPr>
          <t xml:space="preserve">
Not needed for active trap deployments</t>
        </r>
      </text>
    </comment>
    <comment ref="O17" authorId="2" shapeId="0" xr:uid="{00000000-0006-0000-0000-00004400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I18" authorId="1" shapeId="0" xr:uid="{00000000-0006-0000-0000-000045000000}">
      <text>
        <r>
          <rPr>
            <b/>
            <sz val="9"/>
            <color indexed="81"/>
            <rFont val="Tahoma"/>
            <charset val="1"/>
          </rPr>
          <t>Beaulieu, Jake:</t>
        </r>
        <r>
          <rPr>
            <sz val="9"/>
            <color indexed="81"/>
            <rFont val="Tahoma"/>
            <charset val="1"/>
          </rPr>
          <t xml:space="preserve">
Not needed for active trap deployments</t>
        </r>
      </text>
    </comment>
    <comment ref="O18" authorId="2" shapeId="0" xr:uid="{00000000-0006-0000-0000-00004600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I19" authorId="1" shapeId="0" xr:uid="{00000000-0006-0000-0000-000047000000}">
      <text>
        <r>
          <rPr>
            <b/>
            <sz val="9"/>
            <color indexed="81"/>
            <rFont val="Tahoma"/>
            <charset val="1"/>
          </rPr>
          <t>Beaulieu, Jake:</t>
        </r>
        <r>
          <rPr>
            <sz val="9"/>
            <color indexed="81"/>
            <rFont val="Tahoma"/>
            <charset val="1"/>
          </rPr>
          <t xml:space="preserve">
Not needed for active trap deployments</t>
        </r>
      </text>
    </comment>
    <comment ref="J19" authorId="1" shapeId="0" xr:uid="{00000000-0006-0000-0000-000048000000}">
      <text>
        <r>
          <rPr>
            <b/>
            <sz val="9"/>
            <color indexed="81"/>
            <rFont val="Tahoma"/>
            <family val="2"/>
          </rPr>
          <t>Beaulieu, Jake:</t>
        </r>
        <r>
          <rPr>
            <sz val="9"/>
            <color indexed="81"/>
            <rFont val="Tahoma"/>
            <family val="2"/>
          </rPr>
          <t xml:space="preserve">
trap broke free of anchor and drifted during deployment.  Date are not meaningful</t>
        </r>
      </text>
    </comment>
    <comment ref="K19" authorId="1" shapeId="0" xr:uid="{00000000-0006-0000-0000-000049000000}">
      <text>
        <r>
          <rPr>
            <b/>
            <sz val="9"/>
            <color indexed="81"/>
            <rFont val="Tahoma"/>
            <family val="2"/>
          </rPr>
          <t>Beaulieu, Jake:</t>
        </r>
        <r>
          <rPr>
            <sz val="9"/>
            <color indexed="81"/>
            <rFont val="Tahoma"/>
            <family val="2"/>
          </rPr>
          <t xml:space="preserve">
trap broke free of anchor and drifted during deployment.  Date are not meaningful</t>
        </r>
      </text>
    </comment>
    <comment ref="L19" authorId="1" shapeId="0" xr:uid="{00000000-0006-0000-0000-00004A000000}">
      <text>
        <r>
          <rPr>
            <b/>
            <sz val="9"/>
            <color indexed="81"/>
            <rFont val="Tahoma"/>
            <family val="2"/>
          </rPr>
          <t>Beaulieu, Jake:</t>
        </r>
        <r>
          <rPr>
            <sz val="9"/>
            <color indexed="81"/>
            <rFont val="Tahoma"/>
            <family val="2"/>
          </rPr>
          <t xml:space="preserve">
trap broke free of anchor and drifted during deployment.  Date are not meaningful</t>
        </r>
      </text>
    </comment>
    <comment ref="O19" authorId="2" shapeId="0" xr:uid="{00000000-0006-0000-0000-00004B00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I20" authorId="1" shapeId="0" xr:uid="{00000000-0006-0000-0000-00004C000000}">
      <text>
        <r>
          <rPr>
            <b/>
            <sz val="9"/>
            <color indexed="81"/>
            <rFont val="Tahoma"/>
            <charset val="1"/>
          </rPr>
          <t>Beaulieu, Jake:</t>
        </r>
        <r>
          <rPr>
            <sz val="9"/>
            <color indexed="81"/>
            <rFont val="Tahoma"/>
            <charset val="1"/>
          </rPr>
          <t xml:space="preserve">
Not needed for active trap deployments</t>
        </r>
      </text>
    </comment>
    <comment ref="O20" authorId="2" shapeId="0" xr:uid="{00000000-0006-0000-0000-00004D00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21" authorId="2" shapeId="0" xr:uid="{00000000-0006-0000-0000-000076020000}">
      <text>
        <r>
          <rPr>
            <b/>
            <sz val="9"/>
            <color indexed="81"/>
            <rFont val="Tahoma"/>
            <charset val="1"/>
          </rPr>
          <t>U.S. EPA User or Contractor:</t>
        </r>
        <r>
          <rPr>
            <sz val="9"/>
            <color indexed="81"/>
            <rFont val="Tahoma"/>
            <charset val="1"/>
          </rPr>
          <t xml:space="preserve">
Times adjusted to represent an hour earlier than electronic file times to account for the end of daylight savings.
KB 11/24/2015</t>
        </r>
      </text>
    </comment>
    <comment ref="D21" authorId="2" shapeId="0" xr:uid="{00000000-0006-0000-0000-000077020000}">
      <text>
        <r>
          <rPr>
            <b/>
            <sz val="9"/>
            <color indexed="81"/>
            <rFont val="Tahoma"/>
            <charset val="1"/>
          </rPr>
          <t>U.S. EPA User or Contractor:</t>
        </r>
        <r>
          <rPr>
            <sz val="9"/>
            <color indexed="81"/>
            <rFont val="Tahoma"/>
            <charset val="1"/>
          </rPr>
          <t xml:space="preserve">
Times adjusted to represent an hour earlier than electronic file times to account for the end of daylight savings.
KB 11/24/2015</t>
        </r>
      </text>
    </comment>
    <comment ref="E21" authorId="2" shapeId="0" xr:uid="{00000000-0006-0000-0000-000078020000}">
      <text>
        <r>
          <rPr>
            <b/>
            <sz val="9"/>
            <color indexed="81"/>
            <rFont val="Tahoma"/>
            <charset val="1"/>
          </rPr>
          <t>U.S. EPA User or Contractor:</t>
        </r>
        <r>
          <rPr>
            <sz val="9"/>
            <color indexed="81"/>
            <rFont val="Tahoma"/>
            <charset val="1"/>
          </rPr>
          <t xml:space="preserve">
Times adjusted to represent an hour earlier than electronic file times to account for the end of daylight savings.
KB 11/24/2015</t>
        </r>
      </text>
    </comment>
    <comment ref="O21" authorId="2" shapeId="0" xr:uid="{00000000-0006-0000-0000-00007902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I22" authorId="1" shapeId="0" xr:uid="{00000000-0006-0000-0000-000050000000}">
      <text>
        <r>
          <rPr>
            <b/>
            <sz val="9"/>
            <color indexed="81"/>
            <rFont val="Tahoma"/>
            <charset val="1"/>
          </rPr>
          <t>Beaulieu, Jake:</t>
        </r>
        <r>
          <rPr>
            <sz val="9"/>
            <color indexed="81"/>
            <rFont val="Tahoma"/>
            <charset val="1"/>
          </rPr>
          <t xml:space="preserve">
Not needed for active trap deployments</t>
        </r>
      </text>
    </comment>
    <comment ref="O22" authorId="2" shapeId="0" xr:uid="{00000000-0006-0000-0000-00005100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I23" authorId="1" shapeId="0" xr:uid="{00000000-0006-0000-0000-000052000000}">
      <text>
        <r>
          <rPr>
            <b/>
            <sz val="9"/>
            <color indexed="81"/>
            <rFont val="Tahoma"/>
            <charset val="1"/>
          </rPr>
          <t>Beaulieu, Jake:</t>
        </r>
        <r>
          <rPr>
            <sz val="9"/>
            <color indexed="81"/>
            <rFont val="Tahoma"/>
            <charset val="1"/>
          </rPr>
          <t xml:space="preserve">
Not needed for active trap deployments</t>
        </r>
      </text>
    </comment>
    <comment ref="O23" authorId="2" shapeId="0" xr:uid="{00000000-0006-0000-0000-00005300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I24" authorId="1" shapeId="0" xr:uid="{00000000-0006-0000-0000-000054000000}">
      <text>
        <r>
          <rPr>
            <b/>
            <sz val="9"/>
            <color indexed="81"/>
            <rFont val="Tahoma"/>
            <charset val="1"/>
          </rPr>
          <t>Beaulieu, Jake:</t>
        </r>
        <r>
          <rPr>
            <sz val="9"/>
            <color indexed="81"/>
            <rFont val="Tahoma"/>
            <charset val="1"/>
          </rPr>
          <t xml:space="preserve">
Not needed for active trap deployments</t>
        </r>
      </text>
    </comment>
    <comment ref="O24" authorId="2" shapeId="0" xr:uid="{00000000-0006-0000-0000-00005500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F25" authorId="2" shapeId="0" xr:uid="{00000000-0006-0000-0000-000056000000}">
      <text>
        <r>
          <rPr>
            <b/>
            <sz val="9"/>
            <color indexed="81"/>
            <rFont val="Tahoma"/>
            <family val="2"/>
          </rPr>
          <t>U.S. EPA User or Contractor:</t>
        </r>
        <r>
          <rPr>
            <sz val="9"/>
            <color indexed="81"/>
            <rFont val="Tahoma"/>
            <family val="2"/>
          </rPr>
          <t xml:space="preserve">
No coordinates recorded</t>
        </r>
      </text>
    </comment>
    <comment ref="G25" authorId="2" shapeId="0" xr:uid="{00000000-0006-0000-0000-000057000000}">
      <text>
        <r>
          <rPr>
            <b/>
            <sz val="9"/>
            <color indexed="81"/>
            <rFont val="Tahoma"/>
            <family val="2"/>
          </rPr>
          <t>U.S. EPA User or Contractor:</t>
        </r>
        <r>
          <rPr>
            <sz val="9"/>
            <color indexed="81"/>
            <rFont val="Tahoma"/>
            <family val="2"/>
          </rPr>
          <t xml:space="preserve">
No coordinates recorded</t>
        </r>
      </text>
    </comment>
    <comment ref="I25" authorId="1" shapeId="0" xr:uid="{00000000-0006-0000-0000-000058000000}">
      <text>
        <r>
          <rPr>
            <b/>
            <sz val="9"/>
            <color indexed="81"/>
            <rFont val="Tahoma"/>
            <charset val="1"/>
          </rPr>
          <t>Beaulieu, Jake:</t>
        </r>
        <r>
          <rPr>
            <sz val="9"/>
            <color indexed="81"/>
            <rFont val="Tahoma"/>
            <charset val="1"/>
          </rPr>
          <t xml:space="preserve">
Not needed for active trap deployments</t>
        </r>
      </text>
    </comment>
    <comment ref="O25" authorId="2" shapeId="0" xr:uid="{00000000-0006-0000-0000-00005900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F26" authorId="2" shapeId="0" xr:uid="{00000000-0006-0000-0000-00005A000000}">
      <text>
        <r>
          <rPr>
            <b/>
            <sz val="9"/>
            <color indexed="81"/>
            <rFont val="Tahoma"/>
            <family val="2"/>
          </rPr>
          <t>U.S. EPA User or Contractor:</t>
        </r>
        <r>
          <rPr>
            <sz val="9"/>
            <color indexed="81"/>
            <rFont val="Tahoma"/>
            <family val="2"/>
          </rPr>
          <t xml:space="preserve">
No coordinates recorded</t>
        </r>
      </text>
    </comment>
    <comment ref="G26" authorId="2" shapeId="0" xr:uid="{00000000-0006-0000-0000-00005B000000}">
      <text>
        <r>
          <rPr>
            <b/>
            <sz val="9"/>
            <color indexed="81"/>
            <rFont val="Tahoma"/>
            <family val="2"/>
          </rPr>
          <t>U.S. EPA User or Contractor:</t>
        </r>
        <r>
          <rPr>
            <sz val="9"/>
            <color indexed="81"/>
            <rFont val="Tahoma"/>
            <family val="2"/>
          </rPr>
          <t xml:space="preserve">
No coordinates recorded</t>
        </r>
      </text>
    </comment>
    <comment ref="I26" authorId="1" shapeId="0" xr:uid="{00000000-0006-0000-0000-00005C000000}">
      <text>
        <r>
          <rPr>
            <b/>
            <sz val="9"/>
            <color indexed="81"/>
            <rFont val="Tahoma"/>
            <charset val="1"/>
          </rPr>
          <t>Beaulieu, Jake:</t>
        </r>
        <r>
          <rPr>
            <sz val="9"/>
            <color indexed="81"/>
            <rFont val="Tahoma"/>
            <charset val="1"/>
          </rPr>
          <t xml:space="preserve">
Not needed for active trap deployments</t>
        </r>
      </text>
    </comment>
    <comment ref="O26" authorId="2" shapeId="0" xr:uid="{00000000-0006-0000-0000-00005D00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I28" authorId="1" shapeId="0" xr:uid="{00000000-0006-0000-0000-000062000000}">
      <text>
        <r>
          <rPr>
            <b/>
            <sz val="9"/>
            <color indexed="81"/>
            <rFont val="Tahoma"/>
            <charset val="1"/>
          </rPr>
          <t>Beaulieu, Jake:</t>
        </r>
        <r>
          <rPr>
            <sz val="9"/>
            <color indexed="81"/>
            <rFont val="Tahoma"/>
            <charset val="1"/>
          </rPr>
          <t xml:space="preserve">
Not needed for active trap deployments</t>
        </r>
      </text>
    </comment>
    <comment ref="O28" authorId="2" shapeId="0" xr:uid="{00000000-0006-0000-0000-00006300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I29" authorId="1" shapeId="0" xr:uid="{00000000-0006-0000-0000-0000F8000000}">
      <text>
        <r>
          <rPr>
            <b/>
            <sz val="9"/>
            <color indexed="81"/>
            <rFont val="Tahoma"/>
            <charset val="1"/>
          </rPr>
          <t>Beaulieu, Jake:</t>
        </r>
        <r>
          <rPr>
            <sz val="9"/>
            <color indexed="81"/>
            <rFont val="Tahoma"/>
            <charset val="1"/>
          </rPr>
          <t xml:space="preserve">
Not needed for active trap deployments</t>
        </r>
      </text>
    </comment>
    <comment ref="I30" authorId="1" shapeId="0" xr:uid="{00000000-0006-0000-0000-000068000000}">
      <text>
        <r>
          <rPr>
            <b/>
            <sz val="9"/>
            <color indexed="81"/>
            <rFont val="Tahoma"/>
            <charset val="1"/>
          </rPr>
          <t>Beaulieu, Jake:</t>
        </r>
        <r>
          <rPr>
            <sz val="9"/>
            <color indexed="81"/>
            <rFont val="Tahoma"/>
            <charset val="1"/>
          </rPr>
          <t xml:space="preserve">
Not needed for active trap deployments</t>
        </r>
      </text>
    </comment>
    <comment ref="O30" authorId="2" shapeId="0" xr:uid="{00000000-0006-0000-0000-00006900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I31" authorId="1" shapeId="0" xr:uid="{00000000-0006-0000-0000-00006A000000}">
      <text>
        <r>
          <rPr>
            <b/>
            <sz val="9"/>
            <color indexed="81"/>
            <rFont val="Tahoma"/>
            <charset val="1"/>
          </rPr>
          <t>Beaulieu, Jake:</t>
        </r>
        <r>
          <rPr>
            <sz val="9"/>
            <color indexed="81"/>
            <rFont val="Tahoma"/>
            <charset val="1"/>
          </rPr>
          <t xml:space="preserve">
Not needed for active trap deployments</t>
        </r>
      </text>
    </comment>
    <comment ref="O31" authorId="2" shapeId="0" xr:uid="{00000000-0006-0000-0000-00006B00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F32" authorId="2" shapeId="0" xr:uid="{00000000-0006-0000-0000-00006C000000}">
      <text>
        <r>
          <rPr>
            <b/>
            <sz val="9"/>
            <color indexed="81"/>
            <rFont val="Tahoma"/>
            <family val="2"/>
          </rPr>
          <t>U.S. EPA User or Contractor:</t>
        </r>
        <r>
          <rPr>
            <sz val="9"/>
            <color indexed="81"/>
            <rFont val="Tahoma"/>
            <family val="2"/>
          </rPr>
          <t xml:space="preserve">
No coordinates given</t>
        </r>
      </text>
    </comment>
    <comment ref="G32" authorId="2" shapeId="0" xr:uid="{00000000-0006-0000-0000-00006D000000}">
      <text>
        <r>
          <rPr>
            <b/>
            <sz val="9"/>
            <color indexed="81"/>
            <rFont val="Tahoma"/>
            <family val="2"/>
          </rPr>
          <t>U.S. EPA User or Contractor:</t>
        </r>
        <r>
          <rPr>
            <sz val="9"/>
            <color indexed="81"/>
            <rFont val="Tahoma"/>
            <family val="2"/>
          </rPr>
          <t xml:space="preserve">
No coordinates given</t>
        </r>
      </text>
    </comment>
    <comment ref="I32" authorId="1" shapeId="0" xr:uid="{00000000-0006-0000-0000-00006E000000}">
      <text>
        <r>
          <rPr>
            <b/>
            <sz val="9"/>
            <color indexed="81"/>
            <rFont val="Tahoma"/>
            <charset val="1"/>
          </rPr>
          <t>Beaulieu, Jake:</t>
        </r>
        <r>
          <rPr>
            <sz val="9"/>
            <color indexed="81"/>
            <rFont val="Tahoma"/>
            <charset val="1"/>
          </rPr>
          <t xml:space="preserve">
Not needed for active trap deployments</t>
        </r>
      </text>
    </comment>
    <comment ref="O32" authorId="2" shapeId="0" xr:uid="{00000000-0006-0000-0000-00006F00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I33" authorId="1" shapeId="0" xr:uid="{00000000-0006-0000-0000-000070000000}">
      <text>
        <r>
          <rPr>
            <b/>
            <sz val="9"/>
            <color indexed="81"/>
            <rFont val="Tahoma"/>
            <charset val="1"/>
          </rPr>
          <t>Beaulieu, Jake:</t>
        </r>
        <r>
          <rPr>
            <sz val="9"/>
            <color indexed="81"/>
            <rFont val="Tahoma"/>
            <charset val="1"/>
          </rPr>
          <t xml:space="preserve">
Not needed for active trap deployments</t>
        </r>
      </text>
    </comment>
    <comment ref="I34" authorId="1" shapeId="0" xr:uid="{00000000-0006-0000-0000-000071000000}">
      <text>
        <r>
          <rPr>
            <b/>
            <sz val="9"/>
            <color indexed="81"/>
            <rFont val="Tahoma"/>
            <charset val="1"/>
          </rPr>
          <t>Beaulieu, Jake:</t>
        </r>
        <r>
          <rPr>
            <sz val="9"/>
            <color indexed="81"/>
            <rFont val="Tahoma"/>
            <charset val="1"/>
          </rPr>
          <t xml:space="preserve">
Not needed for active trap deployments</t>
        </r>
      </text>
    </comment>
    <comment ref="I35" authorId="1" shapeId="0" xr:uid="{00000000-0006-0000-0000-0000C1000000}">
      <text>
        <r>
          <rPr>
            <b/>
            <sz val="9"/>
            <color indexed="81"/>
            <rFont val="Tahoma"/>
            <charset val="1"/>
          </rPr>
          <t>Beaulieu, Jake:</t>
        </r>
        <r>
          <rPr>
            <sz val="9"/>
            <color indexed="81"/>
            <rFont val="Tahoma"/>
            <charset val="1"/>
          </rPr>
          <t xml:space="preserve">
Not needed for active trap deployments</t>
        </r>
      </text>
    </comment>
    <comment ref="I36" authorId="1" shapeId="0" xr:uid="{00000000-0006-0000-0000-000076000000}">
      <text>
        <r>
          <rPr>
            <b/>
            <sz val="9"/>
            <color indexed="81"/>
            <rFont val="Tahoma"/>
            <charset val="1"/>
          </rPr>
          <t>Beaulieu, Jake:</t>
        </r>
        <r>
          <rPr>
            <sz val="9"/>
            <color indexed="81"/>
            <rFont val="Tahoma"/>
            <charset val="1"/>
          </rPr>
          <t xml:space="preserve">
Not needed for active trap deployments</t>
        </r>
      </text>
    </comment>
    <comment ref="I38" authorId="1" shapeId="0" xr:uid="{00000000-0006-0000-0000-000078000000}">
      <text>
        <r>
          <rPr>
            <b/>
            <sz val="9"/>
            <color indexed="81"/>
            <rFont val="Tahoma"/>
            <charset val="1"/>
          </rPr>
          <t>Beaulieu, Jake:</t>
        </r>
        <r>
          <rPr>
            <sz val="9"/>
            <color indexed="81"/>
            <rFont val="Tahoma"/>
            <charset val="1"/>
          </rPr>
          <t xml:space="preserve">
Not needed for active trap deployments</t>
        </r>
      </text>
    </comment>
    <comment ref="F39" authorId="2" shapeId="0" xr:uid="{00000000-0006-0000-0000-000079000000}">
      <text>
        <r>
          <rPr>
            <b/>
            <sz val="9"/>
            <color indexed="81"/>
            <rFont val="Tahoma"/>
            <family val="2"/>
          </rPr>
          <t>U.S. EPA User or Contractor:</t>
        </r>
        <r>
          <rPr>
            <sz val="9"/>
            <color indexed="81"/>
            <rFont val="Tahoma"/>
            <family val="2"/>
          </rPr>
          <t xml:space="preserve">
No coordinates recorded</t>
        </r>
      </text>
    </comment>
    <comment ref="G39" authorId="2" shapeId="0" xr:uid="{00000000-0006-0000-0000-00007A000000}">
      <text>
        <r>
          <rPr>
            <b/>
            <sz val="9"/>
            <color indexed="81"/>
            <rFont val="Tahoma"/>
            <family val="2"/>
          </rPr>
          <t>U.S. EPA User or Contractor:</t>
        </r>
        <r>
          <rPr>
            <sz val="9"/>
            <color indexed="81"/>
            <rFont val="Tahoma"/>
            <family val="2"/>
          </rPr>
          <t xml:space="preserve">
No coordinates recorded</t>
        </r>
      </text>
    </comment>
    <comment ref="I39" authorId="1" shapeId="0" xr:uid="{00000000-0006-0000-0000-00007B000000}">
      <text>
        <r>
          <rPr>
            <b/>
            <sz val="9"/>
            <color indexed="81"/>
            <rFont val="Tahoma"/>
            <charset val="1"/>
          </rPr>
          <t>Beaulieu, Jake:</t>
        </r>
        <r>
          <rPr>
            <sz val="9"/>
            <color indexed="81"/>
            <rFont val="Tahoma"/>
            <charset val="1"/>
          </rPr>
          <t xml:space="preserve">
Not needed for active trap deployments</t>
        </r>
      </text>
    </comment>
    <comment ref="I40" authorId="1" shapeId="0" xr:uid="{00000000-0006-0000-0000-00007C000000}">
      <text>
        <r>
          <rPr>
            <b/>
            <sz val="9"/>
            <color indexed="81"/>
            <rFont val="Tahoma"/>
            <charset val="1"/>
          </rPr>
          <t>Beaulieu, Jake:</t>
        </r>
        <r>
          <rPr>
            <sz val="9"/>
            <color indexed="81"/>
            <rFont val="Tahoma"/>
            <charset val="1"/>
          </rPr>
          <t xml:space="preserve">
Not needed for active trap deployments</t>
        </r>
      </text>
    </comment>
    <comment ref="I42" authorId="1" shapeId="0" xr:uid="{00000000-0006-0000-0000-00007E000000}">
      <text>
        <r>
          <rPr>
            <b/>
            <sz val="9"/>
            <color indexed="81"/>
            <rFont val="Tahoma"/>
            <charset val="1"/>
          </rPr>
          <t>Beaulieu, Jake:</t>
        </r>
        <r>
          <rPr>
            <sz val="9"/>
            <color indexed="81"/>
            <rFont val="Tahoma"/>
            <charset val="1"/>
          </rPr>
          <t xml:space="preserve">
Not needed for active trap deployments</t>
        </r>
      </text>
    </comment>
    <comment ref="I43" authorId="1" shapeId="0" xr:uid="{00000000-0006-0000-0000-00007F000000}">
      <text>
        <r>
          <rPr>
            <b/>
            <sz val="9"/>
            <color indexed="81"/>
            <rFont val="Tahoma"/>
            <charset val="1"/>
          </rPr>
          <t>Beaulieu, Jake:</t>
        </r>
        <r>
          <rPr>
            <sz val="9"/>
            <color indexed="81"/>
            <rFont val="Tahoma"/>
            <charset val="1"/>
          </rPr>
          <t xml:space="preserve">
Not needed for active trap deployments</t>
        </r>
      </text>
    </comment>
    <comment ref="I44" authorId="1" shapeId="0" xr:uid="{00000000-0006-0000-0000-0000A6000000}">
      <text>
        <r>
          <rPr>
            <b/>
            <sz val="9"/>
            <color indexed="81"/>
            <rFont val="Tahoma"/>
            <charset val="1"/>
          </rPr>
          <t>Beaulieu, Jake:</t>
        </r>
        <r>
          <rPr>
            <sz val="9"/>
            <color indexed="81"/>
            <rFont val="Tahoma"/>
            <charset val="1"/>
          </rPr>
          <t xml:space="preserve">
Not needed for active trap deployments</t>
        </r>
      </text>
    </comment>
    <comment ref="I45" authorId="1" shapeId="0" xr:uid="{00000000-0006-0000-0000-000082000000}">
      <text>
        <r>
          <rPr>
            <b/>
            <sz val="9"/>
            <color indexed="81"/>
            <rFont val="Tahoma"/>
            <charset val="1"/>
          </rPr>
          <t>Beaulieu, Jake:</t>
        </r>
        <r>
          <rPr>
            <sz val="9"/>
            <color indexed="81"/>
            <rFont val="Tahoma"/>
            <charset val="1"/>
          </rPr>
          <t xml:space="preserve">
Not needed for active trap deployments</t>
        </r>
      </text>
    </comment>
    <comment ref="I46" authorId="1" shapeId="0" xr:uid="{00000000-0006-0000-0000-000083000000}">
      <text>
        <r>
          <rPr>
            <b/>
            <sz val="9"/>
            <color indexed="81"/>
            <rFont val="Tahoma"/>
            <charset val="1"/>
          </rPr>
          <t>Beaulieu, Jake:</t>
        </r>
        <r>
          <rPr>
            <sz val="9"/>
            <color indexed="81"/>
            <rFont val="Tahoma"/>
            <charset val="1"/>
          </rPr>
          <t xml:space="preserve">
Not needed for active trap deployments</t>
        </r>
      </text>
    </comment>
    <comment ref="I47" authorId="1" shapeId="0" xr:uid="{00000000-0006-0000-0000-000084000000}">
      <text>
        <r>
          <rPr>
            <b/>
            <sz val="9"/>
            <color indexed="81"/>
            <rFont val="Tahoma"/>
            <charset val="1"/>
          </rPr>
          <t>Beaulieu, Jake:</t>
        </r>
        <r>
          <rPr>
            <sz val="9"/>
            <color indexed="81"/>
            <rFont val="Tahoma"/>
            <charset val="1"/>
          </rPr>
          <t xml:space="preserve">
Not needed for active trap deployments</t>
        </r>
      </text>
    </comment>
    <comment ref="C48" authorId="2" shapeId="0" xr:uid="{00000000-0006-0000-0000-00009B020000}">
      <text>
        <r>
          <rPr>
            <b/>
            <sz val="9"/>
            <color indexed="81"/>
            <rFont val="Tahoma"/>
            <charset val="1"/>
          </rPr>
          <t>U.S. EPA User or Contractor:</t>
        </r>
        <r>
          <rPr>
            <sz val="9"/>
            <color indexed="81"/>
            <rFont val="Tahoma"/>
            <charset val="1"/>
          </rPr>
          <t xml:space="preserve">
Computer times were adjusted in accordance with daylight savings, however the times were accidentally set 12 hours fast. These present values represent the adjusted times.
KB 11/24/2015</t>
        </r>
      </text>
    </comment>
    <comment ref="D48" authorId="2" shapeId="0" xr:uid="{00000000-0006-0000-0000-00009C020000}">
      <text>
        <r>
          <rPr>
            <b/>
            <sz val="9"/>
            <color indexed="81"/>
            <rFont val="Tahoma"/>
            <charset val="1"/>
          </rPr>
          <t>U.S. EPA User or Contractor:</t>
        </r>
        <r>
          <rPr>
            <sz val="9"/>
            <color indexed="81"/>
            <rFont val="Tahoma"/>
            <charset val="1"/>
          </rPr>
          <t xml:space="preserve">
Computer times were adjusted in accordance with daylight savings, however the times were accidentally set 12 hours fast. These present values represent the adjusted times.
KB 11/24/2015</t>
        </r>
      </text>
    </comment>
    <comment ref="E48" authorId="2" shapeId="0" xr:uid="{00000000-0006-0000-0000-00009D020000}">
      <text>
        <r>
          <rPr>
            <b/>
            <sz val="9"/>
            <color indexed="81"/>
            <rFont val="Tahoma"/>
            <charset val="1"/>
          </rPr>
          <t>U.S. EPA User or Contractor:</t>
        </r>
        <r>
          <rPr>
            <sz val="9"/>
            <color indexed="81"/>
            <rFont val="Tahoma"/>
            <charset val="1"/>
          </rPr>
          <t xml:space="preserve">
Computer times were adjusted in accordance with daylight savings, however the times were accidentally set 12 hours fast. These present values represent the adjusted times.
KB 11/24/2015</t>
        </r>
      </text>
    </comment>
    <comment ref="O48" authorId="2" shapeId="0" xr:uid="{00000000-0006-0000-0000-00009E02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F49" authorId="2" shapeId="0" xr:uid="{00000000-0006-0000-0000-000086000000}">
      <text>
        <r>
          <rPr>
            <b/>
            <sz val="9"/>
            <color indexed="81"/>
            <rFont val="Tahoma"/>
            <family val="2"/>
          </rPr>
          <t>U.S. EPA User or Contractor:</t>
        </r>
        <r>
          <rPr>
            <sz val="9"/>
            <color indexed="81"/>
            <rFont val="Tahoma"/>
            <family val="2"/>
          </rPr>
          <t xml:space="preserve">
No coordinates recorded</t>
        </r>
      </text>
    </comment>
    <comment ref="G49" authorId="2" shapeId="0" xr:uid="{00000000-0006-0000-0000-000087000000}">
      <text>
        <r>
          <rPr>
            <b/>
            <sz val="9"/>
            <color indexed="81"/>
            <rFont val="Tahoma"/>
            <family val="2"/>
          </rPr>
          <t>U.S. EPA User or Contractor:</t>
        </r>
        <r>
          <rPr>
            <sz val="9"/>
            <color indexed="81"/>
            <rFont val="Tahoma"/>
            <family val="2"/>
          </rPr>
          <t xml:space="preserve">
No coordinates recorded</t>
        </r>
      </text>
    </comment>
    <comment ref="I49" authorId="1" shapeId="0" xr:uid="{00000000-0006-0000-0000-000088000000}">
      <text>
        <r>
          <rPr>
            <b/>
            <sz val="9"/>
            <color indexed="81"/>
            <rFont val="Tahoma"/>
            <charset val="1"/>
          </rPr>
          <t>Beaulieu, Jake:</t>
        </r>
        <r>
          <rPr>
            <sz val="9"/>
            <color indexed="81"/>
            <rFont val="Tahoma"/>
            <charset val="1"/>
          </rPr>
          <t xml:space="preserve">
Not needed for active trap deployments</t>
        </r>
      </text>
    </comment>
    <comment ref="I50" authorId="1" shapeId="0" xr:uid="{00000000-0006-0000-0000-0000D4000000}">
      <text>
        <r>
          <rPr>
            <b/>
            <sz val="9"/>
            <color indexed="81"/>
            <rFont val="Tahoma"/>
            <charset val="1"/>
          </rPr>
          <t>Beaulieu, Jake:</t>
        </r>
        <r>
          <rPr>
            <sz val="9"/>
            <color indexed="81"/>
            <rFont val="Tahoma"/>
            <charset val="1"/>
          </rPr>
          <t xml:space="preserve">
Not needed for active trap deployments</t>
        </r>
      </text>
    </comment>
    <comment ref="I51" authorId="1" shapeId="0" xr:uid="{00000000-0006-0000-0000-0000B5000000}">
      <text>
        <r>
          <rPr>
            <b/>
            <sz val="9"/>
            <color indexed="81"/>
            <rFont val="Tahoma"/>
            <charset val="1"/>
          </rPr>
          <t>Beaulieu, Jake:</t>
        </r>
        <r>
          <rPr>
            <sz val="9"/>
            <color indexed="81"/>
            <rFont val="Tahoma"/>
            <charset val="1"/>
          </rPr>
          <t xml:space="preserve">
Not needed for active trap deployments</t>
        </r>
      </text>
    </comment>
    <comment ref="F52" authorId="2" shapeId="0" xr:uid="{00000000-0006-0000-0000-00008D000000}">
      <text>
        <r>
          <rPr>
            <b/>
            <sz val="9"/>
            <color indexed="81"/>
            <rFont val="Tahoma"/>
            <family val="2"/>
          </rPr>
          <t>U.S. EPA User or Contractor:</t>
        </r>
        <r>
          <rPr>
            <sz val="9"/>
            <color indexed="81"/>
            <rFont val="Tahoma"/>
            <family val="2"/>
          </rPr>
          <t xml:space="preserve">
No coordinates recorded</t>
        </r>
      </text>
    </comment>
    <comment ref="G52" authorId="2" shapeId="0" xr:uid="{00000000-0006-0000-0000-00008E000000}">
      <text>
        <r>
          <rPr>
            <b/>
            <sz val="9"/>
            <color indexed="81"/>
            <rFont val="Tahoma"/>
            <family val="2"/>
          </rPr>
          <t>U.S. EPA User or Contractor:</t>
        </r>
        <r>
          <rPr>
            <sz val="9"/>
            <color indexed="81"/>
            <rFont val="Tahoma"/>
            <family val="2"/>
          </rPr>
          <t xml:space="preserve">
No coordinates recorded</t>
        </r>
      </text>
    </comment>
    <comment ref="I52" authorId="1" shapeId="0" xr:uid="{00000000-0006-0000-0000-00008F000000}">
      <text>
        <r>
          <rPr>
            <b/>
            <sz val="9"/>
            <color indexed="81"/>
            <rFont val="Tahoma"/>
            <charset val="1"/>
          </rPr>
          <t>Beaulieu, Jake:</t>
        </r>
        <r>
          <rPr>
            <sz val="9"/>
            <color indexed="81"/>
            <rFont val="Tahoma"/>
            <charset val="1"/>
          </rPr>
          <t xml:space="preserve">
Not needed for active trap deployments</t>
        </r>
      </text>
    </comment>
    <comment ref="J52" authorId="1" shapeId="0" xr:uid="{00000000-0006-0000-0000-000090000000}">
      <text>
        <r>
          <rPr>
            <b/>
            <sz val="9"/>
            <color indexed="81"/>
            <rFont val="Tahoma"/>
            <family val="2"/>
          </rPr>
          <t>Beaulieu, Jake:</t>
        </r>
        <r>
          <rPr>
            <sz val="9"/>
            <color indexed="81"/>
            <rFont val="Tahoma"/>
            <family val="2"/>
          </rPr>
          <t xml:space="preserve">
funnel disconnected at some point.  These data are probably not meaningful.</t>
        </r>
      </text>
    </comment>
    <comment ref="O52" authorId="2" shapeId="0" xr:uid="{00000000-0006-0000-0000-00009100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F53" authorId="2" shapeId="0" xr:uid="{00000000-0006-0000-0000-000092000000}">
      <text>
        <r>
          <rPr>
            <b/>
            <sz val="9"/>
            <color indexed="81"/>
            <rFont val="Tahoma"/>
            <family val="2"/>
          </rPr>
          <t>U.S. EPA User or Contractor:</t>
        </r>
        <r>
          <rPr>
            <sz val="9"/>
            <color indexed="81"/>
            <rFont val="Tahoma"/>
            <family val="2"/>
          </rPr>
          <t xml:space="preserve">
No coordinates recorded</t>
        </r>
      </text>
    </comment>
    <comment ref="G53" authorId="2" shapeId="0" xr:uid="{00000000-0006-0000-0000-000093000000}">
      <text>
        <r>
          <rPr>
            <b/>
            <sz val="9"/>
            <color indexed="81"/>
            <rFont val="Tahoma"/>
            <family val="2"/>
          </rPr>
          <t>U.S. EPA User or Contractor:</t>
        </r>
        <r>
          <rPr>
            <sz val="9"/>
            <color indexed="81"/>
            <rFont val="Tahoma"/>
            <family val="2"/>
          </rPr>
          <t xml:space="preserve">
No coordinates recorded</t>
        </r>
      </text>
    </comment>
    <comment ref="I53" authorId="1" shapeId="0" xr:uid="{00000000-0006-0000-0000-000094000000}">
      <text>
        <r>
          <rPr>
            <b/>
            <sz val="9"/>
            <color indexed="81"/>
            <rFont val="Tahoma"/>
            <charset val="1"/>
          </rPr>
          <t>Beaulieu, Jake:</t>
        </r>
        <r>
          <rPr>
            <sz val="9"/>
            <color indexed="81"/>
            <rFont val="Tahoma"/>
            <charset val="1"/>
          </rPr>
          <t xml:space="preserve">
Not needed for active trap deployments</t>
        </r>
      </text>
    </comment>
    <comment ref="O53" authorId="2" shapeId="0" xr:uid="{00000000-0006-0000-0000-00009500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F54" authorId="2" shapeId="0" xr:uid="{00000000-0006-0000-0000-000096000000}">
      <text>
        <r>
          <rPr>
            <b/>
            <sz val="9"/>
            <color indexed="81"/>
            <rFont val="Tahoma"/>
            <family val="2"/>
          </rPr>
          <t>U.S. EPA User or Contractor:</t>
        </r>
        <r>
          <rPr>
            <sz val="9"/>
            <color indexed="81"/>
            <rFont val="Tahoma"/>
            <family val="2"/>
          </rPr>
          <t xml:space="preserve">
No coordinates recorded</t>
        </r>
      </text>
    </comment>
    <comment ref="G54" authorId="2" shapeId="0" xr:uid="{00000000-0006-0000-0000-000097000000}">
      <text>
        <r>
          <rPr>
            <b/>
            <sz val="9"/>
            <color indexed="81"/>
            <rFont val="Tahoma"/>
            <family val="2"/>
          </rPr>
          <t>U.S. EPA User or Contractor:</t>
        </r>
        <r>
          <rPr>
            <sz val="9"/>
            <color indexed="81"/>
            <rFont val="Tahoma"/>
            <family val="2"/>
          </rPr>
          <t xml:space="preserve">
No coordinates recorded</t>
        </r>
      </text>
    </comment>
    <comment ref="I54" authorId="1" shapeId="0" xr:uid="{00000000-0006-0000-0000-000098000000}">
      <text>
        <r>
          <rPr>
            <b/>
            <sz val="9"/>
            <color indexed="81"/>
            <rFont val="Tahoma"/>
            <charset val="1"/>
          </rPr>
          <t>Beaulieu, Jake:</t>
        </r>
        <r>
          <rPr>
            <sz val="9"/>
            <color indexed="81"/>
            <rFont val="Tahoma"/>
            <charset val="1"/>
          </rPr>
          <t xml:space="preserve">
Not needed for active trap deployments</t>
        </r>
      </text>
    </comment>
    <comment ref="O54" authorId="2" shapeId="0" xr:uid="{00000000-0006-0000-0000-00009900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I55" authorId="1" shapeId="0" xr:uid="{00000000-0006-0000-0000-00009A000000}">
      <text>
        <r>
          <rPr>
            <b/>
            <sz val="9"/>
            <color indexed="81"/>
            <rFont val="Tahoma"/>
            <charset val="1"/>
          </rPr>
          <t>Beaulieu, Jake:</t>
        </r>
        <r>
          <rPr>
            <sz val="9"/>
            <color indexed="81"/>
            <rFont val="Tahoma"/>
            <charset val="1"/>
          </rPr>
          <t xml:space="preserve">
Not needed for active trap deployments</t>
        </r>
      </text>
    </comment>
    <comment ref="I56" authorId="1" shapeId="0" xr:uid="{00000000-0006-0000-0000-00009B000000}">
      <text>
        <r>
          <rPr>
            <b/>
            <sz val="9"/>
            <color indexed="81"/>
            <rFont val="Tahoma"/>
            <charset val="1"/>
          </rPr>
          <t>Beaulieu, Jake:</t>
        </r>
        <r>
          <rPr>
            <sz val="9"/>
            <color indexed="81"/>
            <rFont val="Tahoma"/>
            <charset val="1"/>
          </rPr>
          <t xml:space="preserve">
Not needed for active trap deployments</t>
        </r>
      </text>
    </comment>
    <comment ref="I57" authorId="1" shapeId="0" xr:uid="{00000000-0006-0000-0000-00009C000000}">
      <text>
        <r>
          <rPr>
            <b/>
            <sz val="9"/>
            <color indexed="81"/>
            <rFont val="Tahoma"/>
            <charset val="1"/>
          </rPr>
          <t>Beaulieu, Jake:</t>
        </r>
        <r>
          <rPr>
            <sz val="9"/>
            <color indexed="81"/>
            <rFont val="Tahoma"/>
            <charset val="1"/>
          </rPr>
          <t xml:space="preserve">
Not needed for active trap deployments</t>
        </r>
      </text>
    </comment>
    <comment ref="I58" authorId="1" shapeId="0" xr:uid="{00000000-0006-0000-0000-0000B0000000}">
      <text>
        <r>
          <rPr>
            <b/>
            <sz val="9"/>
            <color indexed="81"/>
            <rFont val="Tahoma"/>
            <charset val="1"/>
          </rPr>
          <t>Beaulieu, Jake:</t>
        </r>
        <r>
          <rPr>
            <sz val="9"/>
            <color indexed="81"/>
            <rFont val="Tahoma"/>
            <charset val="1"/>
          </rPr>
          <t xml:space="preserve">
Not needed for active trap deployments</t>
        </r>
      </text>
    </comment>
    <comment ref="I59" authorId="1" shapeId="0" xr:uid="{00000000-0006-0000-0000-0000C6000000}">
      <text>
        <r>
          <rPr>
            <b/>
            <sz val="9"/>
            <color indexed="81"/>
            <rFont val="Tahoma"/>
            <charset val="1"/>
          </rPr>
          <t>Beaulieu, Jake:</t>
        </r>
        <r>
          <rPr>
            <sz val="9"/>
            <color indexed="81"/>
            <rFont val="Tahoma"/>
            <charset val="1"/>
          </rPr>
          <t xml:space="preserve">
Not needed for active trap deployments</t>
        </r>
      </text>
    </comment>
    <comment ref="I60" authorId="1" shapeId="0" xr:uid="{00000000-0006-0000-0000-0000A5000000}">
      <text>
        <r>
          <rPr>
            <b/>
            <sz val="9"/>
            <color indexed="81"/>
            <rFont val="Tahoma"/>
            <charset val="1"/>
          </rPr>
          <t>Beaulieu, Jake:</t>
        </r>
        <r>
          <rPr>
            <sz val="9"/>
            <color indexed="81"/>
            <rFont val="Tahoma"/>
            <charset val="1"/>
          </rPr>
          <t xml:space="preserve">
Not needed for active trap deployments</t>
        </r>
      </text>
    </comment>
    <comment ref="C61" authorId="1" shapeId="0" xr:uid="{00000000-0006-0000-0000-000080000000}">
      <text>
        <r>
          <rPr>
            <b/>
            <sz val="9"/>
            <color indexed="81"/>
            <rFont val="Tahoma"/>
            <family val="2"/>
          </rPr>
          <t>Beaulieu, Jake:</t>
        </r>
        <r>
          <rPr>
            <sz val="9"/>
            <color indexed="81"/>
            <rFont val="Tahoma"/>
            <family val="2"/>
          </rPr>
          <t xml:space="preserve">
Gas collected from the trap on 7/01/15, but the file wasn't downloaded.  The file has been split in half and used for the 6/11 and 7/1 deployment date calculations.
</t>
        </r>
      </text>
    </comment>
    <comment ref="I61" authorId="1" shapeId="0" xr:uid="{00000000-0006-0000-0000-000081000000}">
      <text>
        <r>
          <rPr>
            <b/>
            <sz val="9"/>
            <color indexed="81"/>
            <rFont val="Tahoma"/>
            <charset val="1"/>
          </rPr>
          <t>Beaulieu, Jake:</t>
        </r>
        <r>
          <rPr>
            <sz val="9"/>
            <color indexed="81"/>
            <rFont val="Tahoma"/>
            <charset val="1"/>
          </rPr>
          <t xml:space="preserve">
Not needed for active trap deployments</t>
        </r>
      </text>
    </comment>
    <comment ref="E62" authorId="1" shapeId="0" xr:uid="{00000000-0006-0000-0000-0000A7000000}">
      <text>
        <r>
          <rPr>
            <b/>
            <sz val="9"/>
            <color indexed="81"/>
            <rFont val="Tahoma"/>
            <family val="2"/>
          </rPr>
          <t>Beaulieu, Jake:</t>
        </r>
        <r>
          <rPr>
            <sz val="9"/>
            <color indexed="81"/>
            <rFont val="Tahoma"/>
            <family val="2"/>
          </rPr>
          <t xml:space="preserve">
Data file missing.  Valve to circuitry may have been closed all week.  File may have been reviewed and showed no info, was therefore deleted.  Weird file name because date wasn't changed correctly during previous visit.
Date.time estimated from start of subsequent data file.</t>
        </r>
      </text>
    </comment>
    <comment ref="I62" authorId="1" shapeId="0" xr:uid="{00000000-0006-0000-0000-0000A8000000}">
      <text>
        <r>
          <rPr>
            <b/>
            <sz val="9"/>
            <color indexed="81"/>
            <rFont val="Tahoma"/>
            <charset val="1"/>
          </rPr>
          <t>Beaulieu, Jake:</t>
        </r>
        <r>
          <rPr>
            <sz val="9"/>
            <color indexed="81"/>
            <rFont val="Tahoma"/>
            <charset val="1"/>
          </rPr>
          <t xml:space="preserve">
Not needed for active trap deployments</t>
        </r>
      </text>
    </comment>
    <comment ref="K62" authorId="1" shapeId="0" xr:uid="{00000000-0006-0000-0000-0000A9000000}">
      <text>
        <r>
          <rPr>
            <b/>
            <sz val="9"/>
            <color indexed="81"/>
            <rFont val="Tahoma"/>
            <family val="2"/>
          </rPr>
          <t>Beaulieu, Jake:</t>
        </r>
        <r>
          <rPr>
            <sz val="9"/>
            <color indexed="81"/>
            <rFont val="Tahoma"/>
            <family val="2"/>
          </rPr>
          <t xml:space="preserve">
Data file missing.  Valve to circuitry may have been closed all week.  File may have been reviewed and showed no info, was therefore deleted.  Weird file name because date wasn't changed correctly during previous visit.
Date.time estimated from start of subsequent data file.</t>
        </r>
      </text>
    </comment>
    <comment ref="L62" authorId="1" shapeId="0" xr:uid="{00000000-0006-0000-0000-0000AA000000}">
      <text>
        <r>
          <rPr>
            <b/>
            <sz val="9"/>
            <color indexed="81"/>
            <rFont val="Tahoma"/>
            <family val="2"/>
          </rPr>
          <t>Beaulieu, Jake:</t>
        </r>
        <r>
          <rPr>
            <sz val="9"/>
            <color indexed="81"/>
            <rFont val="Tahoma"/>
            <family val="2"/>
          </rPr>
          <t xml:space="preserve">
Data file missing.  Valve to circuitry may have been closed all week.  File may have been reviewed and showed no info, was therefore deleted.  Weird file name because date wasn't changed correctly during previous visit.
Date.time estimated from start of subsequent data file.</t>
        </r>
      </text>
    </comment>
    <comment ref="M62" authorId="1" shapeId="0" xr:uid="{00000000-0006-0000-0000-0000AB000000}">
      <text>
        <r>
          <rPr>
            <b/>
            <sz val="9"/>
            <color indexed="81"/>
            <rFont val="Tahoma"/>
            <family val="2"/>
          </rPr>
          <t>Beaulieu, Jake:</t>
        </r>
        <r>
          <rPr>
            <sz val="9"/>
            <color indexed="81"/>
            <rFont val="Tahoma"/>
            <family val="2"/>
          </rPr>
          <t xml:space="preserve">
Data file missing.  Valve to circuitry may have been closed all week.  File may have been reviewed and showed no info, was therefore deleted.  Weird file name because date wasn't changed correctly during previous visit.
Date.time estimated from start of subsequent data file.</t>
        </r>
      </text>
    </comment>
    <comment ref="N62" authorId="1" shapeId="0" xr:uid="{00000000-0006-0000-0000-0000AC000000}">
      <text>
        <r>
          <rPr>
            <b/>
            <sz val="9"/>
            <color indexed="81"/>
            <rFont val="Tahoma"/>
            <family val="2"/>
          </rPr>
          <t>Beaulieu, Jake:</t>
        </r>
        <r>
          <rPr>
            <sz val="9"/>
            <color indexed="81"/>
            <rFont val="Tahoma"/>
            <family val="2"/>
          </rPr>
          <t xml:space="preserve">
Data file missing.  Valve to circuitry may have been closed all week.  File may have been reviewed and showed no info, was therefore deleted.  Weird file name because date wasn't changed correctly during previous visit.
Date.time estimated from start of subsequent data file.</t>
        </r>
      </text>
    </comment>
    <comment ref="I63" authorId="1" shapeId="0" xr:uid="{00000000-0006-0000-0000-0000AD000000}">
      <text>
        <r>
          <rPr>
            <b/>
            <sz val="9"/>
            <color indexed="81"/>
            <rFont val="Tahoma"/>
            <charset val="1"/>
          </rPr>
          <t>Beaulieu, Jake:</t>
        </r>
        <r>
          <rPr>
            <sz val="9"/>
            <color indexed="81"/>
            <rFont val="Tahoma"/>
            <charset val="1"/>
          </rPr>
          <t xml:space="preserve">
Not needed for active trap deployments</t>
        </r>
      </text>
    </comment>
    <comment ref="I64" authorId="1" shapeId="0" xr:uid="{00000000-0006-0000-0000-0000AE000000}">
      <text>
        <r>
          <rPr>
            <b/>
            <sz val="9"/>
            <color indexed="81"/>
            <rFont val="Tahoma"/>
            <charset val="1"/>
          </rPr>
          <t>Beaulieu, Jake:</t>
        </r>
        <r>
          <rPr>
            <sz val="9"/>
            <color indexed="81"/>
            <rFont val="Tahoma"/>
            <charset val="1"/>
          </rPr>
          <t xml:space="preserve">
Not needed for active trap deployments</t>
        </r>
      </text>
    </comment>
    <comment ref="I65" authorId="1" shapeId="0" xr:uid="{00000000-0006-0000-0000-0000AF000000}">
      <text>
        <r>
          <rPr>
            <b/>
            <sz val="9"/>
            <color indexed="81"/>
            <rFont val="Tahoma"/>
            <charset val="1"/>
          </rPr>
          <t>Beaulieu, Jake:</t>
        </r>
        <r>
          <rPr>
            <sz val="9"/>
            <color indexed="81"/>
            <rFont val="Tahoma"/>
            <charset val="1"/>
          </rPr>
          <t xml:space="preserve">
Not needed for active trap deployments</t>
        </r>
      </text>
    </comment>
    <comment ref="I66" authorId="1" shapeId="0" xr:uid="{00000000-0006-0000-0000-000089000000}">
      <text>
        <r>
          <rPr>
            <b/>
            <sz val="9"/>
            <color indexed="81"/>
            <rFont val="Tahoma"/>
            <charset val="1"/>
          </rPr>
          <t>Beaulieu, Jake:</t>
        </r>
        <r>
          <rPr>
            <sz val="9"/>
            <color indexed="81"/>
            <rFont val="Tahoma"/>
            <charset val="1"/>
          </rPr>
          <t xml:space="preserve">
Not needed for active trap deployments</t>
        </r>
      </text>
    </comment>
    <comment ref="I67" authorId="1" shapeId="0" xr:uid="{00000000-0006-0000-0000-0000BD000000}">
      <text>
        <r>
          <rPr>
            <b/>
            <sz val="9"/>
            <color indexed="81"/>
            <rFont val="Tahoma"/>
            <charset val="1"/>
          </rPr>
          <t>Beaulieu, Jake:</t>
        </r>
        <r>
          <rPr>
            <sz val="9"/>
            <color indexed="81"/>
            <rFont val="Tahoma"/>
            <charset val="1"/>
          </rPr>
          <t xml:space="preserve">
Not needed for active trap deployments</t>
        </r>
      </text>
    </comment>
    <comment ref="I68" authorId="1" shapeId="0" xr:uid="{00000000-0006-0000-0000-0000B2000000}">
      <text>
        <r>
          <rPr>
            <b/>
            <sz val="9"/>
            <color indexed="81"/>
            <rFont val="Tahoma"/>
            <charset val="1"/>
          </rPr>
          <t>Beaulieu, Jake:</t>
        </r>
        <r>
          <rPr>
            <sz val="9"/>
            <color indexed="81"/>
            <rFont val="Tahoma"/>
            <charset val="1"/>
          </rPr>
          <t xml:space="preserve">
Not needed for active trap deployments</t>
        </r>
      </text>
    </comment>
    <comment ref="I69" authorId="1" shapeId="0" xr:uid="{00000000-0006-0000-0000-0000B3000000}">
      <text>
        <r>
          <rPr>
            <b/>
            <sz val="9"/>
            <color indexed="81"/>
            <rFont val="Tahoma"/>
            <charset val="1"/>
          </rPr>
          <t>Beaulieu, Jake:</t>
        </r>
        <r>
          <rPr>
            <sz val="9"/>
            <color indexed="81"/>
            <rFont val="Tahoma"/>
            <charset val="1"/>
          </rPr>
          <t xml:space="preserve">
Not needed for active trap deployments</t>
        </r>
      </text>
    </comment>
    <comment ref="I70" authorId="1" shapeId="0" xr:uid="{00000000-0006-0000-0000-0000B4000000}">
      <text>
        <r>
          <rPr>
            <b/>
            <sz val="9"/>
            <color indexed="81"/>
            <rFont val="Tahoma"/>
            <charset val="1"/>
          </rPr>
          <t>Beaulieu, Jake:</t>
        </r>
        <r>
          <rPr>
            <sz val="9"/>
            <color indexed="81"/>
            <rFont val="Tahoma"/>
            <charset val="1"/>
          </rPr>
          <t xml:space="preserve">
Not needed for active trap deployments</t>
        </r>
      </text>
    </comment>
    <comment ref="C71" authorId="2" shapeId="0" xr:uid="{00000000-0006-0000-0000-0000E7010000}">
      <text>
        <r>
          <rPr>
            <b/>
            <sz val="9"/>
            <color indexed="81"/>
            <rFont val="Tahoma"/>
            <family val="2"/>
          </rPr>
          <t>U.S. EPA User or Contractor:</t>
        </r>
        <r>
          <rPr>
            <sz val="9"/>
            <color indexed="81"/>
            <rFont val="Tahoma"/>
            <family val="2"/>
          </rPr>
          <t xml:space="preserve">
This time was taken from "Time Trap Released on Bouy" on page 252 of field sheet</t>
        </r>
      </text>
    </comment>
    <comment ref="O71" authorId="2" shapeId="0" xr:uid="{00000000-0006-0000-0000-0000E8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I72" authorId="1" shapeId="0" xr:uid="{00000000-0006-0000-0000-0000B6000000}">
      <text>
        <r>
          <rPr>
            <b/>
            <sz val="9"/>
            <color indexed="81"/>
            <rFont val="Tahoma"/>
            <charset val="1"/>
          </rPr>
          <t>Beaulieu, Jake:</t>
        </r>
        <r>
          <rPr>
            <sz val="9"/>
            <color indexed="81"/>
            <rFont val="Tahoma"/>
            <charset val="1"/>
          </rPr>
          <t xml:space="preserve">
Not needed for active trap deployments</t>
        </r>
      </text>
    </comment>
    <comment ref="I73" authorId="1" shapeId="0" xr:uid="{00000000-0006-0000-0000-0000B7000000}">
      <text>
        <r>
          <rPr>
            <b/>
            <sz val="9"/>
            <color indexed="81"/>
            <rFont val="Tahoma"/>
            <charset val="1"/>
          </rPr>
          <t>Beaulieu, Jake:</t>
        </r>
        <r>
          <rPr>
            <sz val="9"/>
            <color indexed="81"/>
            <rFont val="Tahoma"/>
            <charset val="1"/>
          </rPr>
          <t xml:space="preserve">
Not needed for active trap deployments</t>
        </r>
      </text>
    </comment>
    <comment ref="K73" authorId="1" shapeId="0" xr:uid="{00000000-0006-0000-0000-0000B8000000}">
      <text>
        <r>
          <rPr>
            <b/>
            <sz val="9"/>
            <color indexed="81"/>
            <rFont val="Tahoma"/>
            <family val="2"/>
          </rPr>
          <t>Beaulieu, Jake:</t>
        </r>
        <r>
          <rPr>
            <sz val="9"/>
            <color indexed="81"/>
            <rFont val="Tahoma"/>
            <family val="2"/>
          </rPr>
          <t xml:space="preserve">
sensor maxed after first reading, this doesn't seem right.  Going to report NA.</t>
        </r>
      </text>
    </comment>
    <comment ref="L73" authorId="1" shapeId="0" xr:uid="{00000000-0006-0000-0000-0000B9000000}">
      <text>
        <r>
          <rPr>
            <b/>
            <sz val="9"/>
            <color indexed="81"/>
            <rFont val="Tahoma"/>
            <family val="2"/>
          </rPr>
          <t>Beaulieu, Jake:</t>
        </r>
        <r>
          <rPr>
            <sz val="9"/>
            <color indexed="81"/>
            <rFont val="Tahoma"/>
            <family val="2"/>
          </rPr>
          <t xml:space="preserve">
sensor maxed after first reading, this doesn't seem right.  Going to report NA.</t>
        </r>
      </text>
    </comment>
    <comment ref="M73" authorId="1" shapeId="0" xr:uid="{00000000-0006-0000-0000-0000BA000000}">
      <text>
        <r>
          <rPr>
            <b/>
            <sz val="9"/>
            <color indexed="81"/>
            <rFont val="Tahoma"/>
            <family val="2"/>
          </rPr>
          <t>Beaulieu, Jake:</t>
        </r>
        <r>
          <rPr>
            <sz val="9"/>
            <color indexed="81"/>
            <rFont val="Tahoma"/>
            <family val="2"/>
          </rPr>
          <t xml:space="preserve">
sensor maxed after first reading, this doesn't seem right.  Going to report NA.</t>
        </r>
      </text>
    </comment>
    <comment ref="I74" authorId="1" shapeId="0" xr:uid="{00000000-0006-0000-0000-0000BB000000}">
      <text>
        <r>
          <rPr>
            <b/>
            <sz val="9"/>
            <color indexed="81"/>
            <rFont val="Tahoma"/>
            <charset val="1"/>
          </rPr>
          <t>Beaulieu, Jake:</t>
        </r>
        <r>
          <rPr>
            <sz val="9"/>
            <color indexed="81"/>
            <rFont val="Tahoma"/>
            <charset val="1"/>
          </rPr>
          <t xml:space="preserve">
Not needed for active trap deployments</t>
        </r>
      </text>
    </comment>
    <comment ref="I75" authorId="1" shapeId="0" xr:uid="{00000000-0006-0000-0000-00009D000000}">
      <text>
        <r>
          <rPr>
            <b/>
            <sz val="9"/>
            <color indexed="81"/>
            <rFont val="Tahoma"/>
            <charset val="1"/>
          </rPr>
          <t>Beaulieu, Jake:</t>
        </r>
        <r>
          <rPr>
            <sz val="9"/>
            <color indexed="81"/>
            <rFont val="Tahoma"/>
            <charset val="1"/>
          </rPr>
          <t xml:space="preserve">
Not needed for active trap deployments</t>
        </r>
      </text>
    </comment>
    <comment ref="I77" authorId="1" shapeId="0" xr:uid="{00000000-0006-0000-0000-0000BE000000}">
      <text>
        <r>
          <rPr>
            <b/>
            <sz val="9"/>
            <color indexed="81"/>
            <rFont val="Tahoma"/>
            <charset val="1"/>
          </rPr>
          <t>Beaulieu, Jake:</t>
        </r>
        <r>
          <rPr>
            <sz val="9"/>
            <color indexed="81"/>
            <rFont val="Tahoma"/>
            <charset val="1"/>
          </rPr>
          <t xml:space="preserve">
Not needed for active trap deployments</t>
        </r>
      </text>
    </comment>
    <comment ref="I78" authorId="1" shapeId="0" xr:uid="{00000000-0006-0000-0000-0000BF000000}">
      <text>
        <r>
          <rPr>
            <b/>
            <sz val="9"/>
            <color indexed="81"/>
            <rFont val="Tahoma"/>
            <charset val="1"/>
          </rPr>
          <t>Beaulieu, Jake:</t>
        </r>
        <r>
          <rPr>
            <sz val="9"/>
            <color indexed="81"/>
            <rFont val="Tahoma"/>
            <charset val="1"/>
          </rPr>
          <t xml:space="preserve">
Not needed for active trap deployments</t>
        </r>
      </text>
    </comment>
    <comment ref="I79" authorId="1" shapeId="0" xr:uid="{00000000-0006-0000-0000-0000C0000000}">
      <text>
        <r>
          <rPr>
            <b/>
            <sz val="9"/>
            <color indexed="81"/>
            <rFont val="Tahoma"/>
            <charset val="1"/>
          </rPr>
          <t>Beaulieu, Jake:</t>
        </r>
        <r>
          <rPr>
            <sz val="9"/>
            <color indexed="81"/>
            <rFont val="Tahoma"/>
            <charset val="1"/>
          </rPr>
          <t xml:space="preserve">
Not needed for active trap deployments</t>
        </r>
      </text>
    </comment>
    <comment ref="I80" authorId="1" shapeId="0" xr:uid="{00000000-0006-0000-0000-0000DC000000}">
      <text>
        <r>
          <rPr>
            <b/>
            <sz val="9"/>
            <color indexed="81"/>
            <rFont val="Tahoma"/>
            <charset val="1"/>
          </rPr>
          <t>Beaulieu, Jake:</t>
        </r>
        <r>
          <rPr>
            <sz val="9"/>
            <color indexed="81"/>
            <rFont val="Tahoma"/>
            <charset val="1"/>
          </rPr>
          <t xml:space="preserve">
Not needed for active trap deployments</t>
        </r>
      </text>
    </comment>
    <comment ref="O80" authorId="2" shapeId="0" xr:uid="{00000000-0006-0000-0000-0000DD00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I81" authorId="1" shapeId="0" xr:uid="{00000000-0006-0000-0000-0000C2000000}">
      <text>
        <r>
          <rPr>
            <b/>
            <sz val="9"/>
            <color indexed="81"/>
            <rFont val="Tahoma"/>
            <charset val="1"/>
          </rPr>
          <t>Beaulieu, Jake:</t>
        </r>
        <r>
          <rPr>
            <sz val="9"/>
            <color indexed="81"/>
            <rFont val="Tahoma"/>
            <charset val="1"/>
          </rPr>
          <t xml:space="preserve">
Not needed for active trap deployments</t>
        </r>
      </text>
    </comment>
    <comment ref="I82" authorId="1" shapeId="0" xr:uid="{00000000-0006-0000-0000-0000C3000000}">
      <text>
        <r>
          <rPr>
            <b/>
            <sz val="9"/>
            <color indexed="81"/>
            <rFont val="Tahoma"/>
            <charset val="1"/>
          </rPr>
          <t>Beaulieu, Jake:</t>
        </r>
        <r>
          <rPr>
            <sz val="9"/>
            <color indexed="81"/>
            <rFont val="Tahoma"/>
            <charset val="1"/>
          </rPr>
          <t xml:space="preserve">
Not needed for active trap deployments</t>
        </r>
      </text>
    </comment>
    <comment ref="I83" authorId="1" shapeId="0" xr:uid="{00000000-0006-0000-0000-0000C4000000}">
      <text>
        <r>
          <rPr>
            <b/>
            <sz val="9"/>
            <color indexed="81"/>
            <rFont val="Tahoma"/>
            <charset val="1"/>
          </rPr>
          <t>Beaulieu, Jake:</t>
        </r>
        <r>
          <rPr>
            <sz val="9"/>
            <color indexed="81"/>
            <rFont val="Tahoma"/>
            <charset val="1"/>
          </rPr>
          <t xml:space="preserve">
Not needed for active trap deployments</t>
        </r>
      </text>
    </comment>
    <comment ref="I84" authorId="1" shapeId="0" xr:uid="{00000000-0006-0000-0000-00007D000000}">
      <text>
        <r>
          <rPr>
            <b/>
            <sz val="9"/>
            <color indexed="81"/>
            <rFont val="Tahoma"/>
            <charset val="1"/>
          </rPr>
          <t>Beaulieu, Jake:</t>
        </r>
        <r>
          <rPr>
            <sz val="9"/>
            <color indexed="81"/>
            <rFont val="Tahoma"/>
            <charset val="1"/>
          </rPr>
          <t xml:space="preserve">
Not needed for active trap deployments</t>
        </r>
      </text>
    </comment>
    <comment ref="I85" authorId="1" shapeId="0" xr:uid="{00000000-0006-0000-0000-00004E000000}">
      <text>
        <r>
          <rPr>
            <b/>
            <sz val="9"/>
            <color indexed="81"/>
            <rFont val="Tahoma"/>
            <charset val="1"/>
          </rPr>
          <t>Beaulieu, Jake:</t>
        </r>
        <r>
          <rPr>
            <sz val="9"/>
            <color indexed="81"/>
            <rFont val="Tahoma"/>
            <charset val="1"/>
          </rPr>
          <t xml:space="preserve">
Not needed for active trap deployments</t>
        </r>
      </text>
    </comment>
    <comment ref="O85" authorId="2" shapeId="0" xr:uid="{00000000-0006-0000-0000-00004F00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I86" authorId="1" shapeId="0" xr:uid="{00000000-0006-0000-0000-0000C7000000}">
      <text>
        <r>
          <rPr>
            <b/>
            <sz val="9"/>
            <color indexed="81"/>
            <rFont val="Tahoma"/>
            <charset val="1"/>
          </rPr>
          <t>Beaulieu, Jake:</t>
        </r>
        <r>
          <rPr>
            <sz val="9"/>
            <color indexed="81"/>
            <rFont val="Tahoma"/>
            <charset val="1"/>
          </rPr>
          <t xml:space="preserve">
Not needed for active trap deployments</t>
        </r>
      </text>
    </comment>
    <comment ref="K86" authorId="1" shapeId="0" xr:uid="{00000000-0006-0000-0000-0000C8000000}">
      <text>
        <r>
          <rPr>
            <b/>
            <sz val="9"/>
            <color indexed="81"/>
            <rFont val="Tahoma"/>
            <family val="2"/>
          </rPr>
          <t>Beaulieu, Jake:</t>
        </r>
        <r>
          <rPr>
            <sz val="9"/>
            <color indexed="81"/>
            <rFont val="Tahoma"/>
            <family val="2"/>
          </rPr>
          <t xml:space="preserve">
sensor maxed in one hour, but only 70mL of gas in trap.  Very strange.</t>
        </r>
      </text>
    </comment>
    <comment ref="L86" authorId="1" shapeId="0" xr:uid="{00000000-0006-0000-0000-0000C9000000}">
      <text>
        <r>
          <rPr>
            <b/>
            <sz val="9"/>
            <color indexed="81"/>
            <rFont val="Tahoma"/>
            <family val="2"/>
          </rPr>
          <t>Beaulieu, Jake:</t>
        </r>
        <r>
          <rPr>
            <sz val="9"/>
            <color indexed="81"/>
            <rFont val="Tahoma"/>
            <family val="2"/>
          </rPr>
          <t xml:space="preserve">
sensor maxed in one hour, but only 70mL of gas in trap.  Very strange.</t>
        </r>
      </text>
    </comment>
    <comment ref="M86" authorId="1" shapeId="0" xr:uid="{00000000-0006-0000-0000-0000CA000000}">
      <text>
        <r>
          <rPr>
            <b/>
            <sz val="9"/>
            <color indexed="81"/>
            <rFont val="Tahoma"/>
            <family val="2"/>
          </rPr>
          <t>Beaulieu, Jake:</t>
        </r>
        <r>
          <rPr>
            <sz val="9"/>
            <color indexed="81"/>
            <rFont val="Tahoma"/>
            <family val="2"/>
          </rPr>
          <t xml:space="preserve">
sensor maxed in one hour, but only 70mL of gas in trap.  Very strange.</t>
        </r>
      </text>
    </comment>
    <comment ref="N86" authorId="1" shapeId="0" xr:uid="{00000000-0006-0000-0000-0000CB000000}">
      <text>
        <r>
          <rPr>
            <b/>
            <sz val="9"/>
            <color indexed="81"/>
            <rFont val="Tahoma"/>
            <family val="2"/>
          </rPr>
          <t>Beaulieu, Jake:</t>
        </r>
        <r>
          <rPr>
            <sz val="9"/>
            <color indexed="81"/>
            <rFont val="Tahoma"/>
            <family val="2"/>
          </rPr>
          <t xml:space="preserve">
sensor maxed in one hour, but only 70mL of gas in trap.  Very strange.</t>
        </r>
      </text>
    </comment>
    <comment ref="I87" authorId="1" shapeId="0" xr:uid="{00000000-0006-0000-0000-0000CC000000}">
      <text>
        <r>
          <rPr>
            <b/>
            <sz val="9"/>
            <color indexed="81"/>
            <rFont val="Tahoma"/>
            <charset val="1"/>
          </rPr>
          <t>Beaulieu, Jake:</t>
        </r>
        <r>
          <rPr>
            <sz val="9"/>
            <color indexed="81"/>
            <rFont val="Tahoma"/>
            <charset val="1"/>
          </rPr>
          <t xml:space="preserve">
Not needed for active trap deployments</t>
        </r>
      </text>
    </comment>
    <comment ref="I88" authorId="1" shapeId="0" xr:uid="{00000000-0006-0000-0000-0000CD000000}">
      <text>
        <r>
          <rPr>
            <b/>
            <sz val="9"/>
            <color indexed="81"/>
            <rFont val="Tahoma"/>
            <charset val="1"/>
          </rPr>
          <t>Beaulieu, Jake:</t>
        </r>
        <r>
          <rPr>
            <sz val="9"/>
            <color indexed="81"/>
            <rFont val="Tahoma"/>
            <charset val="1"/>
          </rPr>
          <t xml:space="preserve">
Not needed for active trap deployments</t>
        </r>
      </text>
    </comment>
    <comment ref="I89" authorId="1" shapeId="0" xr:uid="{00000000-0006-0000-0000-0000E8000000}">
      <text>
        <r>
          <rPr>
            <b/>
            <sz val="9"/>
            <color indexed="81"/>
            <rFont val="Tahoma"/>
            <charset val="1"/>
          </rPr>
          <t>Beaulieu, Jake:</t>
        </r>
        <r>
          <rPr>
            <sz val="9"/>
            <color indexed="81"/>
            <rFont val="Tahoma"/>
            <charset val="1"/>
          </rPr>
          <t xml:space="preserve">
Not needed for active trap deployments</t>
        </r>
      </text>
    </comment>
    <comment ref="I90" authorId="1" shapeId="0" xr:uid="{00000000-0006-0000-0000-0000D1000000}">
      <text>
        <r>
          <rPr>
            <b/>
            <sz val="9"/>
            <color indexed="81"/>
            <rFont val="Tahoma"/>
            <charset val="1"/>
          </rPr>
          <t>Beaulieu, Jake:</t>
        </r>
        <r>
          <rPr>
            <sz val="9"/>
            <color indexed="81"/>
            <rFont val="Tahoma"/>
            <charset val="1"/>
          </rPr>
          <t xml:space="preserve">
Not needed for active trap deployments</t>
        </r>
      </text>
    </comment>
    <comment ref="I91" authorId="1" shapeId="0" xr:uid="{00000000-0006-0000-0000-0000D2000000}">
      <text>
        <r>
          <rPr>
            <b/>
            <sz val="9"/>
            <color indexed="81"/>
            <rFont val="Tahoma"/>
            <charset val="1"/>
          </rPr>
          <t>Beaulieu, Jake:</t>
        </r>
        <r>
          <rPr>
            <sz val="9"/>
            <color indexed="81"/>
            <rFont val="Tahoma"/>
            <charset val="1"/>
          </rPr>
          <t xml:space="preserve">
Not needed for active trap deployments</t>
        </r>
      </text>
    </comment>
    <comment ref="I92" authorId="1" shapeId="0" xr:uid="{00000000-0006-0000-0000-0000D3000000}">
      <text>
        <r>
          <rPr>
            <b/>
            <sz val="9"/>
            <color indexed="81"/>
            <rFont val="Tahoma"/>
            <charset val="1"/>
          </rPr>
          <t>Beaulieu, Jake:</t>
        </r>
        <r>
          <rPr>
            <sz val="9"/>
            <color indexed="81"/>
            <rFont val="Tahoma"/>
            <charset val="1"/>
          </rPr>
          <t xml:space="preserve">
Not needed for active trap deployments</t>
        </r>
      </text>
    </comment>
    <comment ref="I93" authorId="1" shapeId="0" xr:uid="{00000000-0006-0000-0000-0000BC000000}">
      <text>
        <r>
          <rPr>
            <b/>
            <sz val="9"/>
            <color indexed="81"/>
            <rFont val="Tahoma"/>
            <charset val="1"/>
          </rPr>
          <t>Beaulieu, Jake:</t>
        </r>
        <r>
          <rPr>
            <sz val="9"/>
            <color indexed="81"/>
            <rFont val="Tahoma"/>
            <charset val="1"/>
          </rPr>
          <t xml:space="preserve">
Not needed for active trap deployments</t>
        </r>
      </text>
    </comment>
    <comment ref="I94" authorId="1" shapeId="0" xr:uid="{00000000-0006-0000-0000-000077000000}">
      <text>
        <r>
          <rPr>
            <b/>
            <sz val="9"/>
            <color indexed="81"/>
            <rFont val="Tahoma"/>
            <charset val="1"/>
          </rPr>
          <t>Beaulieu, Jake:</t>
        </r>
        <r>
          <rPr>
            <sz val="9"/>
            <color indexed="81"/>
            <rFont val="Tahoma"/>
            <charset val="1"/>
          </rPr>
          <t xml:space="preserve">
Not needed for active trap deployments</t>
        </r>
      </text>
    </comment>
    <comment ref="I95" authorId="1" shapeId="0" xr:uid="{00000000-0006-0000-0000-0000D6000000}">
      <text>
        <r>
          <rPr>
            <b/>
            <sz val="9"/>
            <color indexed="81"/>
            <rFont val="Tahoma"/>
            <charset val="1"/>
          </rPr>
          <t>Beaulieu, Jake:</t>
        </r>
        <r>
          <rPr>
            <sz val="9"/>
            <color indexed="81"/>
            <rFont val="Tahoma"/>
            <charset val="1"/>
          </rPr>
          <t xml:space="preserve">
Not needed for active trap deployments</t>
        </r>
      </text>
    </comment>
    <comment ref="I96" authorId="1" shapeId="0" xr:uid="{00000000-0006-0000-0000-0000D7000000}">
      <text>
        <r>
          <rPr>
            <b/>
            <sz val="9"/>
            <color indexed="81"/>
            <rFont val="Tahoma"/>
            <charset val="1"/>
          </rPr>
          <t>Beaulieu, Jake:</t>
        </r>
        <r>
          <rPr>
            <sz val="9"/>
            <color indexed="81"/>
            <rFont val="Tahoma"/>
            <charset val="1"/>
          </rPr>
          <t xml:space="preserve">
Not needed for active trap deployments</t>
        </r>
      </text>
    </comment>
    <comment ref="F97" authorId="2" shapeId="0" xr:uid="{00000000-0006-0000-0000-0000D8000000}">
      <text>
        <r>
          <rPr>
            <b/>
            <sz val="9"/>
            <color indexed="81"/>
            <rFont val="Tahoma"/>
            <family val="2"/>
          </rPr>
          <t>U.S. EPA User or Contractor:</t>
        </r>
        <r>
          <rPr>
            <sz val="9"/>
            <color indexed="81"/>
            <rFont val="Tahoma"/>
            <family val="2"/>
          </rPr>
          <t xml:space="preserve">
After sampling, the trap was moved back to original coordinates. They are as follows:
39.037046, -84.137615
-KB 10/4/15</t>
        </r>
      </text>
    </comment>
    <comment ref="G97" authorId="2" shapeId="0" xr:uid="{00000000-0006-0000-0000-0000D9000000}">
      <text>
        <r>
          <rPr>
            <b/>
            <sz val="9"/>
            <color indexed="81"/>
            <rFont val="Tahoma"/>
            <family val="2"/>
          </rPr>
          <t>U.S. EPA User or Contractor:</t>
        </r>
        <r>
          <rPr>
            <sz val="9"/>
            <color indexed="81"/>
            <rFont val="Tahoma"/>
            <family val="2"/>
          </rPr>
          <t xml:space="preserve">
After sampling, the trap was moved back to original coordinates. They are as follows:
39.037046, -84.137615
-KB 10/4/15</t>
        </r>
      </text>
    </comment>
    <comment ref="I97" authorId="1" shapeId="0" xr:uid="{00000000-0006-0000-0000-0000DA000000}">
      <text>
        <r>
          <rPr>
            <b/>
            <sz val="9"/>
            <color indexed="81"/>
            <rFont val="Tahoma"/>
            <charset val="1"/>
          </rPr>
          <t>Beaulieu, Jake:</t>
        </r>
        <r>
          <rPr>
            <sz val="9"/>
            <color indexed="81"/>
            <rFont val="Tahoma"/>
            <charset val="1"/>
          </rPr>
          <t xml:space="preserve">
Not needed for active trap deployments</t>
        </r>
      </text>
    </comment>
    <comment ref="O97" authorId="2" shapeId="0" xr:uid="{00000000-0006-0000-0000-0000DB00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I98" authorId="1" shapeId="0" xr:uid="{00000000-0006-0000-0000-0000FE000000}">
      <text>
        <r>
          <rPr>
            <b/>
            <sz val="9"/>
            <color indexed="81"/>
            <rFont val="Tahoma"/>
            <charset val="1"/>
          </rPr>
          <t>Beaulieu, Jake:</t>
        </r>
        <r>
          <rPr>
            <sz val="9"/>
            <color indexed="81"/>
            <rFont val="Tahoma"/>
            <charset val="1"/>
          </rPr>
          <t xml:space="preserve">
Not needed for active trap deployments</t>
        </r>
      </text>
    </comment>
    <comment ref="I99" authorId="1" shapeId="0" xr:uid="{00000000-0006-0000-0000-0000DE000000}">
      <text>
        <r>
          <rPr>
            <b/>
            <sz val="9"/>
            <color indexed="81"/>
            <rFont val="Tahoma"/>
            <charset val="1"/>
          </rPr>
          <t>Beaulieu, Jake:</t>
        </r>
        <r>
          <rPr>
            <sz val="9"/>
            <color indexed="81"/>
            <rFont val="Tahoma"/>
            <charset val="1"/>
          </rPr>
          <t xml:space="preserve">
Not needed for active trap deployments</t>
        </r>
      </text>
    </comment>
    <comment ref="O99" authorId="2" shapeId="0" xr:uid="{00000000-0006-0000-0000-0000DF00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I100" authorId="1" shapeId="0" xr:uid="{00000000-0006-0000-0000-0000E0000000}">
      <text>
        <r>
          <rPr>
            <b/>
            <sz val="9"/>
            <color indexed="81"/>
            <rFont val="Tahoma"/>
            <charset val="1"/>
          </rPr>
          <t>Beaulieu, Jake:</t>
        </r>
        <r>
          <rPr>
            <sz val="9"/>
            <color indexed="81"/>
            <rFont val="Tahoma"/>
            <charset val="1"/>
          </rPr>
          <t xml:space="preserve">
Not needed for active trap deployments</t>
        </r>
      </text>
    </comment>
    <comment ref="J101" authorId="2" shapeId="0" xr:uid="{00000000-0006-0000-0000-000069020000}">
      <text>
        <r>
          <rPr>
            <b/>
            <sz val="9"/>
            <color indexed="81"/>
            <rFont val="Tahoma"/>
            <charset val="1"/>
          </rPr>
          <t>U.S. EPA User or Contractor:</t>
        </r>
        <r>
          <rPr>
            <sz val="9"/>
            <color indexed="81"/>
            <rFont val="Tahoma"/>
            <charset val="1"/>
          </rPr>
          <t xml:space="preserve">
Adam got confused and pulled trap out before all of the gas could be collected. However, first 3 samples for exetainers were collected.</t>
        </r>
      </text>
    </comment>
    <comment ref="O101" authorId="2" shapeId="0" xr:uid="{00000000-0006-0000-0000-00006A02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I102" authorId="1" shapeId="0" xr:uid="{00000000-0006-0000-0000-0000E2000000}">
      <text>
        <r>
          <rPr>
            <b/>
            <sz val="9"/>
            <color indexed="81"/>
            <rFont val="Tahoma"/>
            <charset val="1"/>
          </rPr>
          <t>Beaulieu, Jake:</t>
        </r>
        <r>
          <rPr>
            <sz val="9"/>
            <color indexed="81"/>
            <rFont val="Tahoma"/>
            <charset val="1"/>
          </rPr>
          <t xml:space="preserve">
Not needed for active trap deployments</t>
        </r>
      </text>
    </comment>
    <comment ref="I103" authorId="1" shapeId="0" xr:uid="{00000000-0006-0000-0000-0000F3000000}">
      <text>
        <r>
          <rPr>
            <b/>
            <sz val="9"/>
            <color indexed="81"/>
            <rFont val="Tahoma"/>
            <charset val="1"/>
          </rPr>
          <t>Beaulieu, Jake:</t>
        </r>
        <r>
          <rPr>
            <sz val="9"/>
            <color indexed="81"/>
            <rFont val="Tahoma"/>
            <charset val="1"/>
          </rPr>
          <t xml:space="preserve">
Not needed for active trap deployments</t>
        </r>
      </text>
    </comment>
    <comment ref="I104" authorId="1" shapeId="0" xr:uid="{00000000-0006-0000-0000-0000E4000000}">
      <text>
        <r>
          <rPr>
            <b/>
            <sz val="9"/>
            <color indexed="81"/>
            <rFont val="Tahoma"/>
            <charset val="1"/>
          </rPr>
          <t>Beaulieu, Jake:</t>
        </r>
        <r>
          <rPr>
            <sz val="9"/>
            <color indexed="81"/>
            <rFont val="Tahoma"/>
            <charset val="1"/>
          </rPr>
          <t xml:space="preserve">
Not needed for active trap deployments</t>
        </r>
      </text>
    </comment>
    <comment ref="I105" authorId="1" shapeId="0" xr:uid="{00000000-0006-0000-0000-0000E5000000}">
      <text>
        <r>
          <rPr>
            <b/>
            <sz val="9"/>
            <color indexed="81"/>
            <rFont val="Tahoma"/>
            <charset val="1"/>
          </rPr>
          <t>Beaulieu, Jake:</t>
        </r>
        <r>
          <rPr>
            <sz val="9"/>
            <color indexed="81"/>
            <rFont val="Tahoma"/>
            <charset val="1"/>
          </rPr>
          <t xml:space="preserve">
Not needed for active trap deployments</t>
        </r>
      </text>
    </comment>
    <comment ref="D106" authorId="1" shapeId="0" xr:uid="{00000000-0006-0000-0000-0000E6000000}">
      <text>
        <r>
          <rPr>
            <b/>
            <sz val="9"/>
            <color indexed="81"/>
            <rFont val="Tahoma"/>
            <family val="2"/>
          </rPr>
          <t>Beaulieu, Jake:</t>
        </r>
        <r>
          <rPr>
            <sz val="9"/>
            <color indexed="81"/>
            <rFont val="Tahoma"/>
            <family val="2"/>
          </rPr>
          <t xml:space="preserve">
battery off upon retrieval</t>
        </r>
      </text>
    </comment>
    <comment ref="I106" authorId="1" shapeId="0" xr:uid="{00000000-0006-0000-0000-0000E7000000}">
      <text>
        <r>
          <rPr>
            <b/>
            <sz val="9"/>
            <color indexed="81"/>
            <rFont val="Tahoma"/>
            <charset val="1"/>
          </rPr>
          <t>Beaulieu, Jake:</t>
        </r>
        <r>
          <rPr>
            <sz val="9"/>
            <color indexed="81"/>
            <rFont val="Tahoma"/>
            <charset val="1"/>
          </rPr>
          <t xml:space="preserve">
Not needed for active trap deployments</t>
        </r>
      </text>
    </comment>
    <comment ref="I107" authorId="1" shapeId="0" xr:uid="{00000000-0006-0000-0000-0000F6000000}">
      <text>
        <r>
          <rPr>
            <b/>
            <sz val="9"/>
            <color indexed="81"/>
            <rFont val="Tahoma"/>
            <charset val="1"/>
          </rPr>
          <t>Beaulieu, Jake:</t>
        </r>
        <r>
          <rPr>
            <sz val="9"/>
            <color indexed="81"/>
            <rFont val="Tahoma"/>
            <charset val="1"/>
          </rPr>
          <t xml:space="preserve">
Not needed for active trap deployments</t>
        </r>
      </text>
    </comment>
    <comment ref="I108" authorId="1" shapeId="0" xr:uid="{00000000-0006-0000-0000-0000E9000000}">
      <text>
        <r>
          <rPr>
            <b/>
            <sz val="9"/>
            <color indexed="81"/>
            <rFont val="Tahoma"/>
            <charset val="1"/>
          </rPr>
          <t>Beaulieu, Jake:</t>
        </r>
        <r>
          <rPr>
            <sz val="9"/>
            <color indexed="81"/>
            <rFont val="Tahoma"/>
            <charset val="1"/>
          </rPr>
          <t xml:space="preserve">
Not needed for active trap deployments</t>
        </r>
      </text>
    </comment>
    <comment ref="F109" authorId="2" shapeId="0" xr:uid="{00000000-0006-0000-0000-0000EA000000}">
      <text>
        <r>
          <rPr>
            <b/>
            <sz val="9"/>
            <color indexed="81"/>
            <rFont val="Tahoma"/>
            <family val="2"/>
          </rPr>
          <t>U.S. EPA User or Contractor:</t>
        </r>
        <r>
          <rPr>
            <sz val="9"/>
            <color indexed="81"/>
            <rFont val="Tahoma"/>
            <family val="2"/>
          </rPr>
          <t xml:space="preserve">
U.S. EPA User or Contractor:
After sampling, the trap was moved back to original coordinates. They are as follows:
39.01732166, -84.10272666
-KB 10/6/15</t>
        </r>
      </text>
    </comment>
    <comment ref="G109" authorId="2" shapeId="0" xr:uid="{00000000-0006-0000-0000-0000EB000000}">
      <text>
        <r>
          <rPr>
            <b/>
            <sz val="9"/>
            <color indexed="81"/>
            <rFont val="Tahoma"/>
            <family val="2"/>
          </rPr>
          <t>U.S. EPA User or Contractor:</t>
        </r>
        <r>
          <rPr>
            <sz val="9"/>
            <color indexed="81"/>
            <rFont val="Tahoma"/>
            <family val="2"/>
          </rPr>
          <t xml:space="preserve">
U.S. EPA User or Contractor:
After sampling, the trap was moved back to original coordinates. They are as follows:
39.01732166, -84.10272666
-KB 10/6/15</t>
        </r>
      </text>
    </comment>
    <comment ref="I109" authorId="1" shapeId="0" xr:uid="{00000000-0006-0000-0000-0000EC000000}">
      <text>
        <r>
          <rPr>
            <b/>
            <sz val="9"/>
            <color indexed="81"/>
            <rFont val="Tahoma"/>
            <charset val="1"/>
          </rPr>
          <t>Beaulieu, Jake:</t>
        </r>
        <r>
          <rPr>
            <sz val="9"/>
            <color indexed="81"/>
            <rFont val="Tahoma"/>
            <charset val="1"/>
          </rPr>
          <t xml:space="preserve">
Not needed for active trap deployments</t>
        </r>
      </text>
    </comment>
    <comment ref="F110" authorId="2" shapeId="0" xr:uid="{00000000-0006-0000-0000-0000ED000000}">
      <text>
        <r>
          <rPr>
            <b/>
            <sz val="9"/>
            <color indexed="81"/>
            <rFont val="Tahoma"/>
            <family val="2"/>
          </rPr>
          <t>U.S. EPA User or Contractor:</t>
        </r>
        <r>
          <rPr>
            <sz val="9"/>
            <color indexed="81"/>
            <rFont val="Tahoma"/>
            <family val="2"/>
          </rPr>
          <t xml:space="preserve">
No coordinates recorded</t>
        </r>
      </text>
    </comment>
    <comment ref="G110" authorId="2" shapeId="0" xr:uid="{00000000-0006-0000-0000-0000EE000000}">
      <text>
        <r>
          <rPr>
            <b/>
            <sz val="9"/>
            <color indexed="81"/>
            <rFont val="Tahoma"/>
            <family val="2"/>
          </rPr>
          <t>U.S. EPA User or Contractor:</t>
        </r>
        <r>
          <rPr>
            <sz val="9"/>
            <color indexed="81"/>
            <rFont val="Tahoma"/>
            <family val="2"/>
          </rPr>
          <t xml:space="preserve">
No coordinates recorded</t>
        </r>
      </text>
    </comment>
    <comment ref="I110" authorId="1" shapeId="0" xr:uid="{00000000-0006-0000-0000-0000EF000000}">
      <text>
        <r>
          <rPr>
            <b/>
            <sz val="9"/>
            <color indexed="81"/>
            <rFont val="Tahoma"/>
            <charset val="1"/>
          </rPr>
          <t>Beaulieu, Jake:</t>
        </r>
        <r>
          <rPr>
            <sz val="9"/>
            <color indexed="81"/>
            <rFont val="Tahoma"/>
            <charset val="1"/>
          </rPr>
          <t xml:space="preserve">
Not needed for active trap deployments</t>
        </r>
      </text>
    </comment>
    <comment ref="I111" authorId="1" shapeId="0" xr:uid="{00000000-0006-0000-0000-0000F0000000}">
      <text>
        <r>
          <rPr>
            <b/>
            <sz val="9"/>
            <color indexed="81"/>
            <rFont val="Tahoma"/>
            <charset val="1"/>
          </rPr>
          <t>Beaulieu, Jake:</t>
        </r>
        <r>
          <rPr>
            <sz val="9"/>
            <color indexed="81"/>
            <rFont val="Tahoma"/>
            <charset val="1"/>
          </rPr>
          <t xml:space="preserve">
Not needed for active trap deployments</t>
        </r>
      </text>
    </comment>
    <comment ref="D112" authorId="1" shapeId="0" xr:uid="{00000000-0006-0000-0000-00009E000000}">
      <text>
        <r>
          <rPr>
            <b/>
            <sz val="9"/>
            <color indexed="81"/>
            <rFont val="Tahoma"/>
            <family val="2"/>
          </rPr>
          <t>Beaulieu, Jake:</t>
        </r>
        <r>
          <rPr>
            <sz val="9"/>
            <color indexed="81"/>
            <rFont val="Tahoma"/>
            <family val="2"/>
          </rPr>
          <t xml:space="preserve">
disconnected from funnel when sampled.  Data of no value.</t>
        </r>
      </text>
    </comment>
    <comment ref="E112" authorId="1" shapeId="0" xr:uid="{00000000-0006-0000-0000-00009F000000}">
      <text>
        <r>
          <rPr>
            <b/>
            <sz val="9"/>
            <color indexed="81"/>
            <rFont val="Tahoma"/>
            <family val="2"/>
          </rPr>
          <t>Beaulieu, Jake:</t>
        </r>
        <r>
          <rPr>
            <sz val="9"/>
            <color indexed="81"/>
            <rFont val="Tahoma"/>
            <family val="2"/>
          </rPr>
          <t xml:space="preserve">
disconnected from funnel when sampled.  Data of no value.</t>
        </r>
      </text>
    </comment>
    <comment ref="I112" authorId="1" shapeId="0" xr:uid="{00000000-0006-0000-0000-0000A0000000}">
      <text>
        <r>
          <rPr>
            <b/>
            <sz val="9"/>
            <color indexed="81"/>
            <rFont val="Tahoma"/>
            <charset val="1"/>
          </rPr>
          <t>Beaulieu, Jake:</t>
        </r>
        <r>
          <rPr>
            <sz val="9"/>
            <color indexed="81"/>
            <rFont val="Tahoma"/>
            <charset val="1"/>
          </rPr>
          <t xml:space="preserve">
Not needed for active trap deployments</t>
        </r>
      </text>
    </comment>
    <comment ref="J112" authorId="1" shapeId="0" xr:uid="{00000000-0006-0000-0000-0000A1000000}">
      <text>
        <r>
          <rPr>
            <b/>
            <sz val="9"/>
            <color indexed="81"/>
            <rFont val="Tahoma"/>
            <family val="2"/>
          </rPr>
          <t>Beaulieu, Jake:</t>
        </r>
        <r>
          <rPr>
            <sz val="9"/>
            <color indexed="81"/>
            <rFont val="Tahoma"/>
            <family val="2"/>
          </rPr>
          <t xml:space="preserve">
disconnected from funnel when sampled.  Data of no value.</t>
        </r>
      </text>
    </comment>
    <comment ref="K112" authorId="1" shapeId="0" xr:uid="{00000000-0006-0000-0000-0000A2000000}">
      <text>
        <r>
          <rPr>
            <b/>
            <sz val="9"/>
            <color indexed="81"/>
            <rFont val="Tahoma"/>
            <family val="2"/>
          </rPr>
          <t>Beaulieu, Jake:</t>
        </r>
        <r>
          <rPr>
            <sz val="9"/>
            <color indexed="81"/>
            <rFont val="Tahoma"/>
            <family val="2"/>
          </rPr>
          <t xml:space="preserve">
disconnected from funnel when sampled.  Data of no value.</t>
        </r>
      </text>
    </comment>
    <comment ref="L112" authorId="1" shapeId="0" xr:uid="{00000000-0006-0000-0000-0000A3000000}">
      <text>
        <r>
          <rPr>
            <b/>
            <sz val="9"/>
            <color indexed="81"/>
            <rFont val="Tahoma"/>
            <family val="2"/>
          </rPr>
          <t>Beaulieu, Jake:</t>
        </r>
        <r>
          <rPr>
            <sz val="9"/>
            <color indexed="81"/>
            <rFont val="Tahoma"/>
            <family val="2"/>
          </rPr>
          <t xml:space="preserve">
disconnected from funnel when sampled.  Data of no value.</t>
        </r>
      </text>
    </comment>
    <comment ref="M112" authorId="1" shapeId="0" xr:uid="{00000000-0006-0000-0000-0000A4000000}">
      <text>
        <r>
          <rPr>
            <b/>
            <sz val="9"/>
            <color indexed="81"/>
            <rFont val="Tahoma"/>
            <family val="2"/>
          </rPr>
          <t>Beaulieu, Jake:</t>
        </r>
        <r>
          <rPr>
            <sz val="9"/>
            <color indexed="81"/>
            <rFont val="Tahoma"/>
            <family val="2"/>
          </rPr>
          <t xml:space="preserve">
disconnected from funnel when sampled.  Data of no value.</t>
        </r>
      </text>
    </comment>
    <comment ref="I113" authorId="1" shapeId="0" xr:uid="{00000000-0006-0000-0000-0000F2000000}">
      <text>
        <r>
          <rPr>
            <b/>
            <sz val="9"/>
            <color indexed="81"/>
            <rFont val="Tahoma"/>
            <charset val="1"/>
          </rPr>
          <t>Beaulieu, Jake:</t>
        </r>
        <r>
          <rPr>
            <sz val="9"/>
            <color indexed="81"/>
            <rFont val="Tahoma"/>
            <charset val="1"/>
          </rPr>
          <t xml:space="preserve">
Not needed for active trap deployments</t>
        </r>
      </text>
    </comment>
    <comment ref="I114" authorId="1" shapeId="0" xr:uid="{00000000-0006-0000-0000-0000C5000000}">
      <text>
        <r>
          <rPr>
            <b/>
            <sz val="9"/>
            <color indexed="81"/>
            <rFont val="Tahoma"/>
            <charset val="1"/>
          </rPr>
          <t>Beaulieu, Jake:</t>
        </r>
        <r>
          <rPr>
            <sz val="9"/>
            <color indexed="81"/>
            <rFont val="Tahoma"/>
            <charset val="1"/>
          </rPr>
          <t xml:space="preserve">
Not needed for active trap deployments</t>
        </r>
      </text>
    </comment>
    <comment ref="I115" authorId="1" shapeId="0" xr:uid="{00000000-0006-0000-0000-0000F4000000}">
      <text>
        <r>
          <rPr>
            <b/>
            <sz val="9"/>
            <color indexed="81"/>
            <rFont val="Tahoma"/>
            <charset val="1"/>
          </rPr>
          <t>Beaulieu, Jake:</t>
        </r>
        <r>
          <rPr>
            <sz val="9"/>
            <color indexed="81"/>
            <rFont val="Tahoma"/>
            <charset val="1"/>
          </rPr>
          <t xml:space="preserve">
Not needed for active trap deployments</t>
        </r>
      </text>
    </comment>
    <comment ref="I116" authorId="1" shapeId="0" xr:uid="{00000000-0006-0000-0000-0000F5000000}">
      <text>
        <r>
          <rPr>
            <b/>
            <sz val="9"/>
            <color indexed="81"/>
            <rFont val="Tahoma"/>
            <charset val="1"/>
          </rPr>
          <t>Beaulieu, Jake:</t>
        </r>
        <r>
          <rPr>
            <sz val="9"/>
            <color indexed="81"/>
            <rFont val="Tahoma"/>
            <charset val="1"/>
          </rPr>
          <t xml:space="preserve">
Not needed for active trap deployments</t>
        </r>
      </text>
    </comment>
    <comment ref="J117" authorId="2" shapeId="0" xr:uid="{00000000-0006-0000-0000-00001A010000}">
      <text>
        <r>
          <rPr>
            <b/>
            <sz val="9"/>
            <color indexed="81"/>
            <rFont val="Tahoma"/>
            <family val="2"/>
          </rPr>
          <t>U.S. EPA User or Contractor:</t>
        </r>
        <r>
          <rPr>
            <sz val="9"/>
            <color indexed="81"/>
            <rFont val="Tahoma"/>
            <family val="2"/>
          </rPr>
          <t xml:space="preserve">
Observed air seeping into the pipe at the leak</t>
        </r>
      </text>
    </comment>
    <comment ref="O117" authorId="2" shapeId="0" xr:uid="{00000000-0006-0000-0000-00001B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I118" authorId="1" shapeId="0" xr:uid="{00000000-0006-0000-0000-0000F7000000}">
      <text>
        <r>
          <rPr>
            <b/>
            <sz val="9"/>
            <color indexed="81"/>
            <rFont val="Tahoma"/>
            <charset val="1"/>
          </rPr>
          <t>Beaulieu, Jake:</t>
        </r>
        <r>
          <rPr>
            <sz val="9"/>
            <color indexed="81"/>
            <rFont val="Tahoma"/>
            <charset val="1"/>
          </rPr>
          <t xml:space="preserve">
Not needed for active trap deployments</t>
        </r>
      </text>
    </comment>
    <comment ref="I120" authorId="1" shapeId="0" xr:uid="{00000000-0006-0000-0000-0000F9000000}">
      <text>
        <r>
          <rPr>
            <b/>
            <sz val="9"/>
            <color indexed="81"/>
            <rFont val="Tahoma"/>
            <charset val="1"/>
          </rPr>
          <t>Beaulieu, Jake:</t>
        </r>
        <r>
          <rPr>
            <sz val="9"/>
            <color indexed="81"/>
            <rFont val="Tahoma"/>
            <charset val="1"/>
          </rPr>
          <t xml:space="preserve">
Not needed for active trap deployments</t>
        </r>
      </text>
    </comment>
    <comment ref="I121" authorId="1" shapeId="0" xr:uid="{00000000-0006-0000-0000-0000FA000000}">
      <text>
        <r>
          <rPr>
            <b/>
            <sz val="9"/>
            <color indexed="81"/>
            <rFont val="Tahoma"/>
            <charset val="1"/>
          </rPr>
          <t>Beaulieu, Jake:</t>
        </r>
        <r>
          <rPr>
            <sz val="9"/>
            <color indexed="81"/>
            <rFont val="Tahoma"/>
            <charset val="1"/>
          </rPr>
          <t xml:space="preserve">
Not needed for active trap deployments</t>
        </r>
      </text>
    </comment>
    <comment ref="I122" authorId="1" shapeId="0" xr:uid="{00000000-0006-0000-0000-0000E3000000}">
      <text>
        <r>
          <rPr>
            <b/>
            <sz val="9"/>
            <color indexed="81"/>
            <rFont val="Tahoma"/>
            <charset val="1"/>
          </rPr>
          <t>Beaulieu, Jake:</t>
        </r>
        <r>
          <rPr>
            <sz val="9"/>
            <color indexed="81"/>
            <rFont val="Tahoma"/>
            <charset val="1"/>
          </rPr>
          <t xml:space="preserve">
Not needed for active trap deployments</t>
        </r>
      </text>
    </comment>
    <comment ref="I123" authorId="1" shapeId="0" xr:uid="{00000000-0006-0000-0000-0000FC000000}">
      <text>
        <r>
          <rPr>
            <b/>
            <sz val="9"/>
            <color indexed="81"/>
            <rFont val="Tahoma"/>
            <charset val="1"/>
          </rPr>
          <t>Beaulieu, Jake:</t>
        </r>
        <r>
          <rPr>
            <sz val="9"/>
            <color indexed="81"/>
            <rFont val="Tahoma"/>
            <charset val="1"/>
          </rPr>
          <t xml:space="preserve">
Not needed for active trap deployments</t>
        </r>
      </text>
    </comment>
    <comment ref="I124" authorId="1" shapeId="0" xr:uid="{00000000-0006-0000-0000-0000FD000000}">
      <text>
        <r>
          <rPr>
            <b/>
            <sz val="9"/>
            <color indexed="81"/>
            <rFont val="Tahoma"/>
            <charset val="1"/>
          </rPr>
          <t>Beaulieu, Jake:</t>
        </r>
        <r>
          <rPr>
            <sz val="9"/>
            <color indexed="81"/>
            <rFont val="Tahoma"/>
            <charset val="1"/>
          </rPr>
          <t xml:space="preserve">
Not needed for active trap deployments</t>
        </r>
      </text>
    </comment>
    <comment ref="F126" authorId="2" shapeId="0" xr:uid="{00000000-0006-0000-0000-0000FF000000}">
      <text>
        <r>
          <rPr>
            <b/>
            <sz val="9"/>
            <color indexed="81"/>
            <rFont val="Tahoma"/>
            <family val="2"/>
          </rPr>
          <t>U.S. EPA User or Contractor:</t>
        </r>
        <r>
          <rPr>
            <sz val="9"/>
            <color indexed="81"/>
            <rFont val="Tahoma"/>
            <family val="2"/>
          </rPr>
          <t xml:space="preserve">
No coordinates given</t>
        </r>
      </text>
    </comment>
    <comment ref="G126" authorId="2" shapeId="0" xr:uid="{00000000-0006-0000-0000-000000010000}">
      <text>
        <r>
          <rPr>
            <b/>
            <sz val="9"/>
            <color indexed="81"/>
            <rFont val="Tahoma"/>
            <family val="2"/>
          </rPr>
          <t>U.S. EPA User or Contractor:</t>
        </r>
        <r>
          <rPr>
            <sz val="9"/>
            <color indexed="81"/>
            <rFont val="Tahoma"/>
            <family val="2"/>
          </rPr>
          <t xml:space="preserve">
No coordinates given</t>
        </r>
      </text>
    </comment>
    <comment ref="H126" authorId="2" shapeId="0" xr:uid="{00000000-0006-0000-0000-000001010000}">
      <text>
        <r>
          <rPr>
            <b/>
            <sz val="9"/>
            <color indexed="81"/>
            <rFont val="Tahoma"/>
            <family val="2"/>
          </rPr>
          <t>U.S. E
PA User or Contractor:</t>
        </r>
        <r>
          <rPr>
            <sz val="9"/>
            <color indexed="81"/>
            <rFont val="Tahoma"/>
            <family val="2"/>
          </rPr>
          <t xml:space="preserve">
Not recorded in field sheet. </t>
        </r>
      </text>
    </comment>
    <comment ref="I126" authorId="1" shapeId="0" xr:uid="{00000000-0006-0000-0000-000002010000}">
      <text>
        <r>
          <rPr>
            <b/>
            <sz val="9"/>
            <color indexed="81"/>
            <rFont val="Tahoma"/>
            <charset val="1"/>
          </rPr>
          <t>Beaulieu, Jake:</t>
        </r>
        <r>
          <rPr>
            <sz val="9"/>
            <color indexed="81"/>
            <rFont val="Tahoma"/>
            <charset val="1"/>
          </rPr>
          <t xml:space="preserve">
Not needed for active trap deployments</t>
        </r>
      </text>
    </comment>
    <comment ref="O126" authorId="2" shapeId="0" xr:uid="{00000000-0006-0000-0000-000003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I127" authorId="1" shapeId="0" xr:uid="{00000000-0006-0000-0000-0000E1000000}">
      <text>
        <r>
          <rPr>
            <b/>
            <sz val="9"/>
            <color indexed="81"/>
            <rFont val="Tahoma"/>
            <charset val="1"/>
          </rPr>
          <t>Beaulieu, Jake:</t>
        </r>
        <r>
          <rPr>
            <sz val="9"/>
            <color indexed="81"/>
            <rFont val="Tahoma"/>
            <charset val="1"/>
          </rPr>
          <t xml:space="preserve">
Not needed for active trap deployments</t>
        </r>
      </text>
    </comment>
    <comment ref="F128" authorId="2" shapeId="0" xr:uid="{00000000-0006-0000-0000-000009010000}">
      <text>
        <r>
          <rPr>
            <b/>
            <sz val="9"/>
            <color indexed="81"/>
            <rFont val="Tahoma"/>
            <family val="2"/>
          </rPr>
          <t>U.S. EPA User or Contractor:</t>
        </r>
        <r>
          <rPr>
            <sz val="9"/>
            <color indexed="81"/>
            <rFont val="Tahoma"/>
            <family val="2"/>
          </rPr>
          <t xml:space="preserve">
No coordinates given</t>
        </r>
      </text>
    </comment>
    <comment ref="G128" authorId="2" shapeId="0" xr:uid="{00000000-0006-0000-0000-00000A010000}">
      <text>
        <r>
          <rPr>
            <b/>
            <sz val="9"/>
            <color indexed="81"/>
            <rFont val="Tahoma"/>
            <family val="2"/>
          </rPr>
          <t>U.S. EPA User or Contractor:</t>
        </r>
        <r>
          <rPr>
            <sz val="9"/>
            <color indexed="81"/>
            <rFont val="Tahoma"/>
            <family val="2"/>
          </rPr>
          <t xml:space="preserve">
No coordinates given</t>
        </r>
      </text>
    </comment>
    <comment ref="H128" authorId="2" shapeId="0" xr:uid="{00000000-0006-0000-0000-00000B010000}">
      <text>
        <r>
          <rPr>
            <b/>
            <sz val="9"/>
            <color indexed="81"/>
            <rFont val="Tahoma"/>
            <family val="2"/>
          </rPr>
          <t>U.S. E
PA User or Contractor:</t>
        </r>
        <r>
          <rPr>
            <sz val="9"/>
            <color indexed="81"/>
            <rFont val="Tahoma"/>
            <family val="2"/>
          </rPr>
          <t xml:space="preserve">
Not recorded in field sheet. </t>
        </r>
      </text>
    </comment>
    <comment ref="I128" authorId="1" shapeId="0" xr:uid="{00000000-0006-0000-0000-00000C010000}">
      <text>
        <r>
          <rPr>
            <b/>
            <sz val="9"/>
            <color indexed="81"/>
            <rFont val="Tahoma"/>
            <charset val="1"/>
          </rPr>
          <t>Beaulieu, Jake:</t>
        </r>
        <r>
          <rPr>
            <sz val="9"/>
            <color indexed="81"/>
            <rFont val="Tahoma"/>
            <charset val="1"/>
          </rPr>
          <t xml:space="preserve">
Not needed for active trap deployments</t>
        </r>
      </text>
    </comment>
    <comment ref="O128" authorId="2" shapeId="0" xr:uid="{00000000-0006-0000-0000-00000D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I129" authorId="1" shapeId="0" xr:uid="{00000000-0006-0000-0000-0000FB000000}">
      <text>
        <r>
          <rPr>
            <b/>
            <sz val="9"/>
            <color indexed="81"/>
            <rFont val="Tahoma"/>
            <charset val="1"/>
          </rPr>
          <t>Beaulieu, Jake:</t>
        </r>
        <r>
          <rPr>
            <sz val="9"/>
            <color indexed="81"/>
            <rFont val="Tahoma"/>
            <charset val="1"/>
          </rPr>
          <t xml:space="preserve">
Not needed for active trap deployments</t>
        </r>
      </text>
    </comment>
    <comment ref="F130" authorId="2" shapeId="0" xr:uid="{00000000-0006-0000-0000-000013010000}">
      <text>
        <r>
          <rPr>
            <b/>
            <sz val="9"/>
            <color indexed="81"/>
            <rFont val="Tahoma"/>
            <family val="2"/>
          </rPr>
          <t>U.S. EPA User or Contractor:</t>
        </r>
        <r>
          <rPr>
            <sz val="9"/>
            <color indexed="81"/>
            <rFont val="Tahoma"/>
            <family val="2"/>
          </rPr>
          <t xml:space="preserve">
No coordinates recorded</t>
        </r>
      </text>
    </comment>
    <comment ref="G130" authorId="2" shapeId="0" xr:uid="{00000000-0006-0000-0000-000014010000}">
      <text>
        <r>
          <rPr>
            <b/>
            <sz val="9"/>
            <color indexed="81"/>
            <rFont val="Tahoma"/>
            <family val="2"/>
          </rPr>
          <t>U.S. EPA User or Contractor:</t>
        </r>
        <r>
          <rPr>
            <sz val="9"/>
            <color indexed="81"/>
            <rFont val="Tahoma"/>
            <family val="2"/>
          </rPr>
          <t xml:space="preserve">
No coordinates recorded</t>
        </r>
      </text>
    </comment>
    <comment ref="H130" authorId="2" shapeId="0" xr:uid="{00000000-0006-0000-0000-000015010000}">
      <text>
        <r>
          <rPr>
            <b/>
            <sz val="9"/>
            <color indexed="81"/>
            <rFont val="Tahoma"/>
            <family val="2"/>
          </rPr>
          <t>U.S. E
PA User or Contractor:</t>
        </r>
        <r>
          <rPr>
            <sz val="9"/>
            <color indexed="81"/>
            <rFont val="Tahoma"/>
            <family val="2"/>
          </rPr>
          <t xml:space="preserve">
Not recorded in field sheet. </t>
        </r>
      </text>
    </comment>
    <comment ref="I130" authorId="1" shapeId="0" xr:uid="{00000000-0006-0000-0000-000016010000}">
      <text>
        <r>
          <rPr>
            <b/>
            <sz val="9"/>
            <color indexed="81"/>
            <rFont val="Tahoma"/>
            <charset val="1"/>
          </rPr>
          <t>Beaulieu, Jake:</t>
        </r>
        <r>
          <rPr>
            <sz val="9"/>
            <color indexed="81"/>
            <rFont val="Tahoma"/>
            <charset val="1"/>
          </rPr>
          <t xml:space="preserve">
Not needed for active trap deployments</t>
        </r>
      </text>
    </comment>
    <comment ref="O131" authorId="2" shapeId="0" xr:uid="{00000000-0006-0000-0000-000017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J132" authorId="2" shapeId="0" xr:uid="{00000000-0006-0000-0000-000018010000}">
      <text>
        <r>
          <rPr>
            <b/>
            <sz val="9"/>
            <color indexed="81"/>
            <rFont val="Tahoma"/>
            <family val="2"/>
          </rPr>
          <t>U.S. EPA User or Contractor:</t>
        </r>
        <r>
          <rPr>
            <sz val="9"/>
            <color indexed="81"/>
            <rFont val="Tahoma"/>
            <family val="2"/>
          </rPr>
          <t xml:space="preserve">
H20 level in hose = 5" from the white fitting</t>
        </r>
      </text>
    </comment>
    <comment ref="O132" authorId="2" shapeId="0" xr:uid="{00000000-0006-0000-0000-000019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134" authorId="1" shapeId="0" xr:uid="{00000000-0006-0000-0000-00001C010000}">
      <text>
        <r>
          <rPr>
            <b/>
            <sz val="9"/>
            <color indexed="81"/>
            <rFont val="Tahoma"/>
            <charset val="1"/>
          </rPr>
          <t>Beaulieu, Jake:</t>
        </r>
        <r>
          <rPr>
            <sz val="9"/>
            <color indexed="81"/>
            <rFont val="Tahoma"/>
            <charset val="1"/>
          </rPr>
          <t xml:space="preserve">
Assumed deployment time is the retrieval time from last deployment, + 15 minutes.</t>
        </r>
      </text>
    </comment>
    <comment ref="J134" authorId="2" shapeId="0" xr:uid="{00000000-0006-0000-0000-00001D010000}">
      <text>
        <r>
          <rPr>
            <b/>
            <sz val="9"/>
            <color indexed="81"/>
            <rFont val="Tahoma"/>
            <family val="2"/>
          </rPr>
          <t>U.S. EPA User or Contractor:</t>
        </r>
        <r>
          <rPr>
            <sz val="9"/>
            <color indexed="81"/>
            <rFont val="Tahoma"/>
            <family val="2"/>
          </rPr>
          <t xml:space="preserve">
2 feet of gas measured in tube</t>
        </r>
      </text>
    </comment>
    <comment ref="O134" authorId="2" shapeId="0" xr:uid="{00000000-0006-0000-0000-00001E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O136" authorId="2" shapeId="0" xr:uid="{00000000-0006-0000-0000-000021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B137" authorId="2" shapeId="0" xr:uid="{00000000-0006-0000-0000-000048020000}">
      <text>
        <r>
          <rPr>
            <b/>
            <sz val="9"/>
            <color indexed="81"/>
            <rFont val="Tahoma"/>
            <family val="2"/>
          </rPr>
          <t>U.S. EPA User or Contractor:</t>
        </r>
        <r>
          <rPr>
            <sz val="9"/>
            <color indexed="81"/>
            <rFont val="Tahoma"/>
            <family val="2"/>
          </rPr>
          <t xml:space="preserve">
Circuitry #8 and logger #20 was wet. Has been in dessicator.  Circuit board corroded, cannot retrieve file.</t>
        </r>
      </text>
    </comment>
    <comment ref="C137" authorId="2" shapeId="0" xr:uid="{00000000-0006-0000-0000-000049020000}">
      <text>
        <r>
          <rPr>
            <b/>
            <sz val="9"/>
            <color indexed="81"/>
            <rFont val="Tahoma"/>
            <family val="2"/>
          </rPr>
          <t>U.S. EPA User or Contractor:</t>
        </r>
        <r>
          <rPr>
            <sz val="9"/>
            <color indexed="81"/>
            <rFont val="Tahoma"/>
            <family val="2"/>
          </rPr>
          <t xml:space="preserve">
Circuitry #8 and logger #20 was wet. Has been in dessicator.  Circuit board corroded, cannot retrieve file.
Time taken from "Time trap released onto buoy" field from data sheet (pg. 275).</t>
        </r>
      </text>
    </comment>
    <comment ref="D137" authorId="2" shapeId="0" xr:uid="{00000000-0006-0000-0000-00004A020000}">
      <text>
        <r>
          <rPr>
            <b/>
            <sz val="9"/>
            <color indexed="81"/>
            <rFont val="Tahoma"/>
            <family val="2"/>
          </rPr>
          <t>U.S. EPA User or Contractor:</t>
        </r>
        <r>
          <rPr>
            <sz val="9"/>
            <color indexed="81"/>
            <rFont val="Tahoma"/>
            <family val="2"/>
          </rPr>
          <t xml:space="preserve">
Circuitry #8 and logger #20 was wet. Has been in dessicator.  Circuit board corroded, cannot retrieve file.</t>
        </r>
      </text>
    </comment>
    <comment ref="E137" authorId="2" shapeId="0" xr:uid="{00000000-0006-0000-0000-00004B020000}">
      <text>
        <r>
          <rPr>
            <b/>
            <sz val="9"/>
            <color indexed="81"/>
            <rFont val="Tahoma"/>
            <family val="2"/>
          </rPr>
          <t>U.S. EPA User or Contractor:</t>
        </r>
        <r>
          <rPr>
            <sz val="9"/>
            <color indexed="81"/>
            <rFont val="Tahoma"/>
            <family val="2"/>
          </rPr>
          <t xml:space="preserve">
Circuitry #8 and logger #20 was wet. Has been in dessicator.  Logger corroded, could not retrieve file.
Time estimated as 15 minutes prior to "Time trap released onto buoy" recorded on page 284.</t>
        </r>
      </text>
    </comment>
    <comment ref="K137" authorId="2" shapeId="0" xr:uid="{00000000-0006-0000-0000-00004C020000}">
      <text>
        <r>
          <rPr>
            <b/>
            <sz val="9"/>
            <color indexed="81"/>
            <rFont val="Tahoma"/>
            <family val="2"/>
          </rPr>
          <t>U.S. EPA User or Contractor:</t>
        </r>
        <r>
          <rPr>
            <sz val="9"/>
            <color indexed="81"/>
            <rFont val="Tahoma"/>
            <family val="2"/>
          </rPr>
          <t xml:space="preserve">
Circuitry #8 and logger #20 was wet. Has been in dessicator.  Circuit board corroded, cannot retrieve file.</t>
        </r>
      </text>
    </comment>
    <comment ref="L137" authorId="2" shapeId="0" xr:uid="{00000000-0006-0000-0000-00004D020000}">
      <text>
        <r>
          <rPr>
            <b/>
            <sz val="9"/>
            <color indexed="81"/>
            <rFont val="Tahoma"/>
            <family val="2"/>
          </rPr>
          <t>U.S. EPA User or Contractor:</t>
        </r>
        <r>
          <rPr>
            <sz val="9"/>
            <color indexed="81"/>
            <rFont val="Tahoma"/>
            <family val="2"/>
          </rPr>
          <t xml:space="preserve">
Circuitry #8 and logger #20 was wet. Has been in dessicator.  Circuit board corroded, cannot retrieve file.</t>
        </r>
      </text>
    </comment>
    <comment ref="M137" authorId="2" shapeId="0" xr:uid="{00000000-0006-0000-0000-00004E020000}">
      <text>
        <r>
          <rPr>
            <b/>
            <sz val="9"/>
            <color indexed="81"/>
            <rFont val="Tahoma"/>
            <family val="2"/>
          </rPr>
          <t>U.S. EPA User or Contractor:</t>
        </r>
        <r>
          <rPr>
            <sz val="9"/>
            <color indexed="81"/>
            <rFont val="Tahoma"/>
            <family val="2"/>
          </rPr>
          <t xml:space="preserve">
Circuitry #8 and logger #20 was wet. Has been in dessicator.  Circuit board corroded, cannot retrieve file.</t>
        </r>
      </text>
    </comment>
    <comment ref="N137" authorId="2" shapeId="0" xr:uid="{00000000-0006-0000-0000-00004F020000}">
      <text>
        <r>
          <rPr>
            <b/>
            <sz val="9"/>
            <color indexed="81"/>
            <rFont val="Tahoma"/>
            <family val="2"/>
          </rPr>
          <t>U.S. EPA User or Contractor:</t>
        </r>
        <r>
          <rPr>
            <sz val="9"/>
            <color indexed="81"/>
            <rFont val="Tahoma"/>
            <family val="2"/>
          </rPr>
          <t xml:space="preserve">
Circuitry #8 and logger #20 was wet. Has been in dessicator.  Circuit board corroded, cannot retrieve file.</t>
        </r>
      </text>
    </comment>
    <comment ref="O137" authorId="2" shapeId="0" xr:uid="{00000000-0006-0000-0000-00005002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F138" authorId="2" shapeId="0" xr:uid="{00000000-0006-0000-0000-000025010000}">
      <text>
        <r>
          <rPr>
            <b/>
            <sz val="9"/>
            <color indexed="81"/>
            <rFont val="Tahoma"/>
            <family val="2"/>
          </rPr>
          <t>U.S. EPA User or Contractor:</t>
        </r>
        <r>
          <rPr>
            <sz val="9"/>
            <color indexed="81"/>
            <rFont val="Tahoma"/>
            <family val="2"/>
          </rPr>
          <t xml:space="preserve">
No coordinates given</t>
        </r>
      </text>
    </comment>
    <comment ref="G138" authorId="2" shapeId="0" xr:uid="{00000000-0006-0000-0000-000026010000}">
      <text>
        <r>
          <rPr>
            <b/>
            <sz val="9"/>
            <color indexed="81"/>
            <rFont val="Tahoma"/>
            <family val="2"/>
          </rPr>
          <t>U.S. EPA User or Contractor:</t>
        </r>
        <r>
          <rPr>
            <sz val="9"/>
            <color indexed="81"/>
            <rFont val="Tahoma"/>
            <family val="2"/>
          </rPr>
          <t xml:space="preserve">
No coordinates given</t>
        </r>
      </text>
    </comment>
    <comment ref="O138" authorId="2" shapeId="0" xr:uid="{00000000-0006-0000-0000-000027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139" authorId="1" shapeId="0" xr:uid="{00000000-0006-0000-0000-000028010000}">
      <text>
        <r>
          <rPr>
            <b/>
            <sz val="9"/>
            <color indexed="81"/>
            <rFont val="Tahoma"/>
            <charset val="1"/>
          </rPr>
          <t>Beaulieu, Jake:</t>
        </r>
        <r>
          <rPr>
            <sz val="9"/>
            <color indexed="81"/>
            <rFont val="Tahoma"/>
            <charset val="1"/>
          </rPr>
          <t xml:space="preserve">
Assumed deployment time is the retrieval time from last deployment, + 15 minutes.</t>
        </r>
      </text>
    </comment>
    <comment ref="F139" authorId="2" shapeId="0" xr:uid="{00000000-0006-0000-0000-000029010000}">
      <text>
        <r>
          <rPr>
            <b/>
            <sz val="9"/>
            <color indexed="81"/>
            <rFont val="Tahoma"/>
            <family val="2"/>
          </rPr>
          <t>U.S. EPA User or Contractor:</t>
        </r>
        <r>
          <rPr>
            <sz val="9"/>
            <color indexed="81"/>
            <rFont val="Tahoma"/>
            <family val="2"/>
          </rPr>
          <t xml:space="preserve">
No coordinates recorded</t>
        </r>
      </text>
    </comment>
    <comment ref="G139" authorId="2" shapeId="0" xr:uid="{00000000-0006-0000-0000-00002A010000}">
      <text>
        <r>
          <rPr>
            <b/>
            <sz val="9"/>
            <color indexed="81"/>
            <rFont val="Tahoma"/>
            <family val="2"/>
          </rPr>
          <t>U.S. EPA User or Contractor:</t>
        </r>
        <r>
          <rPr>
            <sz val="9"/>
            <color indexed="81"/>
            <rFont val="Tahoma"/>
            <family val="2"/>
          </rPr>
          <t xml:space="preserve">
No coordinates recorded</t>
        </r>
      </text>
    </comment>
    <comment ref="O139" authorId="2" shapeId="0" xr:uid="{00000000-0006-0000-0000-00002B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141" authorId="1" shapeId="0" xr:uid="{00000000-0006-0000-0000-000030010000}">
      <text>
        <r>
          <rPr>
            <b/>
            <sz val="9"/>
            <color indexed="81"/>
            <rFont val="Tahoma"/>
            <charset val="1"/>
          </rPr>
          <t>Beaulieu, Jake:</t>
        </r>
        <r>
          <rPr>
            <sz val="9"/>
            <color indexed="81"/>
            <rFont val="Tahoma"/>
            <charset val="1"/>
          </rPr>
          <t xml:space="preserve">
Assumed deployment time is the retrieval time from last deployment, + 15 minutes.</t>
        </r>
      </text>
    </comment>
    <comment ref="F141" authorId="2" shapeId="0" xr:uid="{00000000-0006-0000-0000-000031010000}">
      <text>
        <r>
          <rPr>
            <b/>
            <sz val="9"/>
            <color indexed="81"/>
            <rFont val="Tahoma"/>
            <family val="2"/>
          </rPr>
          <t>U.S. EPA User or Contractor:</t>
        </r>
        <r>
          <rPr>
            <sz val="9"/>
            <color indexed="81"/>
            <rFont val="Tahoma"/>
            <family val="2"/>
          </rPr>
          <t xml:space="preserve">
No coordinates recorded</t>
        </r>
      </text>
    </comment>
    <comment ref="G141" authorId="2" shapeId="0" xr:uid="{00000000-0006-0000-0000-000032010000}">
      <text>
        <r>
          <rPr>
            <b/>
            <sz val="9"/>
            <color indexed="81"/>
            <rFont val="Tahoma"/>
            <family val="2"/>
          </rPr>
          <t>U.S. EPA User or Contractor:</t>
        </r>
        <r>
          <rPr>
            <sz val="9"/>
            <color indexed="81"/>
            <rFont val="Tahoma"/>
            <family val="2"/>
          </rPr>
          <t xml:space="preserve">
No coordinates recorded</t>
        </r>
      </text>
    </comment>
    <comment ref="O141" authorId="2" shapeId="0" xr:uid="{00000000-0006-0000-0000-000033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142" authorId="1" shapeId="0" xr:uid="{00000000-0006-0000-0000-000034010000}">
      <text>
        <r>
          <rPr>
            <b/>
            <sz val="9"/>
            <color indexed="81"/>
            <rFont val="Tahoma"/>
            <charset val="1"/>
          </rPr>
          <t>Beaulieu, Jake:</t>
        </r>
        <r>
          <rPr>
            <sz val="9"/>
            <color indexed="81"/>
            <rFont val="Tahoma"/>
            <charset val="1"/>
          </rPr>
          <t xml:space="preserve">
Assumed deployment time is the retrieval time from last deployment, + 15 minutes.</t>
        </r>
      </text>
    </comment>
    <comment ref="F142" authorId="2" shapeId="0" xr:uid="{00000000-0006-0000-0000-000035010000}">
      <text>
        <r>
          <rPr>
            <b/>
            <sz val="9"/>
            <color indexed="81"/>
            <rFont val="Tahoma"/>
            <family val="2"/>
          </rPr>
          <t>U.S. EPA User or Contractor:</t>
        </r>
        <r>
          <rPr>
            <sz val="9"/>
            <color indexed="81"/>
            <rFont val="Tahoma"/>
            <family val="2"/>
          </rPr>
          <t xml:space="preserve">
No coordinates given</t>
        </r>
      </text>
    </comment>
    <comment ref="G142" authorId="2" shapeId="0" xr:uid="{00000000-0006-0000-0000-000036010000}">
      <text>
        <r>
          <rPr>
            <b/>
            <sz val="9"/>
            <color indexed="81"/>
            <rFont val="Tahoma"/>
            <family val="2"/>
          </rPr>
          <t>U.S. EPA User or Contractor:</t>
        </r>
        <r>
          <rPr>
            <sz val="9"/>
            <color indexed="81"/>
            <rFont val="Tahoma"/>
            <family val="2"/>
          </rPr>
          <t xml:space="preserve">
No coordinates given</t>
        </r>
      </text>
    </comment>
    <comment ref="O142" authorId="2" shapeId="0" xr:uid="{00000000-0006-0000-0000-000037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143" authorId="2" shapeId="0" xr:uid="{00000000-0006-0000-0000-0000CD020000}">
      <text>
        <r>
          <rPr>
            <b/>
            <sz val="9"/>
            <color indexed="81"/>
            <rFont val="Tahoma"/>
            <charset val="1"/>
          </rPr>
          <t>U.S. EPA User or Contractor:</t>
        </r>
        <r>
          <rPr>
            <sz val="9"/>
            <color indexed="81"/>
            <rFont val="Tahoma"/>
            <charset val="1"/>
          </rPr>
          <t xml:space="preserve">
Voltage is extremely strange.</t>
        </r>
      </text>
    </comment>
    <comment ref="D143" authorId="2" shapeId="0" xr:uid="{00000000-0006-0000-0000-0000CE020000}">
      <text>
        <r>
          <rPr>
            <b/>
            <sz val="9"/>
            <color indexed="81"/>
            <rFont val="Tahoma"/>
            <charset val="1"/>
          </rPr>
          <t>U.S. EPA User or Contractor:</t>
        </r>
        <r>
          <rPr>
            <sz val="9"/>
            <color indexed="81"/>
            <rFont val="Tahoma"/>
            <charset val="1"/>
          </rPr>
          <t xml:space="preserve">
Voltage is extremely strange.</t>
        </r>
      </text>
    </comment>
    <comment ref="E143" authorId="2" shapeId="0" xr:uid="{00000000-0006-0000-0000-0000CF020000}">
      <text>
        <r>
          <rPr>
            <b/>
            <sz val="9"/>
            <color indexed="81"/>
            <rFont val="Tahoma"/>
            <charset val="1"/>
          </rPr>
          <t>U.S. EPA User or Contractor:</t>
        </r>
        <r>
          <rPr>
            <sz val="9"/>
            <color indexed="81"/>
            <rFont val="Tahoma"/>
            <charset val="1"/>
          </rPr>
          <t xml:space="preserve">
Voltage is extremely strange.</t>
        </r>
      </text>
    </comment>
    <comment ref="C144" authorId="1" shapeId="0" xr:uid="{00000000-0006-0000-0000-00003D010000}">
      <text>
        <r>
          <rPr>
            <b/>
            <sz val="9"/>
            <color indexed="81"/>
            <rFont val="Tahoma"/>
            <charset val="1"/>
          </rPr>
          <t>Beaulieu, Jake:</t>
        </r>
        <r>
          <rPr>
            <sz val="9"/>
            <color indexed="81"/>
            <rFont val="Tahoma"/>
            <charset val="1"/>
          </rPr>
          <t xml:space="preserve">
Assumed deployment time is the retrieval time from last deployment, + 15 minutes.</t>
        </r>
      </text>
    </comment>
    <comment ref="F144" authorId="2" shapeId="0" xr:uid="{00000000-0006-0000-0000-00003E010000}">
      <text>
        <r>
          <rPr>
            <b/>
            <sz val="9"/>
            <color indexed="81"/>
            <rFont val="Tahoma"/>
            <family val="2"/>
          </rPr>
          <t>U.S. EPA User or Contractor:</t>
        </r>
        <r>
          <rPr>
            <sz val="9"/>
            <color indexed="81"/>
            <rFont val="Tahoma"/>
            <family val="2"/>
          </rPr>
          <t xml:space="preserve">
No coordinates given</t>
        </r>
      </text>
    </comment>
    <comment ref="G144" authorId="2" shapeId="0" xr:uid="{00000000-0006-0000-0000-00003F010000}">
      <text>
        <r>
          <rPr>
            <b/>
            <sz val="9"/>
            <color indexed="81"/>
            <rFont val="Tahoma"/>
            <family val="2"/>
          </rPr>
          <t>U.S. EPA User or Contractor:</t>
        </r>
        <r>
          <rPr>
            <sz val="9"/>
            <color indexed="81"/>
            <rFont val="Tahoma"/>
            <family val="2"/>
          </rPr>
          <t xml:space="preserve">
No coordinates given</t>
        </r>
      </text>
    </comment>
    <comment ref="J144" authorId="2" shapeId="0" xr:uid="{00000000-0006-0000-0000-000040010000}">
      <text>
        <r>
          <rPr>
            <b/>
            <sz val="9"/>
            <color indexed="81"/>
            <rFont val="Tahoma"/>
            <family val="2"/>
          </rPr>
          <t>U.S. EPA User or Contractor:</t>
        </r>
        <r>
          <rPr>
            <sz val="9"/>
            <color indexed="81"/>
            <rFont val="Tahoma"/>
            <family val="2"/>
          </rPr>
          <t xml:space="preserve">
10-15 mL gas noted but not collected</t>
        </r>
      </text>
    </comment>
    <comment ref="O144" authorId="2" shapeId="0" xr:uid="{00000000-0006-0000-0000-000041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145" authorId="1" shapeId="0" xr:uid="{00000000-0006-0000-0000-000042010000}">
      <text>
        <r>
          <rPr>
            <b/>
            <sz val="9"/>
            <color indexed="81"/>
            <rFont val="Tahoma"/>
            <charset val="1"/>
          </rPr>
          <t>Beaulieu, Jake:</t>
        </r>
        <r>
          <rPr>
            <sz val="9"/>
            <color indexed="81"/>
            <rFont val="Tahoma"/>
            <charset val="1"/>
          </rPr>
          <t xml:space="preserve">
Assumed deployment time is the retrieval time from last deployment, + 15 minutes.</t>
        </r>
      </text>
    </comment>
    <comment ref="F145" authorId="2" shapeId="0" xr:uid="{00000000-0006-0000-0000-000043010000}">
      <text>
        <r>
          <rPr>
            <b/>
            <sz val="9"/>
            <color indexed="81"/>
            <rFont val="Tahoma"/>
            <family val="2"/>
          </rPr>
          <t>U.S. EPA User or Contractor:</t>
        </r>
        <r>
          <rPr>
            <sz val="9"/>
            <color indexed="81"/>
            <rFont val="Tahoma"/>
            <family val="2"/>
          </rPr>
          <t xml:space="preserve">
No coordinates recorded</t>
        </r>
      </text>
    </comment>
    <comment ref="G145" authorId="2" shapeId="0" xr:uid="{00000000-0006-0000-0000-000044010000}">
      <text>
        <r>
          <rPr>
            <b/>
            <sz val="9"/>
            <color indexed="81"/>
            <rFont val="Tahoma"/>
            <family val="2"/>
          </rPr>
          <t>U.S. EPA User or Contractor:</t>
        </r>
        <r>
          <rPr>
            <sz val="9"/>
            <color indexed="81"/>
            <rFont val="Tahoma"/>
            <family val="2"/>
          </rPr>
          <t xml:space="preserve">
No coordinates recorded</t>
        </r>
      </text>
    </comment>
    <comment ref="J145" authorId="2" shapeId="0" xr:uid="{00000000-0006-0000-0000-000045010000}">
      <text>
        <r>
          <rPr>
            <b/>
            <sz val="9"/>
            <color indexed="81"/>
            <rFont val="Tahoma"/>
            <family val="2"/>
          </rPr>
          <t>U.S. EPA User or Contractor:</t>
        </r>
        <r>
          <rPr>
            <sz val="9"/>
            <color indexed="81"/>
            <rFont val="Tahoma"/>
            <family val="2"/>
          </rPr>
          <t xml:space="preserve">
30-40 mL gas noted but not collected</t>
        </r>
      </text>
    </comment>
    <comment ref="O145" authorId="2" shapeId="0" xr:uid="{00000000-0006-0000-0000-000046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146" authorId="1" shapeId="0" xr:uid="{00000000-0006-0000-0000-000047010000}">
      <text>
        <r>
          <rPr>
            <b/>
            <sz val="9"/>
            <color indexed="81"/>
            <rFont val="Tahoma"/>
            <charset val="1"/>
          </rPr>
          <t>Beaulieu, Jake:</t>
        </r>
        <r>
          <rPr>
            <sz val="9"/>
            <color indexed="81"/>
            <rFont val="Tahoma"/>
            <charset val="1"/>
          </rPr>
          <t xml:space="preserve">
Assumed deployment time is the retrieval time from last deployment, + 15 minutes.</t>
        </r>
      </text>
    </comment>
    <comment ref="F146" authorId="2" shapeId="0" xr:uid="{00000000-0006-0000-0000-000048010000}">
      <text>
        <r>
          <rPr>
            <b/>
            <sz val="9"/>
            <color indexed="81"/>
            <rFont val="Tahoma"/>
            <family val="2"/>
          </rPr>
          <t>U.S. EPA User or Contractor:</t>
        </r>
        <r>
          <rPr>
            <sz val="9"/>
            <color indexed="81"/>
            <rFont val="Tahoma"/>
            <family val="2"/>
          </rPr>
          <t xml:space="preserve">
No coordinates given</t>
        </r>
      </text>
    </comment>
    <comment ref="G146" authorId="2" shapeId="0" xr:uid="{00000000-0006-0000-0000-000049010000}">
      <text>
        <r>
          <rPr>
            <b/>
            <sz val="9"/>
            <color indexed="81"/>
            <rFont val="Tahoma"/>
            <family val="2"/>
          </rPr>
          <t>U.S. EPA User or Contractor:</t>
        </r>
        <r>
          <rPr>
            <sz val="9"/>
            <color indexed="81"/>
            <rFont val="Tahoma"/>
            <family val="2"/>
          </rPr>
          <t xml:space="preserve">
No coordinates given</t>
        </r>
      </text>
    </comment>
    <comment ref="O146" authorId="2" shapeId="0" xr:uid="{00000000-0006-0000-0000-00004A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147" authorId="1" shapeId="0" xr:uid="{00000000-0006-0000-0000-00004B010000}">
      <text>
        <r>
          <rPr>
            <b/>
            <sz val="9"/>
            <color indexed="81"/>
            <rFont val="Tahoma"/>
            <charset val="1"/>
          </rPr>
          <t>Beaulieu, Jake:</t>
        </r>
        <r>
          <rPr>
            <sz val="9"/>
            <color indexed="81"/>
            <rFont val="Tahoma"/>
            <charset val="1"/>
          </rPr>
          <t xml:space="preserve">
Assumed deployment time is the retrieval time from last deployment, + 15 minutes.</t>
        </r>
      </text>
    </comment>
    <comment ref="F147" authorId="2" shapeId="0" xr:uid="{00000000-0006-0000-0000-00004C010000}">
      <text>
        <r>
          <rPr>
            <b/>
            <sz val="9"/>
            <color indexed="81"/>
            <rFont val="Tahoma"/>
            <family val="2"/>
          </rPr>
          <t>U.S. EPA User or Contractor:</t>
        </r>
        <r>
          <rPr>
            <sz val="9"/>
            <color indexed="81"/>
            <rFont val="Tahoma"/>
            <family val="2"/>
          </rPr>
          <t xml:space="preserve">
No coordinates recorded</t>
        </r>
      </text>
    </comment>
    <comment ref="G147" authorId="2" shapeId="0" xr:uid="{00000000-0006-0000-0000-00004D010000}">
      <text>
        <r>
          <rPr>
            <b/>
            <sz val="9"/>
            <color indexed="81"/>
            <rFont val="Tahoma"/>
            <family val="2"/>
          </rPr>
          <t>U.S. EPA User or Contractor:</t>
        </r>
        <r>
          <rPr>
            <sz val="9"/>
            <color indexed="81"/>
            <rFont val="Tahoma"/>
            <family val="2"/>
          </rPr>
          <t xml:space="preserve">
No coordinates recorded</t>
        </r>
      </text>
    </comment>
    <comment ref="O147" authorId="2" shapeId="0" xr:uid="{00000000-0006-0000-0000-00004E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O148" authorId="2" shapeId="0" xr:uid="{00000000-0006-0000-0000-00007002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149" authorId="1" shapeId="0" xr:uid="{00000000-0006-0000-0000-000054010000}">
      <text>
        <r>
          <rPr>
            <b/>
            <sz val="9"/>
            <color indexed="81"/>
            <rFont val="Tahoma"/>
            <charset val="1"/>
          </rPr>
          <t>Beaulieu, Jake:</t>
        </r>
        <r>
          <rPr>
            <sz val="9"/>
            <color indexed="81"/>
            <rFont val="Tahoma"/>
            <charset val="1"/>
          </rPr>
          <t xml:space="preserve">
Assumed deployment time is the retrieval time from last deployment, + 15 minutes.</t>
        </r>
      </text>
    </comment>
    <comment ref="F149" authorId="2" shapeId="0" xr:uid="{00000000-0006-0000-0000-000055010000}">
      <text>
        <r>
          <rPr>
            <b/>
            <sz val="9"/>
            <color indexed="81"/>
            <rFont val="Tahoma"/>
            <family val="2"/>
          </rPr>
          <t>U.S. EPA User or Contractor:</t>
        </r>
        <r>
          <rPr>
            <sz val="9"/>
            <color indexed="81"/>
            <rFont val="Tahoma"/>
            <family val="2"/>
          </rPr>
          <t xml:space="preserve">
No coordinates recorded</t>
        </r>
      </text>
    </comment>
    <comment ref="G149" authorId="2" shapeId="0" xr:uid="{00000000-0006-0000-0000-000056010000}">
      <text>
        <r>
          <rPr>
            <b/>
            <sz val="9"/>
            <color indexed="81"/>
            <rFont val="Tahoma"/>
            <family val="2"/>
          </rPr>
          <t>U.S. EPA User or Contractor:</t>
        </r>
        <r>
          <rPr>
            <sz val="9"/>
            <color indexed="81"/>
            <rFont val="Tahoma"/>
            <family val="2"/>
          </rPr>
          <t xml:space="preserve">
No coordinates recorded</t>
        </r>
      </text>
    </comment>
    <comment ref="O149" authorId="2" shapeId="0" xr:uid="{00000000-0006-0000-0000-000057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150" authorId="1" shapeId="0" xr:uid="{00000000-0006-0000-0000-000058010000}">
      <text>
        <r>
          <rPr>
            <b/>
            <sz val="9"/>
            <color indexed="81"/>
            <rFont val="Tahoma"/>
            <charset val="1"/>
          </rPr>
          <t>Beaulieu, Jake:</t>
        </r>
        <r>
          <rPr>
            <sz val="9"/>
            <color indexed="81"/>
            <rFont val="Tahoma"/>
            <charset val="1"/>
          </rPr>
          <t xml:space="preserve">
Assumed deployment time is the retrieval time from last deployment, + 15 minutes.</t>
        </r>
      </text>
    </comment>
    <comment ref="F150" authorId="2" shapeId="0" xr:uid="{00000000-0006-0000-0000-000059010000}">
      <text>
        <r>
          <rPr>
            <b/>
            <sz val="9"/>
            <color indexed="81"/>
            <rFont val="Tahoma"/>
            <family val="2"/>
          </rPr>
          <t>U.S. EPA User or Contractor:</t>
        </r>
        <r>
          <rPr>
            <sz val="9"/>
            <color indexed="81"/>
            <rFont val="Tahoma"/>
            <family val="2"/>
          </rPr>
          <t xml:space="preserve">
No coordinates given</t>
        </r>
      </text>
    </comment>
    <comment ref="G150" authorId="2" shapeId="0" xr:uid="{00000000-0006-0000-0000-00005A010000}">
      <text>
        <r>
          <rPr>
            <b/>
            <sz val="9"/>
            <color indexed="81"/>
            <rFont val="Tahoma"/>
            <family val="2"/>
          </rPr>
          <t>U.S. EPA User or Contractor:</t>
        </r>
        <r>
          <rPr>
            <sz val="9"/>
            <color indexed="81"/>
            <rFont val="Tahoma"/>
            <family val="2"/>
          </rPr>
          <t xml:space="preserve">
No coordinates given</t>
        </r>
      </text>
    </comment>
    <comment ref="J150" authorId="2" shapeId="0" xr:uid="{00000000-0006-0000-0000-00005B010000}">
      <text>
        <r>
          <rPr>
            <b/>
            <sz val="9"/>
            <color indexed="81"/>
            <rFont val="Tahoma"/>
            <family val="2"/>
          </rPr>
          <t>U.S. EPA User or Contractor:</t>
        </r>
        <r>
          <rPr>
            <sz val="9"/>
            <color indexed="81"/>
            <rFont val="Tahoma"/>
            <family val="2"/>
          </rPr>
          <t xml:space="preserve">
1'6" of gas recorded in tube</t>
        </r>
      </text>
    </comment>
    <comment ref="O150" authorId="2" shapeId="0" xr:uid="{00000000-0006-0000-0000-00005C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151" authorId="1" shapeId="0" xr:uid="{00000000-0006-0000-0000-00005D010000}">
      <text>
        <r>
          <rPr>
            <b/>
            <sz val="9"/>
            <color indexed="81"/>
            <rFont val="Tahoma"/>
            <charset val="1"/>
          </rPr>
          <t>Beaulieu, Jake:</t>
        </r>
        <r>
          <rPr>
            <sz val="9"/>
            <color indexed="81"/>
            <rFont val="Tahoma"/>
            <charset val="1"/>
          </rPr>
          <t xml:space="preserve">
Assumed deployment time is the retrieval time from last deployment, + 15 minutes.</t>
        </r>
      </text>
    </comment>
    <comment ref="F151" authorId="2" shapeId="0" xr:uid="{00000000-0006-0000-0000-00005E010000}">
      <text>
        <r>
          <rPr>
            <b/>
            <sz val="9"/>
            <color indexed="81"/>
            <rFont val="Tahoma"/>
            <family val="2"/>
          </rPr>
          <t>U.S. EPA User or Contractor:</t>
        </r>
        <r>
          <rPr>
            <sz val="9"/>
            <color indexed="81"/>
            <rFont val="Tahoma"/>
            <family val="2"/>
          </rPr>
          <t xml:space="preserve">
No coordinates recorded</t>
        </r>
      </text>
    </comment>
    <comment ref="G151" authorId="2" shapeId="0" xr:uid="{00000000-0006-0000-0000-00005F010000}">
      <text>
        <r>
          <rPr>
            <b/>
            <sz val="9"/>
            <color indexed="81"/>
            <rFont val="Tahoma"/>
            <family val="2"/>
          </rPr>
          <t>U.S. EPA User or Contractor:</t>
        </r>
        <r>
          <rPr>
            <sz val="9"/>
            <color indexed="81"/>
            <rFont val="Tahoma"/>
            <family val="2"/>
          </rPr>
          <t xml:space="preserve">
No coordinates recorded</t>
        </r>
      </text>
    </comment>
    <comment ref="J151" authorId="2" shapeId="0" xr:uid="{00000000-0006-0000-0000-000060010000}">
      <text>
        <r>
          <rPr>
            <b/>
            <sz val="9"/>
            <color indexed="81"/>
            <rFont val="Tahoma"/>
            <family val="2"/>
          </rPr>
          <t>U.S. EPA User or Contractor:</t>
        </r>
        <r>
          <rPr>
            <sz val="9"/>
            <color indexed="81"/>
            <rFont val="Tahoma"/>
            <family val="2"/>
          </rPr>
          <t xml:space="preserve">
1' 7.5" gas recorded in tube</t>
        </r>
      </text>
    </comment>
    <comment ref="O151" authorId="2" shapeId="0" xr:uid="{00000000-0006-0000-0000-000061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152" authorId="1" shapeId="0" xr:uid="{00000000-0006-0000-0000-000062010000}">
      <text>
        <r>
          <rPr>
            <b/>
            <sz val="9"/>
            <color indexed="81"/>
            <rFont val="Tahoma"/>
            <charset val="1"/>
          </rPr>
          <t>Beaulieu, Jake:</t>
        </r>
        <r>
          <rPr>
            <sz val="9"/>
            <color indexed="81"/>
            <rFont val="Tahoma"/>
            <charset val="1"/>
          </rPr>
          <t xml:space="preserve">
Assumed deployment time is the retrieval time from last deployment, + 15 minutes.</t>
        </r>
      </text>
    </comment>
    <comment ref="F152" authorId="2" shapeId="0" xr:uid="{00000000-0006-0000-0000-000063010000}">
      <text>
        <r>
          <rPr>
            <b/>
            <sz val="9"/>
            <color indexed="81"/>
            <rFont val="Tahoma"/>
            <family val="2"/>
          </rPr>
          <t>U.S. EPA User or Contractor:</t>
        </r>
        <r>
          <rPr>
            <sz val="9"/>
            <color indexed="81"/>
            <rFont val="Tahoma"/>
            <family val="2"/>
          </rPr>
          <t xml:space="preserve">
No coordinates given</t>
        </r>
      </text>
    </comment>
    <comment ref="G152" authorId="2" shapeId="0" xr:uid="{00000000-0006-0000-0000-000064010000}">
      <text>
        <r>
          <rPr>
            <b/>
            <sz val="9"/>
            <color indexed="81"/>
            <rFont val="Tahoma"/>
            <family val="2"/>
          </rPr>
          <t>U.S. EPA User or Contractor:</t>
        </r>
        <r>
          <rPr>
            <sz val="9"/>
            <color indexed="81"/>
            <rFont val="Tahoma"/>
            <family val="2"/>
          </rPr>
          <t xml:space="preserve">
No coordinates given</t>
        </r>
      </text>
    </comment>
    <comment ref="O152" authorId="2" shapeId="0" xr:uid="{00000000-0006-0000-0000-000065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O153" authorId="2" shapeId="0" xr:uid="{00000000-0006-0000-0000-00006E02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I154" authorId="1" shapeId="0" xr:uid="{00000000-0006-0000-0000-0000B1000000}">
      <text>
        <r>
          <rPr>
            <b/>
            <sz val="9"/>
            <color indexed="81"/>
            <rFont val="Tahoma"/>
            <charset val="1"/>
          </rPr>
          <t>Beaulieu, Jake:</t>
        </r>
        <r>
          <rPr>
            <sz val="9"/>
            <color indexed="81"/>
            <rFont val="Tahoma"/>
            <charset val="1"/>
          </rPr>
          <t xml:space="preserve">
Not needed for active trap deployments</t>
        </r>
      </text>
    </comment>
    <comment ref="C155" authorId="1" shapeId="0" xr:uid="{00000000-0006-0000-0000-00006F010000}">
      <text>
        <r>
          <rPr>
            <b/>
            <sz val="9"/>
            <color indexed="81"/>
            <rFont val="Tahoma"/>
            <charset val="1"/>
          </rPr>
          <t>Beaulieu, Jake:</t>
        </r>
        <r>
          <rPr>
            <sz val="9"/>
            <color indexed="81"/>
            <rFont val="Tahoma"/>
            <charset val="1"/>
          </rPr>
          <t xml:space="preserve">
Assumed deployment time is the retrieval time from last deployment, + 15 minutes.</t>
        </r>
      </text>
    </comment>
    <comment ref="F155" authorId="2" shapeId="0" xr:uid="{00000000-0006-0000-0000-000070010000}">
      <text>
        <r>
          <rPr>
            <b/>
            <sz val="9"/>
            <color indexed="81"/>
            <rFont val="Tahoma"/>
            <family val="2"/>
          </rPr>
          <t>U.S. EPA User or Contractor:</t>
        </r>
        <r>
          <rPr>
            <sz val="9"/>
            <color indexed="81"/>
            <rFont val="Tahoma"/>
            <family val="2"/>
          </rPr>
          <t xml:space="preserve">
No coordinates given</t>
        </r>
      </text>
    </comment>
    <comment ref="G155" authorId="2" shapeId="0" xr:uid="{00000000-0006-0000-0000-000071010000}">
      <text>
        <r>
          <rPr>
            <b/>
            <sz val="9"/>
            <color indexed="81"/>
            <rFont val="Tahoma"/>
            <family val="2"/>
          </rPr>
          <t>U.S. EPA User or Contractor:</t>
        </r>
        <r>
          <rPr>
            <sz val="9"/>
            <color indexed="81"/>
            <rFont val="Tahoma"/>
            <family val="2"/>
          </rPr>
          <t xml:space="preserve">
No coordinates given</t>
        </r>
      </text>
    </comment>
    <comment ref="J155" authorId="2" shapeId="0" xr:uid="{00000000-0006-0000-0000-000072010000}">
      <text>
        <r>
          <rPr>
            <b/>
            <sz val="9"/>
            <color indexed="81"/>
            <rFont val="Tahoma"/>
            <family val="2"/>
          </rPr>
          <t>U.S. EPA User or Contractor:</t>
        </r>
        <r>
          <rPr>
            <sz val="9"/>
            <color indexed="81"/>
            <rFont val="Tahoma"/>
            <family val="2"/>
          </rPr>
          <t xml:space="preserve">
11" recorded in tube</t>
        </r>
      </text>
    </comment>
    <comment ref="O155" authorId="2" shapeId="0" xr:uid="{00000000-0006-0000-0000-000073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156" authorId="2" shapeId="0" xr:uid="{00000000-0006-0000-0000-0000BD020000}">
      <text>
        <r>
          <rPr>
            <b/>
            <sz val="9"/>
            <color indexed="81"/>
            <rFont val="Tahoma"/>
            <charset val="1"/>
          </rPr>
          <t>U.S. EPA User or Contractor:</t>
        </r>
        <r>
          <rPr>
            <sz val="9"/>
            <color indexed="81"/>
            <rFont val="Tahoma"/>
            <charset val="1"/>
          </rPr>
          <t xml:space="preserve">
Computer times were adjusted in accordance with daylight savings, however the times were accidentally set 12 hours fast. These present values represent the adjusted times.
KB 11/24/2015</t>
        </r>
      </text>
    </comment>
    <comment ref="D156" authorId="2" shapeId="0" xr:uid="{00000000-0006-0000-0000-0000BE020000}">
      <text>
        <r>
          <rPr>
            <b/>
            <sz val="9"/>
            <color indexed="81"/>
            <rFont val="Tahoma"/>
            <charset val="1"/>
          </rPr>
          <t>U.S. EPA User or Contractor:</t>
        </r>
        <r>
          <rPr>
            <sz val="9"/>
            <color indexed="81"/>
            <rFont val="Tahoma"/>
            <charset val="1"/>
          </rPr>
          <t xml:space="preserve">
Computer times were adjusted in accordance with daylight savings, however the times were accidentally set 12 hours fast. These present values represent the adjusted times.
KB 11/24/2015</t>
        </r>
      </text>
    </comment>
    <comment ref="E156" authorId="2" shapeId="0" xr:uid="{00000000-0006-0000-0000-0000BF020000}">
      <text>
        <r>
          <rPr>
            <b/>
            <sz val="9"/>
            <color indexed="81"/>
            <rFont val="Tahoma"/>
            <charset val="1"/>
          </rPr>
          <t>U.S. EPA User or Contractor:</t>
        </r>
        <r>
          <rPr>
            <sz val="9"/>
            <color indexed="81"/>
            <rFont val="Tahoma"/>
            <charset val="1"/>
          </rPr>
          <t xml:space="preserve">
Computer times were adjusted in accordance with daylight savings, however the times were accidentally set 12 hours fast. These present values represent the adjusted times.
KB 11/24/2015</t>
        </r>
      </text>
    </comment>
    <comment ref="C157" authorId="1" shapeId="0" xr:uid="{00000000-0006-0000-0000-000078010000}">
      <text>
        <r>
          <rPr>
            <b/>
            <sz val="9"/>
            <color indexed="81"/>
            <rFont val="Tahoma"/>
            <charset val="1"/>
          </rPr>
          <t>Beaulieu, Jake:</t>
        </r>
        <r>
          <rPr>
            <sz val="9"/>
            <color indexed="81"/>
            <rFont val="Tahoma"/>
            <charset val="1"/>
          </rPr>
          <t xml:space="preserve">
Assumed deployment time is the retrieval time from last deployment, + 15 minutes.</t>
        </r>
      </text>
    </comment>
    <comment ref="F157" authorId="2" shapeId="0" xr:uid="{00000000-0006-0000-0000-000079010000}">
      <text>
        <r>
          <rPr>
            <b/>
            <sz val="9"/>
            <color indexed="81"/>
            <rFont val="Tahoma"/>
            <family val="2"/>
          </rPr>
          <t>U.S. EPA User or Contractor:</t>
        </r>
        <r>
          <rPr>
            <sz val="9"/>
            <color indexed="81"/>
            <rFont val="Tahoma"/>
            <family val="2"/>
          </rPr>
          <t xml:space="preserve">
No coordinates given</t>
        </r>
      </text>
    </comment>
    <comment ref="G157" authorId="2" shapeId="0" xr:uid="{00000000-0006-0000-0000-00007A010000}">
      <text>
        <r>
          <rPr>
            <b/>
            <sz val="9"/>
            <color indexed="81"/>
            <rFont val="Tahoma"/>
            <family val="2"/>
          </rPr>
          <t>U.S. EPA User or Contractor:</t>
        </r>
        <r>
          <rPr>
            <sz val="9"/>
            <color indexed="81"/>
            <rFont val="Tahoma"/>
            <family val="2"/>
          </rPr>
          <t xml:space="preserve">
No coordinates given</t>
        </r>
      </text>
    </comment>
    <comment ref="O157" authorId="2" shapeId="0" xr:uid="{00000000-0006-0000-0000-00007B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159" authorId="1" shapeId="0" xr:uid="{00000000-0006-0000-0000-000080010000}">
      <text>
        <r>
          <rPr>
            <b/>
            <sz val="9"/>
            <color indexed="81"/>
            <rFont val="Tahoma"/>
            <charset val="1"/>
          </rPr>
          <t>Beaulieu, Jake:</t>
        </r>
        <r>
          <rPr>
            <sz val="9"/>
            <color indexed="81"/>
            <rFont val="Tahoma"/>
            <charset val="1"/>
          </rPr>
          <t xml:space="preserve">
Assumed deployment time is the retrieval time from last deployment, + 15 minutes.</t>
        </r>
      </text>
    </comment>
    <comment ref="F159" authorId="2" shapeId="0" xr:uid="{00000000-0006-0000-0000-000081010000}">
      <text>
        <r>
          <rPr>
            <b/>
            <sz val="9"/>
            <color indexed="81"/>
            <rFont val="Tahoma"/>
            <family val="2"/>
          </rPr>
          <t>U.S. EPA User or Contractor:</t>
        </r>
        <r>
          <rPr>
            <sz val="9"/>
            <color indexed="81"/>
            <rFont val="Tahoma"/>
            <family val="2"/>
          </rPr>
          <t xml:space="preserve">
No coordinates given</t>
        </r>
      </text>
    </comment>
    <comment ref="G159" authorId="2" shapeId="0" xr:uid="{00000000-0006-0000-0000-000082010000}">
      <text>
        <r>
          <rPr>
            <b/>
            <sz val="9"/>
            <color indexed="81"/>
            <rFont val="Tahoma"/>
            <family val="2"/>
          </rPr>
          <t>U.S. EPA User or Contractor:</t>
        </r>
        <r>
          <rPr>
            <sz val="9"/>
            <color indexed="81"/>
            <rFont val="Tahoma"/>
            <family val="2"/>
          </rPr>
          <t xml:space="preserve">
No coordinates given</t>
        </r>
      </text>
    </comment>
    <comment ref="O159" authorId="2" shapeId="0" xr:uid="{00000000-0006-0000-0000-000083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I160" authorId="1" shapeId="0" xr:uid="{00000000-0006-0000-0000-0000D5000000}">
      <text>
        <r>
          <rPr>
            <b/>
            <sz val="9"/>
            <color indexed="81"/>
            <rFont val="Tahoma"/>
            <charset val="1"/>
          </rPr>
          <t>Beaulieu, Jake:</t>
        </r>
        <r>
          <rPr>
            <sz val="9"/>
            <color indexed="81"/>
            <rFont val="Tahoma"/>
            <charset val="1"/>
          </rPr>
          <t xml:space="preserve">
Not needed for active trap deployments</t>
        </r>
      </text>
    </comment>
    <comment ref="C161" authorId="1" shapeId="0" xr:uid="{00000000-0006-0000-0000-000088010000}">
      <text>
        <r>
          <rPr>
            <b/>
            <sz val="9"/>
            <color indexed="81"/>
            <rFont val="Tahoma"/>
            <charset val="1"/>
          </rPr>
          <t>Beaulieu, Jake:</t>
        </r>
        <r>
          <rPr>
            <sz val="9"/>
            <color indexed="81"/>
            <rFont val="Tahoma"/>
            <charset val="1"/>
          </rPr>
          <t xml:space="preserve">
Assumed deployment time is the retrieval time from last deployment, + 15 minutes.</t>
        </r>
      </text>
    </comment>
    <comment ref="F161" authorId="2" shapeId="0" xr:uid="{00000000-0006-0000-0000-000089010000}">
      <text>
        <r>
          <rPr>
            <b/>
            <sz val="9"/>
            <color indexed="81"/>
            <rFont val="Tahoma"/>
            <family val="2"/>
          </rPr>
          <t>U.S. EPA User or Contractor:</t>
        </r>
        <r>
          <rPr>
            <sz val="9"/>
            <color indexed="81"/>
            <rFont val="Tahoma"/>
            <family val="2"/>
          </rPr>
          <t xml:space="preserve">
No coordinates given</t>
        </r>
      </text>
    </comment>
    <comment ref="G161" authorId="2" shapeId="0" xr:uid="{00000000-0006-0000-0000-00008A010000}">
      <text>
        <r>
          <rPr>
            <b/>
            <sz val="9"/>
            <color indexed="81"/>
            <rFont val="Tahoma"/>
            <family val="2"/>
          </rPr>
          <t>U.S. EPA User or Contractor:</t>
        </r>
        <r>
          <rPr>
            <sz val="9"/>
            <color indexed="81"/>
            <rFont val="Tahoma"/>
            <family val="2"/>
          </rPr>
          <t xml:space="preserve">
No coordinates given</t>
        </r>
      </text>
    </comment>
    <comment ref="J161" authorId="2" shapeId="0" xr:uid="{00000000-0006-0000-0000-00008B010000}">
      <text>
        <r>
          <rPr>
            <b/>
            <sz val="9"/>
            <color indexed="81"/>
            <rFont val="Tahoma"/>
            <family val="2"/>
          </rPr>
          <t>U.S. EPA User or Contractor:</t>
        </r>
        <r>
          <rPr>
            <sz val="9"/>
            <color indexed="81"/>
            <rFont val="Tahoma"/>
            <family val="2"/>
          </rPr>
          <t xml:space="preserve">
Volume recorded on data sheet reads 29+29+28+4.5"+10, perhaps implying the 4.5" should be taken into account in the total volume collected.</t>
        </r>
      </text>
    </comment>
    <comment ref="O161" authorId="2" shapeId="0" xr:uid="{00000000-0006-0000-0000-00008C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162" authorId="1" shapeId="0" xr:uid="{00000000-0006-0000-0000-00008D010000}">
      <text>
        <r>
          <rPr>
            <b/>
            <sz val="9"/>
            <color indexed="81"/>
            <rFont val="Tahoma"/>
            <charset val="1"/>
          </rPr>
          <t>Beaulieu, Jake:</t>
        </r>
        <r>
          <rPr>
            <sz val="9"/>
            <color indexed="81"/>
            <rFont val="Tahoma"/>
            <charset val="1"/>
          </rPr>
          <t xml:space="preserve">
Assumed deployment time is the retrieval time from last deployment, + 15 minutes.</t>
        </r>
      </text>
    </comment>
    <comment ref="F162" authorId="2" shapeId="0" xr:uid="{00000000-0006-0000-0000-00008E010000}">
      <text>
        <r>
          <rPr>
            <b/>
            <sz val="9"/>
            <color indexed="81"/>
            <rFont val="Tahoma"/>
            <family val="2"/>
          </rPr>
          <t>U.S. EPA User or Contractor:</t>
        </r>
        <r>
          <rPr>
            <sz val="9"/>
            <color indexed="81"/>
            <rFont val="Tahoma"/>
            <family val="2"/>
          </rPr>
          <t xml:space="preserve">
No coordinates recorded</t>
        </r>
      </text>
    </comment>
    <comment ref="G162" authorId="2" shapeId="0" xr:uid="{00000000-0006-0000-0000-00008F010000}">
      <text>
        <r>
          <rPr>
            <b/>
            <sz val="9"/>
            <color indexed="81"/>
            <rFont val="Tahoma"/>
            <family val="2"/>
          </rPr>
          <t>U.S. EPA User or Contractor:</t>
        </r>
        <r>
          <rPr>
            <sz val="9"/>
            <color indexed="81"/>
            <rFont val="Tahoma"/>
            <family val="2"/>
          </rPr>
          <t xml:space="preserve">
No coordinates recorded</t>
        </r>
      </text>
    </comment>
    <comment ref="O162" authorId="2" shapeId="0" xr:uid="{00000000-0006-0000-0000-000090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164" authorId="1" shapeId="0" xr:uid="{00000000-0006-0000-0000-000095010000}">
      <text>
        <r>
          <rPr>
            <b/>
            <sz val="9"/>
            <color indexed="81"/>
            <rFont val="Tahoma"/>
            <charset val="1"/>
          </rPr>
          <t>Beaulieu, Jake:</t>
        </r>
        <r>
          <rPr>
            <sz val="9"/>
            <color indexed="81"/>
            <rFont val="Tahoma"/>
            <charset val="1"/>
          </rPr>
          <t xml:space="preserve">
Assumed deployment time is the retrieval time from last deployment, + 15 minutes.</t>
        </r>
      </text>
    </comment>
    <comment ref="F164" authorId="2" shapeId="0" xr:uid="{00000000-0006-0000-0000-000096010000}">
      <text>
        <r>
          <rPr>
            <b/>
            <sz val="9"/>
            <color indexed="81"/>
            <rFont val="Tahoma"/>
            <family val="2"/>
          </rPr>
          <t>U.S. EPA User or Contractor:</t>
        </r>
        <r>
          <rPr>
            <sz val="9"/>
            <color indexed="81"/>
            <rFont val="Tahoma"/>
            <family val="2"/>
          </rPr>
          <t xml:space="preserve">
No coordinates recorded</t>
        </r>
      </text>
    </comment>
    <comment ref="G164" authorId="2" shapeId="0" xr:uid="{00000000-0006-0000-0000-000097010000}">
      <text>
        <r>
          <rPr>
            <b/>
            <sz val="9"/>
            <color indexed="81"/>
            <rFont val="Tahoma"/>
            <family val="2"/>
          </rPr>
          <t>U.S. EPA User or Contractor:</t>
        </r>
        <r>
          <rPr>
            <sz val="9"/>
            <color indexed="81"/>
            <rFont val="Tahoma"/>
            <family val="2"/>
          </rPr>
          <t xml:space="preserve">
No coordinates recorded</t>
        </r>
      </text>
    </comment>
    <comment ref="J164" authorId="2" shapeId="0" xr:uid="{00000000-0006-0000-0000-000098010000}">
      <text>
        <r>
          <rPr>
            <b/>
            <sz val="9"/>
            <color indexed="81"/>
            <rFont val="Tahoma"/>
            <family val="2"/>
          </rPr>
          <t>U.S. EPA User or Contractor:</t>
        </r>
        <r>
          <rPr>
            <sz val="9"/>
            <color indexed="81"/>
            <rFont val="Tahoma"/>
            <family val="2"/>
          </rPr>
          <t xml:space="preserve">
21" gas recorded in tube</t>
        </r>
      </text>
    </comment>
    <comment ref="O164" authorId="2" shapeId="0" xr:uid="{00000000-0006-0000-0000-000099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165" authorId="2" shapeId="0" xr:uid="{00000000-0006-0000-0000-0000B2020000}">
      <text>
        <r>
          <rPr>
            <b/>
            <sz val="9"/>
            <color indexed="81"/>
            <rFont val="Tahoma"/>
            <charset val="1"/>
          </rPr>
          <t>U.S. EPA User or Contractor:</t>
        </r>
        <r>
          <rPr>
            <sz val="9"/>
            <color indexed="81"/>
            <rFont val="Tahoma"/>
            <charset val="1"/>
          </rPr>
          <t xml:space="preserve">
Computer times were adjusted in accordance with daylight savings, however the times were accidentally set 12 hours fast. These present values represent the adjusted times.
KB 11/24/2015</t>
        </r>
      </text>
    </comment>
    <comment ref="D165" authorId="2" shapeId="0" xr:uid="{00000000-0006-0000-0000-0000B3020000}">
      <text>
        <r>
          <rPr>
            <b/>
            <sz val="9"/>
            <color indexed="81"/>
            <rFont val="Tahoma"/>
            <charset val="1"/>
          </rPr>
          <t>U.S. EPA User or Contractor:</t>
        </r>
        <r>
          <rPr>
            <sz val="9"/>
            <color indexed="81"/>
            <rFont val="Tahoma"/>
            <charset val="1"/>
          </rPr>
          <t xml:space="preserve">
Computer times were adjusted in accordance with daylight savings, however the times were accidentally set 12 hours fast. These present values represent the adjusted times.
KB 11/24/2015</t>
        </r>
      </text>
    </comment>
    <comment ref="E165" authorId="2" shapeId="0" xr:uid="{00000000-0006-0000-0000-0000B4020000}">
      <text>
        <r>
          <rPr>
            <b/>
            <sz val="9"/>
            <color indexed="81"/>
            <rFont val="Tahoma"/>
            <charset val="1"/>
          </rPr>
          <t>U.S. EPA User or Contractor:</t>
        </r>
        <r>
          <rPr>
            <sz val="9"/>
            <color indexed="81"/>
            <rFont val="Tahoma"/>
            <charset val="1"/>
          </rPr>
          <t xml:space="preserve">
Computer times were adjusted in accordance with daylight savings, however the times were accidentally set 12 hours fast. These present values represent the adjusted times.
KB 11/24/2015</t>
        </r>
      </text>
    </comment>
    <comment ref="C166" authorId="1" shapeId="0" xr:uid="{00000000-0006-0000-0000-00009E010000}">
      <text>
        <r>
          <rPr>
            <b/>
            <sz val="9"/>
            <color indexed="81"/>
            <rFont val="Tahoma"/>
            <charset val="1"/>
          </rPr>
          <t>Beaulieu, Jake:</t>
        </r>
        <r>
          <rPr>
            <sz val="9"/>
            <color indexed="81"/>
            <rFont val="Tahoma"/>
            <charset val="1"/>
          </rPr>
          <t xml:space="preserve">
Assumed deployment time is the retrieval time from last deployment, + 15 minutes.</t>
        </r>
      </text>
    </comment>
    <comment ref="F166" authorId="2" shapeId="0" xr:uid="{00000000-0006-0000-0000-00009F010000}">
      <text>
        <r>
          <rPr>
            <b/>
            <sz val="9"/>
            <color indexed="81"/>
            <rFont val="Tahoma"/>
            <family val="2"/>
          </rPr>
          <t>U.S. EPA User or Contractor:</t>
        </r>
        <r>
          <rPr>
            <sz val="9"/>
            <color indexed="81"/>
            <rFont val="Tahoma"/>
            <family val="2"/>
          </rPr>
          <t xml:space="preserve">
No coordinates recorded</t>
        </r>
      </text>
    </comment>
    <comment ref="G166" authorId="2" shapeId="0" xr:uid="{00000000-0006-0000-0000-0000A0010000}">
      <text>
        <r>
          <rPr>
            <b/>
            <sz val="9"/>
            <color indexed="81"/>
            <rFont val="Tahoma"/>
            <family val="2"/>
          </rPr>
          <t>U.S. EPA User or Contractor:</t>
        </r>
        <r>
          <rPr>
            <sz val="9"/>
            <color indexed="81"/>
            <rFont val="Tahoma"/>
            <family val="2"/>
          </rPr>
          <t xml:space="preserve">
No coordinates recorded</t>
        </r>
      </text>
    </comment>
    <comment ref="O166" authorId="2" shapeId="0" xr:uid="{00000000-0006-0000-0000-0000A1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167" authorId="1" shapeId="0" xr:uid="{00000000-0006-0000-0000-0000A2010000}">
      <text>
        <r>
          <rPr>
            <b/>
            <sz val="9"/>
            <color indexed="81"/>
            <rFont val="Tahoma"/>
            <charset val="1"/>
          </rPr>
          <t>Beaulieu, Jake:</t>
        </r>
        <r>
          <rPr>
            <sz val="9"/>
            <color indexed="81"/>
            <rFont val="Tahoma"/>
            <charset val="1"/>
          </rPr>
          <t xml:space="preserve">
Assumed deployment time is the retrieval time from last deployment, + 15 minutes.</t>
        </r>
      </text>
    </comment>
    <comment ref="E167" authorId="2" shapeId="0" xr:uid="{00000000-0006-0000-0000-0000A3010000}">
      <text>
        <r>
          <rPr>
            <b/>
            <sz val="9"/>
            <color indexed="81"/>
            <rFont val="Tahoma"/>
            <charset val="1"/>
          </rPr>
          <t>U.S. EPA User or Contractor:</t>
        </r>
        <r>
          <rPr>
            <sz val="9"/>
            <color indexed="81"/>
            <rFont val="Tahoma"/>
            <charset val="1"/>
          </rPr>
          <t xml:space="preserve">
Sample time estimated</t>
        </r>
      </text>
    </comment>
    <comment ref="F167" authorId="2" shapeId="0" xr:uid="{00000000-0006-0000-0000-0000A4010000}">
      <text>
        <r>
          <rPr>
            <b/>
            <sz val="9"/>
            <color indexed="81"/>
            <rFont val="Tahoma"/>
            <family val="2"/>
          </rPr>
          <t>U.S. EPA User or Contractor:</t>
        </r>
        <r>
          <rPr>
            <sz val="9"/>
            <color indexed="81"/>
            <rFont val="Tahoma"/>
            <family val="2"/>
          </rPr>
          <t xml:space="preserve">
No coordinates given</t>
        </r>
      </text>
    </comment>
    <comment ref="G167" authorId="2" shapeId="0" xr:uid="{00000000-0006-0000-0000-0000A5010000}">
      <text>
        <r>
          <rPr>
            <b/>
            <sz val="9"/>
            <color indexed="81"/>
            <rFont val="Tahoma"/>
            <family val="2"/>
          </rPr>
          <t>U.S. EPA User or Contractor:</t>
        </r>
        <r>
          <rPr>
            <sz val="9"/>
            <color indexed="81"/>
            <rFont val="Tahoma"/>
            <family val="2"/>
          </rPr>
          <t xml:space="preserve">
No coordinates given</t>
        </r>
      </text>
    </comment>
    <comment ref="J167" authorId="2" shapeId="0" xr:uid="{00000000-0006-0000-0000-0000A6010000}">
      <text>
        <r>
          <rPr>
            <b/>
            <sz val="9"/>
            <color indexed="81"/>
            <rFont val="Tahoma"/>
            <family val="2"/>
          </rPr>
          <t>U.S. EPA User or Contractor:</t>
        </r>
        <r>
          <rPr>
            <sz val="9"/>
            <color indexed="81"/>
            <rFont val="Tahoma"/>
            <family val="2"/>
          </rPr>
          <t xml:space="preserve">
6" gas recorded in tube</t>
        </r>
      </text>
    </comment>
    <comment ref="O167" authorId="2" shapeId="0" xr:uid="{00000000-0006-0000-0000-0000A7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169" authorId="1" shapeId="0" xr:uid="{00000000-0006-0000-0000-0000AC010000}">
      <text>
        <r>
          <rPr>
            <b/>
            <sz val="9"/>
            <color indexed="81"/>
            <rFont val="Tahoma"/>
            <charset val="1"/>
          </rPr>
          <t>Beaulieu, Jake:</t>
        </r>
        <r>
          <rPr>
            <sz val="9"/>
            <color indexed="81"/>
            <rFont val="Tahoma"/>
            <charset val="1"/>
          </rPr>
          <t xml:space="preserve">
Assumed deployment time is the retrieval time from last deployment, + 15 minutes.</t>
        </r>
      </text>
    </comment>
    <comment ref="F169" authorId="2" shapeId="0" xr:uid="{00000000-0006-0000-0000-0000AD010000}">
      <text>
        <r>
          <rPr>
            <b/>
            <sz val="9"/>
            <color indexed="81"/>
            <rFont val="Tahoma"/>
            <family val="2"/>
          </rPr>
          <t>U.S. EPA User or Contractor:</t>
        </r>
        <r>
          <rPr>
            <sz val="9"/>
            <color indexed="81"/>
            <rFont val="Tahoma"/>
            <family val="2"/>
          </rPr>
          <t xml:space="preserve">
No coordinates given</t>
        </r>
      </text>
    </comment>
    <comment ref="G169" authorId="2" shapeId="0" xr:uid="{00000000-0006-0000-0000-0000AE010000}">
      <text>
        <r>
          <rPr>
            <b/>
            <sz val="9"/>
            <color indexed="81"/>
            <rFont val="Tahoma"/>
            <family val="2"/>
          </rPr>
          <t>U.S. EPA User or Contractor:</t>
        </r>
        <r>
          <rPr>
            <sz val="9"/>
            <color indexed="81"/>
            <rFont val="Tahoma"/>
            <family val="2"/>
          </rPr>
          <t xml:space="preserve">
No coordinates given</t>
        </r>
      </text>
    </comment>
    <comment ref="O169" authorId="2" shapeId="0" xr:uid="{00000000-0006-0000-0000-0000AF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170" authorId="1" shapeId="0" xr:uid="{00000000-0006-0000-0000-0000B0010000}">
      <text>
        <r>
          <rPr>
            <b/>
            <sz val="9"/>
            <color indexed="81"/>
            <rFont val="Tahoma"/>
            <charset val="1"/>
          </rPr>
          <t>Beaulieu, Jake:</t>
        </r>
        <r>
          <rPr>
            <sz val="9"/>
            <color indexed="81"/>
            <rFont val="Tahoma"/>
            <charset val="1"/>
          </rPr>
          <t xml:space="preserve">
Assumed deployment time is the retrieval time from last deployment, + 15 minutes.</t>
        </r>
      </text>
    </comment>
    <comment ref="F170" authorId="2" shapeId="0" xr:uid="{00000000-0006-0000-0000-0000B1010000}">
      <text>
        <r>
          <rPr>
            <b/>
            <sz val="9"/>
            <color indexed="81"/>
            <rFont val="Tahoma"/>
            <family val="2"/>
          </rPr>
          <t>U.S. EPA User or Contractor:</t>
        </r>
        <r>
          <rPr>
            <sz val="9"/>
            <color indexed="81"/>
            <rFont val="Tahoma"/>
            <family val="2"/>
          </rPr>
          <t xml:space="preserve">
No coordinates recorded</t>
        </r>
      </text>
    </comment>
    <comment ref="G170" authorId="2" shapeId="0" xr:uid="{00000000-0006-0000-0000-0000B2010000}">
      <text>
        <r>
          <rPr>
            <b/>
            <sz val="9"/>
            <color indexed="81"/>
            <rFont val="Tahoma"/>
            <family val="2"/>
          </rPr>
          <t>U.S. EPA User or Contractor:</t>
        </r>
        <r>
          <rPr>
            <sz val="9"/>
            <color indexed="81"/>
            <rFont val="Tahoma"/>
            <family val="2"/>
          </rPr>
          <t xml:space="preserve">
No coordinates recorded</t>
        </r>
      </text>
    </comment>
    <comment ref="O170" authorId="2" shapeId="0" xr:uid="{00000000-0006-0000-0000-0000B3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171" authorId="1" shapeId="0" xr:uid="{00000000-0006-0000-0000-0000B4010000}">
      <text>
        <r>
          <rPr>
            <b/>
            <sz val="9"/>
            <color indexed="81"/>
            <rFont val="Tahoma"/>
            <charset val="1"/>
          </rPr>
          <t>Beaulieu, Jake:</t>
        </r>
        <r>
          <rPr>
            <sz val="9"/>
            <color indexed="81"/>
            <rFont val="Tahoma"/>
            <charset val="1"/>
          </rPr>
          <t xml:space="preserve">
Assumed deployment time is the retrieval time from last deployment, + 15 minutes.</t>
        </r>
      </text>
    </comment>
    <comment ref="F171" authorId="2" shapeId="0" xr:uid="{00000000-0006-0000-0000-0000B5010000}">
      <text>
        <r>
          <rPr>
            <b/>
            <sz val="9"/>
            <color indexed="81"/>
            <rFont val="Tahoma"/>
            <family val="2"/>
          </rPr>
          <t>U.S. EPA User or Contractor:</t>
        </r>
        <r>
          <rPr>
            <sz val="9"/>
            <color indexed="81"/>
            <rFont val="Tahoma"/>
            <family val="2"/>
          </rPr>
          <t xml:space="preserve">
No coordinates given</t>
        </r>
      </text>
    </comment>
    <comment ref="G171" authorId="2" shapeId="0" xr:uid="{00000000-0006-0000-0000-0000B6010000}">
      <text>
        <r>
          <rPr>
            <b/>
            <sz val="9"/>
            <color indexed="81"/>
            <rFont val="Tahoma"/>
            <family val="2"/>
          </rPr>
          <t>U.S. EPA User or Contractor:</t>
        </r>
        <r>
          <rPr>
            <sz val="9"/>
            <color indexed="81"/>
            <rFont val="Tahoma"/>
            <family val="2"/>
          </rPr>
          <t xml:space="preserve">
No coordinates given</t>
        </r>
      </text>
    </comment>
    <comment ref="O171" authorId="2" shapeId="0" xr:uid="{00000000-0006-0000-0000-0000B7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J172" authorId="2" shapeId="0" xr:uid="{00000000-0006-0000-0000-00001F010000}">
      <text>
        <r>
          <rPr>
            <b/>
            <sz val="9"/>
            <color indexed="81"/>
            <rFont val="Tahoma"/>
            <family val="2"/>
          </rPr>
          <t>U.S. EPA User or Contractor:</t>
        </r>
        <r>
          <rPr>
            <sz val="9"/>
            <color indexed="81"/>
            <rFont val="Tahoma"/>
            <family val="2"/>
          </rPr>
          <t xml:space="preserve">
1" 5 3/4" inches of gas measured in tube</t>
        </r>
      </text>
    </comment>
    <comment ref="O172" authorId="2" shapeId="0" xr:uid="{00000000-0006-0000-0000-000020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173" authorId="1" shapeId="0" xr:uid="{00000000-0006-0000-0000-0000BD010000}">
      <text>
        <r>
          <rPr>
            <b/>
            <sz val="9"/>
            <color indexed="81"/>
            <rFont val="Tahoma"/>
            <charset val="1"/>
          </rPr>
          <t>Beaulieu, Jake:</t>
        </r>
        <r>
          <rPr>
            <sz val="9"/>
            <color indexed="81"/>
            <rFont val="Tahoma"/>
            <charset val="1"/>
          </rPr>
          <t xml:space="preserve">
Assumed deployment time is the retrieval time from last deployment, + 15 minutes.</t>
        </r>
      </text>
    </comment>
    <comment ref="F173" authorId="2" shapeId="0" xr:uid="{00000000-0006-0000-0000-0000BE010000}">
      <text>
        <r>
          <rPr>
            <b/>
            <sz val="9"/>
            <color indexed="81"/>
            <rFont val="Tahoma"/>
            <family val="2"/>
          </rPr>
          <t>U.S. EPA User or Contractor:</t>
        </r>
        <r>
          <rPr>
            <sz val="9"/>
            <color indexed="81"/>
            <rFont val="Tahoma"/>
            <family val="2"/>
          </rPr>
          <t xml:space="preserve">
No coordinates given</t>
        </r>
      </text>
    </comment>
    <comment ref="G173" authorId="2" shapeId="0" xr:uid="{00000000-0006-0000-0000-0000BF010000}">
      <text>
        <r>
          <rPr>
            <b/>
            <sz val="9"/>
            <color indexed="81"/>
            <rFont val="Tahoma"/>
            <family val="2"/>
          </rPr>
          <t>U.S. EPA User or Contractor:</t>
        </r>
        <r>
          <rPr>
            <sz val="9"/>
            <color indexed="81"/>
            <rFont val="Tahoma"/>
            <family val="2"/>
          </rPr>
          <t xml:space="preserve">
No coordinates given</t>
        </r>
      </text>
    </comment>
    <comment ref="J173" authorId="2" shapeId="0" xr:uid="{00000000-0006-0000-0000-0000C0010000}">
      <text>
        <r>
          <rPr>
            <b/>
            <sz val="9"/>
            <color indexed="81"/>
            <rFont val="Tahoma"/>
            <family val="2"/>
          </rPr>
          <t>U.S. EPA User or Contractor:</t>
        </r>
        <r>
          <rPr>
            <sz val="9"/>
            <color indexed="81"/>
            <rFont val="Tahoma"/>
            <family val="2"/>
          </rPr>
          <t xml:space="preserve">
3' 7 1/4" gas measured in tube</t>
        </r>
      </text>
    </comment>
    <comment ref="O173" authorId="2" shapeId="0" xr:uid="{00000000-0006-0000-0000-0000C1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174" authorId="1" shapeId="0" xr:uid="{00000000-0006-0000-0000-0000C2010000}">
      <text>
        <r>
          <rPr>
            <b/>
            <sz val="9"/>
            <color indexed="81"/>
            <rFont val="Tahoma"/>
            <charset val="1"/>
          </rPr>
          <t>Beaulieu, Jake:</t>
        </r>
        <r>
          <rPr>
            <sz val="9"/>
            <color indexed="81"/>
            <rFont val="Tahoma"/>
            <charset val="1"/>
          </rPr>
          <t xml:space="preserve">
Assumed deployment time is the retrieval time from last deployment, + 15 minutes.</t>
        </r>
      </text>
    </comment>
    <comment ref="F174" authorId="2" shapeId="0" xr:uid="{00000000-0006-0000-0000-0000C3010000}">
      <text>
        <r>
          <rPr>
            <b/>
            <sz val="9"/>
            <color indexed="81"/>
            <rFont val="Tahoma"/>
            <family val="2"/>
          </rPr>
          <t>U.S. EPA User or Contractor:</t>
        </r>
        <r>
          <rPr>
            <sz val="9"/>
            <color indexed="81"/>
            <rFont val="Tahoma"/>
            <family val="2"/>
          </rPr>
          <t xml:space="preserve">
No coordinates recorded</t>
        </r>
      </text>
    </comment>
    <comment ref="G174" authorId="2" shapeId="0" xr:uid="{00000000-0006-0000-0000-0000C4010000}">
      <text>
        <r>
          <rPr>
            <b/>
            <sz val="9"/>
            <color indexed="81"/>
            <rFont val="Tahoma"/>
            <family val="2"/>
          </rPr>
          <t>U.S. EPA User or Contractor:</t>
        </r>
        <r>
          <rPr>
            <sz val="9"/>
            <color indexed="81"/>
            <rFont val="Tahoma"/>
            <family val="2"/>
          </rPr>
          <t xml:space="preserve">
No coordinates recorded</t>
        </r>
      </text>
    </comment>
    <comment ref="O174" authorId="2" shapeId="0" xr:uid="{00000000-0006-0000-0000-0000C5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175" authorId="2" shapeId="0" xr:uid="{00000000-0006-0000-0000-0000C5020000}">
      <text>
        <r>
          <rPr>
            <b/>
            <sz val="9"/>
            <color indexed="81"/>
            <rFont val="Tahoma"/>
            <charset val="1"/>
          </rPr>
          <t>U.S. EPA User or Contractor:</t>
        </r>
        <r>
          <rPr>
            <sz val="9"/>
            <color indexed="81"/>
            <rFont val="Tahoma"/>
            <charset val="1"/>
          </rPr>
          <t xml:space="preserve">
Computer times were adjusted in accordance with daylight savings, however the times were accidentally set 12 hours fast. These present values represent the adjusted times.
KB 11/24/2015</t>
        </r>
      </text>
    </comment>
    <comment ref="D175" authorId="2" shapeId="0" xr:uid="{00000000-0006-0000-0000-0000C6020000}">
      <text>
        <r>
          <rPr>
            <b/>
            <sz val="9"/>
            <color indexed="81"/>
            <rFont val="Tahoma"/>
            <charset val="1"/>
          </rPr>
          <t>U.S. EPA User or Contractor:</t>
        </r>
        <r>
          <rPr>
            <sz val="9"/>
            <color indexed="81"/>
            <rFont val="Tahoma"/>
            <charset val="1"/>
          </rPr>
          <t xml:space="preserve">
Computer times were adjusted in accordance with daylight savings, however the times were accidentally set 12 hours fast. These present values represent the adjusted times.
KB 11/24/2015</t>
        </r>
      </text>
    </comment>
    <comment ref="E175" authorId="2" shapeId="0" xr:uid="{00000000-0006-0000-0000-0000C7020000}">
      <text>
        <r>
          <rPr>
            <b/>
            <sz val="9"/>
            <color indexed="81"/>
            <rFont val="Tahoma"/>
            <charset val="1"/>
          </rPr>
          <t>U.S. EPA User or Contractor:</t>
        </r>
        <r>
          <rPr>
            <sz val="9"/>
            <color indexed="81"/>
            <rFont val="Tahoma"/>
            <charset val="1"/>
          </rPr>
          <t xml:space="preserve">
Computer times were adjusted in accordance with daylight savings, however the times were accidentally set 12 hours fast. These present values represent the adjusted times.
KB 11/24/2015</t>
        </r>
      </text>
    </comment>
    <comment ref="C176" authorId="1" shapeId="0" xr:uid="{00000000-0006-0000-0000-0000CB010000}">
      <text>
        <r>
          <rPr>
            <b/>
            <sz val="9"/>
            <color indexed="81"/>
            <rFont val="Tahoma"/>
            <charset val="1"/>
          </rPr>
          <t>Beaulieu, Jake:</t>
        </r>
        <r>
          <rPr>
            <sz val="9"/>
            <color indexed="81"/>
            <rFont val="Tahoma"/>
            <charset val="1"/>
          </rPr>
          <t xml:space="preserve">
Assumed deployment time is the retrieval time from last deployment, + 15 minutes.</t>
        </r>
      </text>
    </comment>
    <comment ref="F176" authorId="2" shapeId="0" xr:uid="{00000000-0006-0000-0000-0000CC010000}">
      <text>
        <r>
          <rPr>
            <b/>
            <sz val="9"/>
            <color indexed="81"/>
            <rFont val="Tahoma"/>
            <family val="2"/>
          </rPr>
          <t>U.S. EPA User or Contractor:</t>
        </r>
        <r>
          <rPr>
            <sz val="9"/>
            <color indexed="81"/>
            <rFont val="Tahoma"/>
            <family val="2"/>
          </rPr>
          <t xml:space="preserve">
No coordinates recorded</t>
        </r>
      </text>
    </comment>
    <comment ref="G176" authorId="2" shapeId="0" xr:uid="{00000000-0006-0000-0000-0000CD010000}">
      <text>
        <r>
          <rPr>
            <b/>
            <sz val="9"/>
            <color indexed="81"/>
            <rFont val="Tahoma"/>
            <family val="2"/>
          </rPr>
          <t>U.S. EPA User or Contractor:</t>
        </r>
        <r>
          <rPr>
            <sz val="9"/>
            <color indexed="81"/>
            <rFont val="Tahoma"/>
            <family val="2"/>
          </rPr>
          <t xml:space="preserve">
No coordinates recorded</t>
        </r>
      </text>
    </comment>
    <comment ref="O176" authorId="2" shapeId="0" xr:uid="{00000000-0006-0000-0000-0000CE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I177" authorId="1" shapeId="0" xr:uid="{00000000-0006-0000-0000-000085000000}">
      <text>
        <r>
          <rPr>
            <b/>
            <sz val="9"/>
            <color indexed="81"/>
            <rFont val="Tahoma"/>
            <charset val="1"/>
          </rPr>
          <t>Beaulieu, Jake:</t>
        </r>
        <r>
          <rPr>
            <sz val="9"/>
            <color indexed="81"/>
            <rFont val="Tahoma"/>
            <charset val="1"/>
          </rPr>
          <t xml:space="preserve">
Not needed for active trap deployments</t>
        </r>
      </text>
    </comment>
    <comment ref="C178" authorId="1" shapeId="0" xr:uid="{00000000-0006-0000-0000-0000D3010000}">
      <text>
        <r>
          <rPr>
            <b/>
            <sz val="9"/>
            <color indexed="81"/>
            <rFont val="Tahoma"/>
            <charset val="1"/>
          </rPr>
          <t>Beaulieu, Jake:</t>
        </r>
        <r>
          <rPr>
            <sz val="9"/>
            <color indexed="81"/>
            <rFont val="Tahoma"/>
            <charset val="1"/>
          </rPr>
          <t xml:space="preserve">
Assumed deployment time is the retrieval time from last deployment, + 15 minutes.</t>
        </r>
      </text>
    </comment>
    <comment ref="F178" authorId="2" shapeId="0" xr:uid="{00000000-0006-0000-0000-0000D4010000}">
      <text>
        <r>
          <rPr>
            <b/>
            <sz val="9"/>
            <color indexed="81"/>
            <rFont val="Tahoma"/>
            <family val="2"/>
          </rPr>
          <t>U.S. EPA User or Contractor:</t>
        </r>
        <r>
          <rPr>
            <sz val="9"/>
            <color indexed="81"/>
            <rFont val="Tahoma"/>
            <family val="2"/>
          </rPr>
          <t xml:space="preserve">
No coordinates recorded</t>
        </r>
      </text>
    </comment>
    <comment ref="G178" authorId="2" shapeId="0" xr:uid="{00000000-0006-0000-0000-0000D5010000}">
      <text>
        <r>
          <rPr>
            <b/>
            <sz val="9"/>
            <color indexed="81"/>
            <rFont val="Tahoma"/>
            <family val="2"/>
          </rPr>
          <t>U.S. EPA User or Contractor:</t>
        </r>
        <r>
          <rPr>
            <sz val="9"/>
            <color indexed="81"/>
            <rFont val="Tahoma"/>
            <family val="2"/>
          </rPr>
          <t xml:space="preserve">
No coordinates recorded</t>
        </r>
      </text>
    </comment>
    <comment ref="O178" authorId="2" shapeId="0" xr:uid="{00000000-0006-0000-0000-0000D6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179" authorId="1" shapeId="0" xr:uid="{00000000-0006-0000-0000-0000D7010000}">
      <text>
        <r>
          <rPr>
            <b/>
            <sz val="9"/>
            <color indexed="81"/>
            <rFont val="Tahoma"/>
            <charset val="1"/>
          </rPr>
          <t>Beaulieu, Jake:</t>
        </r>
        <r>
          <rPr>
            <sz val="9"/>
            <color indexed="81"/>
            <rFont val="Tahoma"/>
            <charset val="1"/>
          </rPr>
          <t xml:space="preserve">
Assumed deployment time is the retrieval time from last deployment, + 15 minutes.</t>
        </r>
      </text>
    </comment>
    <comment ref="F179" authorId="2" shapeId="0" xr:uid="{00000000-0006-0000-0000-0000D8010000}">
      <text>
        <r>
          <rPr>
            <b/>
            <sz val="9"/>
            <color indexed="81"/>
            <rFont val="Tahoma"/>
            <family val="2"/>
          </rPr>
          <t>U.S. EPA User or Contractor:</t>
        </r>
        <r>
          <rPr>
            <sz val="9"/>
            <color indexed="81"/>
            <rFont val="Tahoma"/>
            <family val="2"/>
          </rPr>
          <t xml:space="preserve">
No coordinates given</t>
        </r>
      </text>
    </comment>
    <comment ref="G179" authorId="2" shapeId="0" xr:uid="{00000000-0006-0000-0000-0000D9010000}">
      <text>
        <r>
          <rPr>
            <b/>
            <sz val="9"/>
            <color indexed="81"/>
            <rFont val="Tahoma"/>
            <family val="2"/>
          </rPr>
          <t>U.S. EPA User or Contractor:</t>
        </r>
        <r>
          <rPr>
            <sz val="9"/>
            <color indexed="81"/>
            <rFont val="Tahoma"/>
            <family val="2"/>
          </rPr>
          <t xml:space="preserve">
No coordinates given</t>
        </r>
      </text>
    </comment>
    <comment ref="O179" authorId="2" shapeId="0" xr:uid="{00000000-0006-0000-0000-0000DA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180" authorId="1" shapeId="0" xr:uid="{00000000-0006-0000-0000-0000DB010000}">
      <text>
        <r>
          <rPr>
            <b/>
            <sz val="9"/>
            <color indexed="81"/>
            <rFont val="Tahoma"/>
            <charset val="1"/>
          </rPr>
          <t>Beaulieu, Jake:</t>
        </r>
        <r>
          <rPr>
            <sz val="9"/>
            <color indexed="81"/>
            <rFont val="Tahoma"/>
            <charset val="1"/>
          </rPr>
          <t xml:space="preserve">
Assumed deployment time is the retrieval time from last deployment, + 15 minutes.</t>
        </r>
      </text>
    </comment>
    <comment ref="F180" authorId="2" shapeId="0" xr:uid="{00000000-0006-0000-0000-0000DC010000}">
      <text>
        <r>
          <rPr>
            <b/>
            <sz val="9"/>
            <color indexed="81"/>
            <rFont val="Tahoma"/>
            <family val="2"/>
          </rPr>
          <t>U.S. EPA User or Contractor:</t>
        </r>
        <r>
          <rPr>
            <sz val="9"/>
            <color indexed="81"/>
            <rFont val="Tahoma"/>
            <family val="2"/>
          </rPr>
          <t xml:space="preserve">
No coordinates recorded</t>
        </r>
      </text>
    </comment>
    <comment ref="G180" authorId="2" shapeId="0" xr:uid="{00000000-0006-0000-0000-0000DD010000}">
      <text>
        <r>
          <rPr>
            <b/>
            <sz val="9"/>
            <color indexed="81"/>
            <rFont val="Tahoma"/>
            <family val="2"/>
          </rPr>
          <t>U.S. EPA User or Contractor:</t>
        </r>
        <r>
          <rPr>
            <sz val="9"/>
            <color indexed="81"/>
            <rFont val="Tahoma"/>
            <family val="2"/>
          </rPr>
          <t xml:space="preserve">
No coordinates recorded</t>
        </r>
      </text>
    </comment>
    <comment ref="O180" authorId="2" shapeId="0" xr:uid="{00000000-0006-0000-0000-0000DE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181" authorId="1" shapeId="0" xr:uid="{00000000-0006-0000-0000-0000DF020000}">
      <text>
        <r>
          <rPr>
            <b/>
            <sz val="9"/>
            <color indexed="81"/>
            <rFont val="Tahoma"/>
            <charset val="1"/>
          </rPr>
          <t>Beaulieu, Jake:</t>
        </r>
        <r>
          <rPr>
            <sz val="9"/>
            <color indexed="81"/>
            <rFont val="Tahoma"/>
            <charset val="1"/>
          </rPr>
          <t xml:space="preserve">
wacky voltage time series.  Not comfortable using data for rate calculatation, but can still report retrieval date.time.
Voltage drops off massively from about 1ish to 0ish on 11/24. Should I use the last time before the drop in voltage or should I use the actual time the trap data was collected?
-KB 12/1/2015</t>
        </r>
      </text>
    </comment>
    <comment ref="D181" authorId="2" shapeId="0" xr:uid="{00000000-0006-0000-0000-0000E0020000}">
      <text>
        <r>
          <rPr>
            <b/>
            <sz val="9"/>
            <color indexed="81"/>
            <rFont val="Tahoma"/>
            <charset val="1"/>
          </rPr>
          <t>U.S. EPA User or Contractor:</t>
        </r>
        <r>
          <rPr>
            <sz val="9"/>
            <color indexed="81"/>
            <rFont val="Tahoma"/>
            <charset val="1"/>
          </rPr>
          <t xml:space="preserve">
Voltage is extremely strange.</t>
        </r>
      </text>
    </comment>
    <comment ref="E181" authorId="1" shapeId="0" xr:uid="{00000000-0006-0000-0000-0000E1020000}">
      <text>
        <r>
          <rPr>
            <b/>
            <sz val="9"/>
            <color indexed="81"/>
            <rFont val="Tahoma"/>
            <charset val="1"/>
          </rPr>
          <t>Beaulieu, Jake:</t>
        </r>
        <r>
          <rPr>
            <sz val="9"/>
            <color indexed="81"/>
            <rFont val="Tahoma"/>
            <charset val="1"/>
          </rPr>
          <t xml:space="preserve">
wacky voltage time series.  Not comfortable using data for rate calculatation, but can still report retrieval date.time.
Voltage drops off massively from about 1ish to 0ish on 11/24. Should I use the last time before the drop in voltage or should I use the actual time the trap data was collected?
-KB 12/1/2015</t>
        </r>
      </text>
    </comment>
    <comment ref="C182" authorId="2" shapeId="0" xr:uid="{00000000-0006-0000-0000-0000E3010000}">
      <text>
        <r>
          <rPr>
            <b/>
            <sz val="9"/>
            <color indexed="81"/>
            <rFont val="Tahoma"/>
            <charset val="1"/>
          </rPr>
          <t>U.S. EPA User or Contractor:</t>
        </r>
        <r>
          <rPr>
            <sz val="9"/>
            <color indexed="81"/>
            <rFont val="Tahoma"/>
            <charset val="1"/>
          </rPr>
          <t xml:space="preserve">
This time was taken from "Time Trap Released on Bouy" on page 251 of field sheet
Circuit data was bad.  Could not use to calculate gas volume.  No entry in sensorCalcs worksheet.</t>
        </r>
      </text>
    </comment>
    <comment ref="O182" authorId="2" shapeId="0" xr:uid="{00000000-0006-0000-0000-0000E4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183" authorId="2" shapeId="0" xr:uid="{00000000-0006-0000-0000-0000E5010000}">
      <text>
        <r>
          <rPr>
            <b/>
            <sz val="9"/>
            <color indexed="81"/>
            <rFont val="Tahoma"/>
            <family val="2"/>
          </rPr>
          <t>U.S. EPA User or Contractor:</t>
        </r>
        <r>
          <rPr>
            <sz val="9"/>
            <color indexed="81"/>
            <rFont val="Tahoma"/>
            <family val="2"/>
          </rPr>
          <t xml:space="preserve">
This time was taken from "Time Trap Released on Bouy" on page 250 of field sheet</t>
        </r>
      </text>
    </comment>
    <comment ref="O183" authorId="2" shapeId="0" xr:uid="{00000000-0006-0000-0000-0000E6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F184" authorId="2" shapeId="0" xr:uid="{00000000-0006-0000-0000-00005E000000}">
      <text>
        <r>
          <rPr>
            <b/>
            <sz val="9"/>
            <color indexed="81"/>
            <rFont val="Tahoma"/>
            <family val="2"/>
          </rPr>
          <t>U.S. EPA User or Contractor:</t>
        </r>
        <r>
          <rPr>
            <sz val="9"/>
            <color indexed="81"/>
            <rFont val="Tahoma"/>
            <family val="2"/>
          </rPr>
          <t xml:space="preserve">
No coordinates recorded</t>
        </r>
      </text>
    </comment>
    <comment ref="G184" authorId="2" shapeId="0" xr:uid="{00000000-0006-0000-0000-00005F000000}">
      <text>
        <r>
          <rPr>
            <b/>
            <sz val="9"/>
            <color indexed="81"/>
            <rFont val="Tahoma"/>
            <family val="2"/>
          </rPr>
          <t>U.S. EPA User or Contractor:</t>
        </r>
        <r>
          <rPr>
            <sz val="9"/>
            <color indexed="81"/>
            <rFont val="Tahoma"/>
            <family val="2"/>
          </rPr>
          <t xml:space="preserve">
No coordinates recorded</t>
        </r>
      </text>
    </comment>
    <comment ref="I184" authorId="1" shapeId="0" xr:uid="{00000000-0006-0000-0000-000060000000}">
      <text>
        <r>
          <rPr>
            <b/>
            <sz val="9"/>
            <color indexed="81"/>
            <rFont val="Tahoma"/>
            <charset val="1"/>
          </rPr>
          <t>Beaulieu, Jake:</t>
        </r>
        <r>
          <rPr>
            <sz val="9"/>
            <color indexed="81"/>
            <rFont val="Tahoma"/>
            <charset val="1"/>
          </rPr>
          <t xml:space="preserve">
Not needed for active trap deployments</t>
        </r>
      </text>
    </comment>
    <comment ref="O184" authorId="2" shapeId="0" xr:uid="{00000000-0006-0000-0000-00006100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185" authorId="1" shapeId="0" xr:uid="{00000000-0006-0000-0000-0000E9010000}">
      <text>
        <r>
          <rPr>
            <b/>
            <sz val="9"/>
            <color indexed="81"/>
            <rFont val="Tahoma"/>
            <charset val="1"/>
          </rPr>
          <t>Beaulieu, Jake:</t>
        </r>
        <r>
          <rPr>
            <sz val="9"/>
            <color indexed="81"/>
            <rFont val="Tahoma"/>
            <charset val="1"/>
          </rPr>
          <t xml:space="preserve">
Assumed deployment time is the retrieval time from last deployment, + 15 minutes.</t>
        </r>
      </text>
    </comment>
    <comment ref="F185" authorId="2" shapeId="0" xr:uid="{00000000-0006-0000-0000-0000EA010000}">
      <text>
        <r>
          <rPr>
            <b/>
            <sz val="9"/>
            <color indexed="81"/>
            <rFont val="Tahoma"/>
            <family val="2"/>
          </rPr>
          <t>U.S. EPA User or Contractor:</t>
        </r>
        <r>
          <rPr>
            <sz val="9"/>
            <color indexed="81"/>
            <rFont val="Tahoma"/>
            <family val="2"/>
          </rPr>
          <t xml:space="preserve">
No coordinates given</t>
        </r>
      </text>
    </comment>
    <comment ref="G185" authorId="2" shapeId="0" xr:uid="{00000000-0006-0000-0000-0000EB010000}">
      <text>
        <r>
          <rPr>
            <b/>
            <sz val="9"/>
            <color indexed="81"/>
            <rFont val="Tahoma"/>
            <family val="2"/>
          </rPr>
          <t>U.S. EPA User or Contractor:</t>
        </r>
        <r>
          <rPr>
            <sz val="9"/>
            <color indexed="81"/>
            <rFont val="Tahoma"/>
            <family val="2"/>
          </rPr>
          <t xml:space="preserve">
No coordinates given</t>
        </r>
      </text>
    </comment>
    <comment ref="O185" authorId="2" shapeId="0" xr:uid="{00000000-0006-0000-0000-0000EC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186" authorId="1" shapeId="0" xr:uid="{00000000-0006-0000-0000-0000ED010000}">
      <text>
        <r>
          <rPr>
            <b/>
            <sz val="9"/>
            <color indexed="81"/>
            <rFont val="Tahoma"/>
            <charset val="1"/>
          </rPr>
          <t>Beaulieu, Jake:</t>
        </r>
        <r>
          <rPr>
            <sz val="9"/>
            <color indexed="81"/>
            <rFont val="Tahoma"/>
            <charset val="1"/>
          </rPr>
          <t xml:space="preserve">
Assumed deployment time is the retrieval time from last deployment, + 15 minutes.</t>
        </r>
      </text>
    </comment>
    <comment ref="F186" authorId="2" shapeId="0" xr:uid="{00000000-0006-0000-0000-0000EE010000}">
      <text>
        <r>
          <rPr>
            <b/>
            <sz val="9"/>
            <color indexed="81"/>
            <rFont val="Tahoma"/>
            <family val="2"/>
          </rPr>
          <t>U.S. EPA User or Contractor:</t>
        </r>
        <r>
          <rPr>
            <sz val="9"/>
            <color indexed="81"/>
            <rFont val="Tahoma"/>
            <family val="2"/>
          </rPr>
          <t xml:space="preserve">
No coordinates recorded</t>
        </r>
      </text>
    </comment>
    <comment ref="G186" authorId="2" shapeId="0" xr:uid="{00000000-0006-0000-0000-0000EF010000}">
      <text>
        <r>
          <rPr>
            <b/>
            <sz val="9"/>
            <color indexed="81"/>
            <rFont val="Tahoma"/>
            <family val="2"/>
          </rPr>
          <t>U.S. EPA User or Contractor:</t>
        </r>
        <r>
          <rPr>
            <sz val="9"/>
            <color indexed="81"/>
            <rFont val="Tahoma"/>
            <family val="2"/>
          </rPr>
          <t xml:space="preserve">
No coordinates recorded</t>
        </r>
      </text>
    </comment>
    <comment ref="O186" authorId="2" shapeId="0" xr:uid="{00000000-0006-0000-0000-0000F0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187" authorId="2" shapeId="0" xr:uid="{00000000-0006-0000-0000-00007E020000}">
      <text>
        <r>
          <rPr>
            <b/>
            <sz val="9"/>
            <color indexed="81"/>
            <rFont val="Tahoma"/>
            <charset val="1"/>
          </rPr>
          <t>U.S. EPA User or Contractor:</t>
        </r>
        <r>
          <rPr>
            <sz val="9"/>
            <color indexed="81"/>
            <rFont val="Tahoma"/>
            <charset val="1"/>
          </rPr>
          <t xml:space="preserve">
Times adjusted to represent an hour earlier than electronic file times to account for the end of daylight savings.
KB 11/24/2015</t>
        </r>
      </text>
    </comment>
    <comment ref="D187" authorId="2" shapeId="0" xr:uid="{00000000-0006-0000-0000-00007F020000}">
      <text>
        <r>
          <rPr>
            <b/>
            <sz val="9"/>
            <color indexed="81"/>
            <rFont val="Tahoma"/>
            <charset val="1"/>
          </rPr>
          <t>U.S. EPA User or Contractor:</t>
        </r>
        <r>
          <rPr>
            <sz val="9"/>
            <color indexed="81"/>
            <rFont val="Tahoma"/>
            <charset val="1"/>
          </rPr>
          <t xml:space="preserve">
Times adjusted to represent an hour earlier than electronic file times to account for the end of daylight savings.
KB 11/24/2015</t>
        </r>
      </text>
    </comment>
    <comment ref="E187" authorId="2" shapeId="0" xr:uid="{00000000-0006-0000-0000-000080020000}">
      <text>
        <r>
          <rPr>
            <b/>
            <sz val="9"/>
            <color indexed="81"/>
            <rFont val="Tahoma"/>
            <charset val="1"/>
          </rPr>
          <t>U.S. EPA User or Contractor:</t>
        </r>
        <r>
          <rPr>
            <sz val="9"/>
            <color indexed="81"/>
            <rFont val="Tahoma"/>
            <charset val="1"/>
          </rPr>
          <t xml:space="preserve">
Times adjusted to represent an hour earlier than electronic file times to account for the end of daylight savings.
KB 11/24/2015</t>
        </r>
      </text>
    </comment>
    <comment ref="O187" authorId="2" shapeId="0" xr:uid="{00000000-0006-0000-0000-00008102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188" authorId="1" shapeId="0" xr:uid="{00000000-0006-0000-0000-0000F6010000}">
      <text>
        <r>
          <rPr>
            <b/>
            <sz val="9"/>
            <color indexed="81"/>
            <rFont val="Tahoma"/>
            <charset val="1"/>
          </rPr>
          <t>Beaulieu, Jake:</t>
        </r>
        <r>
          <rPr>
            <sz val="9"/>
            <color indexed="81"/>
            <rFont val="Tahoma"/>
            <charset val="1"/>
          </rPr>
          <t xml:space="preserve">
Assumed deployment time is the retrieval time from last deployment, + 15 minutes.</t>
        </r>
      </text>
    </comment>
    <comment ref="F188" authorId="2" shapeId="0" xr:uid="{00000000-0006-0000-0000-0000F7010000}">
      <text>
        <r>
          <rPr>
            <b/>
            <sz val="9"/>
            <color indexed="81"/>
            <rFont val="Tahoma"/>
            <family val="2"/>
          </rPr>
          <t>U.S. EPA User or Contractor:</t>
        </r>
        <r>
          <rPr>
            <sz val="9"/>
            <color indexed="81"/>
            <rFont val="Tahoma"/>
            <family val="2"/>
          </rPr>
          <t xml:space="preserve">
No coordinates recorded</t>
        </r>
      </text>
    </comment>
    <comment ref="G188" authorId="2" shapeId="0" xr:uid="{00000000-0006-0000-0000-0000F8010000}">
      <text>
        <r>
          <rPr>
            <b/>
            <sz val="9"/>
            <color indexed="81"/>
            <rFont val="Tahoma"/>
            <family val="2"/>
          </rPr>
          <t>U.S. EPA User or Contractor:</t>
        </r>
        <r>
          <rPr>
            <sz val="9"/>
            <color indexed="81"/>
            <rFont val="Tahoma"/>
            <family val="2"/>
          </rPr>
          <t xml:space="preserve">
No coordinates recorded</t>
        </r>
      </text>
    </comment>
    <comment ref="J188" authorId="2" shapeId="0" xr:uid="{00000000-0006-0000-0000-0000F9010000}">
      <text>
        <r>
          <rPr>
            <b/>
            <sz val="9"/>
            <color indexed="81"/>
            <rFont val="Tahoma"/>
            <family val="2"/>
          </rPr>
          <t>U.S. EPA User or Contractor:</t>
        </r>
        <r>
          <rPr>
            <sz val="9"/>
            <color indexed="81"/>
            <rFont val="Tahoma"/>
            <family val="2"/>
          </rPr>
          <t xml:space="preserve">
14.5" measured in tube before 3 syringes were pulled.
13" measured in tube after 3 syringes were pulled., calculates out to 584 mL, which is extremely close to the first measurement (14.5" = 571mL).</t>
        </r>
      </text>
    </comment>
    <comment ref="O188" authorId="2" shapeId="0" xr:uid="{00000000-0006-0000-0000-0000FA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B189" authorId="2" shapeId="0" xr:uid="{00000000-0006-0000-0000-000067020000}">
      <text>
        <r>
          <rPr>
            <b/>
            <sz val="9"/>
            <color indexed="81"/>
            <rFont val="Tahoma"/>
            <charset val="1"/>
          </rPr>
          <t>U.S. EPA User or Contractor:</t>
        </r>
        <r>
          <rPr>
            <sz val="9"/>
            <color indexed="81"/>
            <rFont val="Tahoma"/>
            <charset val="1"/>
          </rPr>
          <t xml:space="preserve">
Logger 15 was bad. It was sent to Onset who retrieved the data.</t>
        </r>
      </text>
    </comment>
    <comment ref="C190" authorId="1" shapeId="0" xr:uid="{00000000-0006-0000-0000-000000020000}">
      <text>
        <r>
          <rPr>
            <b/>
            <sz val="9"/>
            <color indexed="81"/>
            <rFont val="Tahoma"/>
            <charset val="1"/>
          </rPr>
          <t>Beaulieu, Jake:</t>
        </r>
        <r>
          <rPr>
            <sz val="9"/>
            <color indexed="81"/>
            <rFont val="Tahoma"/>
            <charset val="1"/>
          </rPr>
          <t xml:space="preserve">
Assumed deployment time is the retrieval time from last deployment, + 15 minutes.</t>
        </r>
      </text>
    </comment>
    <comment ref="F190" authorId="2" shapeId="0" xr:uid="{00000000-0006-0000-0000-000001020000}">
      <text>
        <r>
          <rPr>
            <b/>
            <sz val="9"/>
            <color indexed="81"/>
            <rFont val="Tahoma"/>
            <family val="2"/>
          </rPr>
          <t>U.S. EPA User or Contractor:</t>
        </r>
        <r>
          <rPr>
            <sz val="9"/>
            <color indexed="81"/>
            <rFont val="Tahoma"/>
            <family val="2"/>
          </rPr>
          <t xml:space="preserve">
No coordinates recorded</t>
        </r>
      </text>
    </comment>
    <comment ref="G190" authorId="2" shapeId="0" xr:uid="{00000000-0006-0000-0000-000002020000}">
      <text>
        <r>
          <rPr>
            <b/>
            <sz val="9"/>
            <color indexed="81"/>
            <rFont val="Tahoma"/>
            <family val="2"/>
          </rPr>
          <t>U.S. EPA User or Contractor:</t>
        </r>
        <r>
          <rPr>
            <sz val="9"/>
            <color indexed="81"/>
            <rFont val="Tahoma"/>
            <family val="2"/>
          </rPr>
          <t xml:space="preserve">
No coordinates recorded</t>
        </r>
      </text>
    </comment>
    <comment ref="O190" authorId="2" shapeId="0" xr:uid="{00000000-0006-0000-0000-00000302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E191" authorId="1" shapeId="0" xr:uid="{00000000-0006-0000-0000-000004020000}">
      <text>
        <r>
          <rPr>
            <b/>
            <sz val="9"/>
            <color indexed="81"/>
            <rFont val="Tahoma"/>
            <charset val="1"/>
          </rPr>
          <t>Beaulieu, Jake:</t>
        </r>
        <r>
          <rPr>
            <sz val="9"/>
            <color indexed="81"/>
            <rFont val="Tahoma"/>
            <charset val="1"/>
          </rPr>
          <t xml:space="preserve">
Not recorded in field.  Estimated as 15 minutes before logger started for active trap deployment.</t>
        </r>
      </text>
    </comment>
    <comment ref="F191" authorId="2" shapeId="0" xr:uid="{00000000-0006-0000-0000-000005020000}">
      <text>
        <r>
          <rPr>
            <b/>
            <sz val="9"/>
            <color indexed="81"/>
            <rFont val="Tahoma"/>
            <family val="2"/>
          </rPr>
          <t>U.S. EPA User or Contractor:</t>
        </r>
        <r>
          <rPr>
            <sz val="9"/>
            <color indexed="81"/>
            <rFont val="Tahoma"/>
            <family val="2"/>
          </rPr>
          <t xml:space="preserve">
No coordinates given</t>
        </r>
      </text>
    </comment>
    <comment ref="G191" authorId="2" shapeId="0" xr:uid="{00000000-0006-0000-0000-000006020000}">
      <text>
        <r>
          <rPr>
            <b/>
            <sz val="9"/>
            <color indexed="81"/>
            <rFont val="Tahoma"/>
            <family val="2"/>
          </rPr>
          <t>U.S. EPA User or Contractor:</t>
        </r>
        <r>
          <rPr>
            <sz val="9"/>
            <color indexed="81"/>
            <rFont val="Tahoma"/>
            <family val="2"/>
          </rPr>
          <t xml:space="preserve">
No coordinates given</t>
        </r>
      </text>
    </comment>
    <comment ref="O191" authorId="2" shapeId="0" xr:uid="{00000000-0006-0000-0000-00000702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F192" authorId="2" shapeId="0" xr:uid="{00000000-0006-0000-0000-000008020000}">
      <text>
        <r>
          <rPr>
            <b/>
            <sz val="9"/>
            <color indexed="81"/>
            <rFont val="Tahoma"/>
            <family val="2"/>
          </rPr>
          <t>U.S. EPA User or Contractor:</t>
        </r>
        <r>
          <rPr>
            <sz val="9"/>
            <color indexed="81"/>
            <rFont val="Tahoma"/>
            <family val="2"/>
          </rPr>
          <t xml:space="preserve">
No coordinates recorded</t>
        </r>
      </text>
    </comment>
    <comment ref="G192" authorId="2" shapeId="0" xr:uid="{00000000-0006-0000-0000-000009020000}">
      <text>
        <r>
          <rPr>
            <b/>
            <sz val="9"/>
            <color indexed="81"/>
            <rFont val="Tahoma"/>
            <family val="2"/>
          </rPr>
          <t>U.S. EPA User or Contractor:</t>
        </r>
        <r>
          <rPr>
            <sz val="9"/>
            <color indexed="81"/>
            <rFont val="Tahoma"/>
            <family val="2"/>
          </rPr>
          <t xml:space="preserve">
No coordinates recorded</t>
        </r>
      </text>
    </comment>
    <comment ref="O192" authorId="2" shapeId="0" xr:uid="{00000000-0006-0000-0000-00000A02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193" authorId="1" shapeId="0" xr:uid="{00000000-0006-0000-0000-00000B020000}">
      <text>
        <r>
          <rPr>
            <b/>
            <sz val="9"/>
            <color indexed="81"/>
            <rFont val="Tahoma"/>
            <charset val="1"/>
          </rPr>
          <t>Beaulieu, Jake:</t>
        </r>
        <r>
          <rPr>
            <sz val="9"/>
            <color indexed="81"/>
            <rFont val="Tahoma"/>
            <charset val="1"/>
          </rPr>
          <t xml:space="preserve">
Assumed deployment time is the retrieval time from last deployment, + 15 minutes.</t>
        </r>
      </text>
    </comment>
    <comment ref="F193" authorId="2" shapeId="0" xr:uid="{00000000-0006-0000-0000-00000C020000}">
      <text>
        <r>
          <rPr>
            <b/>
            <sz val="9"/>
            <color indexed="81"/>
            <rFont val="Tahoma"/>
            <family val="2"/>
          </rPr>
          <t>U.S. EPA User or Contractor:</t>
        </r>
        <r>
          <rPr>
            <sz val="9"/>
            <color indexed="81"/>
            <rFont val="Tahoma"/>
            <family val="2"/>
          </rPr>
          <t xml:space="preserve">
No coordinates given</t>
        </r>
      </text>
    </comment>
    <comment ref="G193" authorId="2" shapeId="0" xr:uid="{00000000-0006-0000-0000-00000D020000}">
      <text>
        <r>
          <rPr>
            <b/>
            <sz val="9"/>
            <color indexed="81"/>
            <rFont val="Tahoma"/>
            <family val="2"/>
          </rPr>
          <t>U.S. EPA User or Contractor:</t>
        </r>
        <r>
          <rPr>
            <sz val="9"/>
            <color indexed="81"/>
            <rFont val="Tahoma"/>
            <family val="2"/>
          </rPr>
          <t xml:space="preserve">
No coordinates given</t>
        </r>
      </text>
    </comment>
    <comment ref="O193" authorId="2" shapeId="0" xr:uid="{00000000-0006-0000-0000-00000E02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F194" authorId="2" shapeId="0" xr:uid="{00000000-0006-0000-0000-00000E010000}">
      <text>
        <r>
          <rPr>
            <b/>
            <sz val="9"/>
            <color indexed="81"/>
            <rFont val="Tahoma"/>
            <family val="2"/>
          </rPr>
          <t>U.S. EPA User or Contractor:</t>
        </r>
        <r>
          <rPr>
            <sz val="9"/>
            <color indexed="81"/>
            <rFont val="Tahoma"/>
            <family val="2"/>
          </rPr>
          <t xml:space="preserve">
No coordinates recorded</t>
        </r>
      </text>
    </comment>
    <comment ref="G194" authorId="2" shapeId="0" xr:uid="{00000000-0006-0000-0000-00000F010000}">
      <text>
        <r>
          <rPr>
            <b/>
            <sz val="9"/>
            <color indexed="81"/>
            <rFont val="Tahoma"/>
            <family val="2"/>
          </rPr>
          <t>U.S. EPA User or Contractor:</t>
        </r>
        <r>
          <rPr>
            <sz val="9"/>
            <color indexed="81"/>
            <rFont val="Tahoma"/>
            <family val="2"/>
          </rPr>
          <t xml:space="preserve">
No coordinates recorded</t>
        </r>
      </text>
    </comment>
    <comment ref="H194" authorId="2" shapeId="0" xr:uid="{00000000-0006-0000-0000-000010010000}">
      <text>
        <r>
          <rPr>
            <b/>
            <sz val="9"/>
            <color indexed="81"/>
            <rFont val="Tahoma"/>
            <family val="2"/>
          </rPr>
          <t>U.S. E
PA User or Contractor:</t>
        </r>
        <r>
          <rPr>
            <sz val="9"/>
            <color indexed="81"/>
            <rFont val="Tahoma"/>
            <family val="2"/>
          </rPr>
          <t xml:space="preserve">
Not recorded in field sheet. </t>
        </r>
      </text>
    </comment>
    <comment ref="I194" authorId="1" shapeId="0" xr:uid="{00000000-0006-0000-0000-000011010000}">
      <text>
        <r>
          <rPr>
            <b/>
            <sz val="9"/>
            <color indexed="81"/>
            <rFont val="Tahoma"/>
            <charset val="1"/>
          </rPr>
          <t>Beaulieu, Jake:</t>
        </r>
        <r>
          <rPr>
            <sz val="9"/>
            <color indexed="81"/>
            <rFont val="Tahoma"/>
            <charset val="1"/>
          </rPr>
          <t xml:space="preserve">
Not needed for active trap deployments</t>
        </r>
      </text>
    </comment>
    <comment ref="O194" authorId="2" shapeId="0" xr:uid="{00000000-0006-0000-0000-000012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O195" authorId="2" shapeId="0" xr:uid="{00000000-0006-0000-0000-00004602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196" authorId="1" shapeId="0" xr:uid="{00000000-0006-0000-0000-000017020000}">
      <text>
        <r>
          <rPr>
            <b/>
            <sz val="9"/>
            <color indexed="81"/>
            <rFont val="Tahoma"/>
            <charset val="1"/>
          </rPr>
          <t>Beaulieu, Jake:</t>
        </r>
        <r>
          <rPr>
            <sz val="9"/>
            <color indexed="81"/>
            <rFont val="Tahoma"/>
            <charset val="1"/>
          </rPr>
          <t xml:space="preserve">
Assumed deployment time is the retrieval time from last deployment, + 15 minutes.</t>
        </r>
      </text>
    </comment>
    <comment ref="F196" authorId="2" shapeId="0" xr:uid="{00000000-0006-0000-0000-000018020000}">
      <text>
        <r>
          <rPr>
            <b/>
            <sz val="9"/>
            <color indexed="81"/>
            <rFont val="Tahoma"/>
            <family val="2"/>
          </rPr>
          <t>U.S. EPA User or Contractor:</t>
        </r>
        <r>
          <rPr>
            <sz val="9"/>
            <color indexed="81"/>
            <rFont val="Tahoma"/>
            <family val="2"/>
          </rPr>
          <t xml:space="preserve">
No coordinates recorded</t>
        </r>
      </text>
    </comment>
    <comment ref="G196" authorId="2" shapeId="0" xr:uid="{00000000-0006-0000-0000-000019020000}">
      <text>
        <r>
          <rPr>
            <b/>
            <sz val="9"/>
            <color indexed="81"/>
            <rFont val="Tahoma"/>
            <family val="2"/>
          </rPr>
          <t>U.S. EPA User or Contractor:</t>
        </r>
        <r>
          <rPr>
            <sz val="9"/>
            <color indexed="81"/>
            <rFont val="Tahoma"/>
            <family val="2"/>
          </rPr>
          <t xml:space="preserve">
No coordinates recorded</t>
        </r>
      </text>
    </comment>
    <comment ref="O196" authorId="2" shapeId="0" xr:uid="{00000000-0006-0000-0000-00001A02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197" authorId="1" shapeId="0" xr:uid="{00000000-0006-0000-0000-00001B020000}">
      <text>
        <r>
          <rPr>
            <b/>
            <sz val="9"/>
            <color indexed="81"/>
            <rFont val="Tahoma"/>
            <charset val="1"/>
          </rPr>
          <t>Beaulieu, Jake:</t>
        </r>
        <r>
          <rPr>
            <sz val="9"/>
            <color indexed="81"/>
            <rFont val="Tahoma"/>
            <charset val="1"/>
          </rPr>
          <t xml:space="preserve">
Recorded as "Time Trap Released Onto Buoy" on datasheet (pg. 260).</t>
        </r>
      </text>
    </comment>
    <comment ref="E197" authorId="1" shapeId="0" xr:uid="{00000000-0006-0000-0000-00001C020000}">
      <text>
        <r>
          <rPr>
            <b/>
            <sz val="9"/>
            <color indexed="81"/>
            <rFont val="Tahoma"/>
            <charset val="1"/>
          </rPr>
          <t>Beaulieu, Jake:</t>
        </r>
        <r>
          <rPr>
            <sz val="9"/>
            <color indexed="81"/>
            <rFont val="Tahoma"/>
            <charset val="1"/>
          </rPr>
          <t xml:space="preserve">
assumed 15 minutes prior to logger start time for next deployment</t>
        </r>
      </text>
    </comment>
    <comment ref="F197" authorId="2" shapeId="0" xr:uid="{00000000-0006-0000-0000-00001D020000}">
      <text>
        <r>
          <rPr>
            <b/>
            <sz val="9"/>
            <color indexed="81"/>
            <rFont val="Tahoma"/>
            <family val="2"/>
          </rPr>
          <t>U.S. EPA User or Contractor:</t>
        </r>
        <r>
          <rPr>
            <sz val="9"/>
            <color indexed="81"/>
            <rFont val="Tahoma"/>
            <family val="2"/>
          </rPr>
          <t xml:space="preserve">
No coordinates given</t>
        </r>
      </text>
    </comment>
    <comment ref="G197" authorId="2" shapeId="0" xr:uid="{00000000-0006-0000-0000-00001E020000}">
      <text>
        <r>
          <rPr>
            <b/>
            <sz val="9"/>
            <color indexed="81"/>
            <rFont val="Tahoma"/>
            <family val="2"/>
          </rPr>
          <t>U.S. EPA User or Contractor:</t>
        </r>
        <r>
          <rPr>
            <sz val="9"/>
            <color indexed="81"/>
            <rFont val="Tahoma"/>
            <family val="2"/>
          </rPr>
          <t xml:space="preserve">
No coordinates given</t>
        </r>
      </text>
    </comment>
    <comment ref="I197" authorId="1" shapeId="0" xr:uid="{00000000-0006-0000-0000-00001F020000}">
      <text>
        <r>
          <rPr>
            <b/>
            <sz val="9"/>
            <color indexed="81"/>
            <rFont val="Tahoma"/>
            <charset val="1"/>
          </rPr>
          <t>Beaulieu, Jake:</t>
        </r>
        <r>
          <rPr>
            <sz val="9"/>
            <color indexed="81"/>
            <rFont val="Tahoma"/>
            <charset val="1"/>
          </rPr>
          <t xml:space="preserve">
Taken from logger data for this deployment date.  Grabbed first stable value, which wasn't recorded until 12:06pm.</t>
        </r>
      </text>
    </comment>
    <comment ref="O197" authorId="2" shapeId="0" xr:uid="{00000000-0006-0000-0000-00002002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F198" authorId="2" shapeId="0" xr:uid="{00000000-0006-0000-0000-000021020000}">
      <text>
        <r>
          <rPr>
            <b/>
            <sz val="9"/>
            <color indexed="81"/>
            <rFont val="Tahoma"/>
            <family val="2"/>
          </rPr>
          <t>U.S. EPA User or Contractor:</t>
        </r>
        <r>
          <rPr>
            <sz val="9"/>
            <color indexed="81"/>
            <rFont val="Tahoma"/>
            <family val="2"/>
          </rPr>
          <t xml:space="preserve">
No coordinates recorded</t>
        </r>
      </text>
    </comment>
    <comment ref="G198" authorId="2" shapeId="0" xr:uid="{00000000-0006-0000-0000-000022020000}">
      <text>
        <r>
          <rPr>
            <b/>
            <sz val="9"/>
            <color indexed="81"/>
            <rFont val="Tahoma"/>
            <family val="2"/>
          </rPr>
          <t>U.S. EPA User or Contractor:</t>
        </r>
        <r>
          <rPr>
            <sz val="9"/>
            <color indexed="81"/>
            <rFont val="Tahoma"/>
            <family val="2"/>
          </rPr>
          <t xml:space="preserve">
No coordinates recorded</t>
        </r>
      </text>
    </comment>
    <comment ref="O198" authorId="2" shapeId="0" xr:uid="{00000000-0006-0000-0000-00002302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E199" authorId="1" shapeId="0" xr:uid="{00000000-0006-0000-0000-000072000000}">
      <text>
        <r>
          <rPr>
            <b/>
            <sz val="9"/>
            <color indexed="81"/>
            <rFont val="Tahoma"/>
            <family val="2"/>
          </rPr>
          <t>Beaulieu, Jake:</t>
        </r>
        <r>
          <rPr>
            <sz val="9"/>
            <color indexed="81"/>
            <rFont val="Tahoma"/>
            <family val="2"/>
          </rPr>
          <t xml:space="preserve">
gas collected from trap, but file not downloaded.  File downloaded on 7/6/15.  Data from the first portion of the file used in the calculations here.  Data from the second used in the EMB 7/01 deployment date calcs.</t>
        </r>
      </text>
    </comment>
    <comment ref="F199" authorId="2" shapeId="0" xr:uid="{00000000-0006-0000-0000-000073000000}">
      <text>
        <r>
          <rPr>
            <b/>
            <sz val="9"/>
            <color indexed="81"/>
            <rFont val="Tahoma"/>
            <family val="2"/>
          </rPr>
          <t>U.S. EPA User or Contractor:</t>
        </r>
        <r>
          <rPr>
            <sz val="9"/>
            <color indexed="81"/>
            <rFont val="Tahoma"/>
            <family val="2"/>
          </rPr>
          <t xml:space="preserve">
No coordinates recorded</t>
        </r>
      </text>
    </comment>
    <comment ref="G199" authorId="2" shapeId="0" xr:uid="{00000000-0006-0000-0000-000074000000}">
      <text>
        <r>
          <rPr>
            <b/>
            <sz val="9"/>
            <color indexed="81"/>
            <rFont val="Tahoma"/>
            <family val="2"/>
          </rPr>
          <t>U.S. EPA User or Contractor:</t>
        </r>
        <r>
          <rPr>
            <sz val="9"/>
            <color indexed="81"/>
            <rFont val="Tahoma"/>
            <family val="2"/>
          </rPr>
          <t xml:space="preserve">
No coordinates recorded</t>
        </r>
      </text>
    </comment>
    <comment ref="I199" authorId="1" shapeId="0" xr:uid="{00000000-0006-0000-0000-000075000000}">
      <text>
        <r>
          <rPr>
            <b/>
            <sz val="9"/>
            <color indexed="81"/>
            <rFont val="Tahoma"/>
            <charset val="1"/>
          </rPr>
          <t>Beaulieu, Jake:</t>
        </r>
        <r>
          <rPr>
            <sz val="9"/>
            <color indexed="81"/>
            <rFont val="Tahoma"/>
            <charset val="1"/>
          </rPr>
          <t xml:space="preserve">
Not needed for active trap deployments</t>
        </r>
      </text>
    </comment>
    <comment ref="C200" authorId="1" shapeId="0" xr:uid="{00000000-0006-0000-0000-000028020000}">
      <text>
        <r>
          <rPr>
            <b/>
            <sz val="9"/>
            <color indexed="81"/>
            <rFont val="Tahoma"/>
            <charset val="1"/>
          </rPr>
          <t>Beaulieu, Jake:</t>
        </r>
        <r>
          <rPr>
            <sz val="9"/>
            <color indexed="81"/>
            <rFont val="Tahoma"/>
            <charset val="1"/>
          </rPr>
          <t xml:space="preserve">
Assumed deployment time is the retrieval time from last deployment, + 15 minutes.</t>
        </r>
      </text>
    </comment>
    <comment ref="E200" authorId="1" shapeId="0" xr:uid="{00000000-0006-0000-0000-000029020000}">
      <text>
        <r>
          <rPr>
            <b/>
            <sz val="9"/>
            <color indexed="81"/>
            <rFont val="Tahoma"/>
            <charset val="1"/>
          </rPr>
          <t>Beaulieu, Jake:</t>
        </r>
        <r>
          <rPr>
            <sz val="9"/>
            <color indexed="81"/>
            <rFont val="Tahoma"/>
            <charset val="1"/>
          </rPr>
          <t xml:space="preserve">
assumed 15 minutes prior to logger start time for next deployment</t>
        </r>
      </text>
    </comment>
    <comment ref="F200" authorId="2" shapeId="0" xr:uid="{00000000-0006-0000-0000-00002A020000}">
      <text>
        <r>
          <rPr>
            <b/>
            <sz val="9"/>
            <color indexed="81"/>
            <rFont val="Tahoma"/>
            <family val="2"/>
          </rPr>
          <t>U.S. EPA User or Contractor:</t>
        </r>
        <r>
          <rPr>
            <sz val="9"/>
            <color indexed="81"/>
            <rFont val="Tahoma"/>
            <family val="2"/>
          </rPr>
          <t xml:space="preserve">
No coordinates recorded</t>
        </r>
      </text>
    </comment>
    <comment ref="G200" authorId="2" shapeId="0" xr:uid="{00000000-0006-0000-0000-00002B020000}">
      <text>
        <r>
          <rPr>
            <b/>
            <sz val="9"/>
            <color indexed="81"/>
            <rFont val="Tahoma"/>
            <family val="2"/>
          </rPr>
          <t>U.S. EPA User or Contractor:</t>
        </r>
        <r>
          <rPr>
            <sz val="9"/>
            <color indexed="81"/>
            <rFont val="Tahoma"/>
            <family val="2"/>
          </rPr>
          <t xml:space="preserve">
No coordinates recorded</t>
        </r>
      </text>
    </comment>
    <comment ref="I200" authorId="1" shapeId="0" xr:uid="{00000000-0006-0000-0000-00002C020000}">
      <text>
        <r>
          <rPr>
            <b/>
            <sz val="9"/>
            <color indexed="81"/>
            <rFont val="Tahoma"/>
            <charset val="1"/>
          </rPr>
          <t>Beaulieu, Jake:</t>
        </r>
        <r>
          <rPr>
            <sz val="9"/>
            <color indexed="81"/>
            <rFont val="Tahoma"/>
            <charset val="1"/>
          </rPr>
          <t xml:space="preserve">
Taken from logger data for this deployment date.  Grabbed first stable value, which wasn't recorded until 11:13am.</t>
        </r>
      </text>
    </comment>
    <comment ref="O200" authorId="2" shapeId="0" xr:uid="{00000000-0006-0000-0000-00002D02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F201" authorId="2" shapeId="0" xr:uid="{00000000-0006-0000-0000-00002E020000}">
      <text>
        <r>
          <rPr>
            <b/>
            <sz val="9"/>
            <color indexed="81"/>
            <rFont val="Tahoma"/>
            <family val="2"/>
          </rPr>
          <t>U.S. EPA User or Contractor:</t>
        </r>
        <r>
          <rPr>
            <sz val="9"/>
            <color indexed="81"/>
            <rFont val="Tahoma"/>
            <family val="2"/>
          </rPr>
          <t xml:space="preserve">
No coordinates given</t>
        </r>
      </text>
    </comment>
    <comment ref="G201" authorId="2" shapeId="0" xr:uid="{00000000-0006-0000-0000-00002F020000}">
      <text>
        <r>
          <rPr>
            <b/>
            <sz val="9"/>
            <color indexed="81"/>
            <rFont val="Tahoma"/>
            <family val="2"/>
          </rPr>
          <t>U.S. EPA User or Contractor:</t>
        </r>
        <r>
          <rPr>
            <sz val="9"/>
            <color indexed="81"/>
            <rFont val="Tahoma"/>
            <family val="2"/>
          </rPr>
          <t xml:space="preserve">
No coordinates given</t>
        </r>
      </text>
    </comment>
    <comment ref="O201" authorId="2" shapeId="0" xr:uid="{00000000-0006-0000-0000-00003002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F202" authorId="2" shapeId="0" xr:uid="{00000000-0006-0000-0000-000022010000}">
      <text>
        <r>
          <rPr>
            <b/>
            <sz val="9"/>
            <color indexed="81"/>
            <rFont val="Tahoma"/>
            <family val="2"/>
          </rPr>
          <t>U.S. EPA User or Contractor:</t>
        </r>
        <r>
          <rPr>
            <sz val="9"/>
            <color indexed="81"/>
            <rFont val="Tahoma"/>
            <family val="2"/>
          </rPr>
          <t xml:space="preserve">
No coordinates recorded</t>
        </r>
      </text>
    </comment>
    <comment ref="G202" authorId="2" shapeId="0" xr:uid="{00000000-0006-0000-0000-000023010000}">
      <text>
        <r>
          <rPr>
            <b/>
            <sz val="9"/>
            <color indexed="81"/>
            <rFont val="Tahoma"/>
            <family val="2"/>
          </rPr>
          <t>U.S. EPA User or Contractor:</t>
        </r>
        <r>
          <rPr>
            <sz val="9"/>
            <color indexed="81"/>
            <rFont val="Tahoma"/>
            <family val="2"/>
          </rPr>
          <t xml:space="preserve">
No coordinates recorded</t>
        </r>
      </text>
    </comment>
    <comment ref="O202" authorId="2" shapeId="0" xr:uid="{00000000-0006-0000-0000-000024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203" authorId="1" shapeId="0" xr:uid="{00000000-0006-0000-0000-000036020000}">
      <text>
        <r>
          <rPr>
            <b/>
            <sz val="9"/>
            <color indexed="81"/>
            <rFont val="Tahoma"/>
            <charset val="1"/>
          </rPr>
          <t>Beaulieu, Jake:</t>
        </r>
        <r>
          <rPr>
            <sz val="9"/>
            <color indexed="81"/>
            <rFont val="Tahoma"/>
            <charset val="1"/>
          </rPr>
          <t xml:space="preserve">
Assumed deployment time is the retrieval time from last deployment, + 15 minutes.</t>
        </r>
      </text>
    </comment>
    <comment ref="E203" authorId="1" shapeId="0" xr:uid="{00000000-0006-0000-0000-000037020000}">
      <text>
        <r>
          <rPr>
            <b/>
            <sz val="9"/>
            <color indexed="81"/>
            <rFont val="Tahoma"/>
            <charset val="1"/>
          </rPr>
          <t>Beaulieu, Jake:</t>
        </r>
        <r>
          <rPr>
            <sz val="9"/>
            <color indexed="81"/>
            <rFont val="Tahoma"/>
            <charset val="1"/>
          </rPr>
          <t xml:space="preserve">
assumed 15 minutes prior to logger start time for next deployment</t>
        </r>
      </text>
    </comment>
    <comment ref="F203" authorId="2" shapeId="0" xr:uid="{00000000-0006-0000-0000-000038020000}">
      <text>
        <r>
          <rPr>
            <b/>
            <sz val="9"/>
            <color indexed="81"/>
            <rFont val="Tahoma"/>
            <family val="2"/>
          </rPr>
          <t>U.S. EPA User or Contractor:</t>
        </r>
        <r>
          <rPr>
            <sz val="9"/>
            <color indexed="81"/>
            <rFont val="Tahoma"/>
            <family val="2"/>
          </rPr>
          <t xml:space="preserve">
No coordinates given</t>
        </r>
      </text>
    </comment>
    <comment ref="G203" authorId="2" shapeId="0" xr:uid="{00000000-0006-0000-0000-000039020000}">
      <text>
        <r>
          <rPr>
            <b/>
            <sz val="9"/>
            <color indexed="81"/>
            <rFont val="Tahoma"/>
            <family val="2"/>
          </rPr>
          <t>U.S. EPA User or Contractor:</t>
        </r>
        <r>
          <rPr>
            <sz val="9"/>
            <color indexed="81"/>
            <rFont val="Tahoma"/>
            <family val="2"/>
          </rPr>
          <t xml:space="preserve">
No coordinates given</t>
        </r>
      </text>
    </comment>
    <comment ref="J203" authorId="2" shapeId="0" xr:uid="{00000000-0006-0000-0000-00003A020000}">
      <text>
        <r>
          <rPr>
            <b/>
            <sz val="9"/>
            <color indexed="81"/>
            <rFont val="Tahoma"/>
            <family val="2"/>
          </rPr>
          <t>U.S. EPA User or Contractor:</t>
        </r>
        <r>
          <rPr>
            <sz val="9"/>
            <color indexed="81"/>
            <rFont val="Tahoma"/>
            <family val="2"/>
          </rPr>
          <t xml:space="preserve">
25.25" gas recorded in tube</t>
        </r>
      </text>
    </comment>
    <comment ref="O203" authorId="2" shapeId="0" xr:uid="{00000000-0006-0000-0000-00003B02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I204" authorId="1" shapeId="0" xr:uid="{00000000-0006-0000-0000-0000F1000000}">
      <text>
        <r>
          <rPr>
            <b/>
            <sz val="9"/>
            <color indexed="81"/>
            <rFont val="Tahoma"/>
            <charset val="1"/>
          </rPr>
          <t>Beaulieu, Jake:</t>
        </r>
        <r>
          <rPr>
            <sz val="9"/>
            <color indexed="81"/>
            <rFont val="Tahoma"/>
            <charset val="1"/>
          </rPr>
          <t xml:space="preserve">
Not needed for active trap deployments</t>
        </r>
      </text>
    </comment>
    <comment ref="F205" authorId="2" shapeId="0" xr:uid="{00000000-0006-0000-0000-000040020000}">
      <text>
        <r>
          <rPr>
            <b/>
            <sz val="9"/>
            <color indexed="81"/>
            <rFont val="Tahoma"/>
            <family val="2"/>
          </rPr>
          <t>U.S. EPA User or Contractor:</t>
        </r>
        <r>
          <rPr>
            <sz val="9"/>
            <color indexed="81"/>
            <rFont val="Tahoma"/>
            <family val="2"/>
          </rPr>
          <t xml:space="preserve">
No coordinates given</t>
        </r>
      </text>
    </comment>
    <comment ref="G205" authorId="2" shapeId="0" xr:uid="{00000000-0006-0000-0000-000041020000}">
      <text>
        <r>
          <rPr>
            <b/>
            <sz val="9"/>
            <color indexed="81"/>
            <rFont val="Tahoma"/>
            <family val="2"/>
          </rPr>
          <t>U.S. EPA User or Contractor:</t>
        </r>
        <r>
          <rPr>
            <sz val="9"/>
            <color indexed="81"/>
            <rFont val="Tahoma"/>
            <family val="2"/>
          </rPr>
          <t xml:space="preserve">
No coordinates given</t>
        </r>
      </text>
    </comment>
    <comment ref="O205" authorId="2" shapeId="0" xr:uid="{00000000-0006-0000-0000-00004202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F206" authorId="2" shapeId="0" xr:uid="{00000000-0006-0000-0000-000043020000}">
      <text>
        <r>
          <rPr>
            <b/>
            <sz val="9"/>
            <color indexed="81"/>
            <rFont val="Tahoma"/>
            <family val="2"/>
          </rPr>
          <t>U.S. EPA User or Contractor:</t>
        </r>
        <r>
          <rPr>
            <sz val="9"/>
            <color indexed="81"/>
            <rFont val="Tahoma"/>
            <family val="2"/>
          </rPr>
          <t xml:space="preserve">
No coordinates recorded</t>
        </r>
      </text>
    </comment>
    <comment ref="G206" authorId="2" shapeId="0" xr:uid="{00000000-0006-0000-0000-000044020000}">
      <text>
        <r>
          <rPr>
            <b/>
            <sz val="9"/>
            <color indexed="81"/>
            <rFont val="Tahoma"/>
            <family val="2"/>
          </rPr>
          <t>U.S. EPA User or Contractor:</t>
        </r>
        <r>
          <rPr>
            <sz val="9"/>
            <color indexed="81"/>
            <rFont val="Tahoma"/>
            <family val="2"/>
          </rPr>
          <t xml:space="preserve">
No coordinates recorded</t>
        </r>
      </text>
    </comment>
    <comment ref="O206" authorId="2" shapeId="0" xr:uid="{00000000-0006-0000-0000-00004502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F207" authorId="2" shapeId="0" xr:uid="{00000000-0006-0000-0000-00002F000000}">
      <text>
        <r>
          <rPr>
            <b/>
            <sz val="9"/>
            <color indexed="81"/>
            <rFont val="Tahoma"/>
            <family val="2"/>
          </rPr>
          <t>U.S. EPA User or Contractor:</t>
        </r>
        <r>
          <rPr>
            <sz val="9"/>
            <color indexed="81"/>
            <rFont val="Tahoma"/>
            <family val="2"/>
          </rPr>
          <t xml:space="preserve">
No coordinates recorded</t>
        </r>
      </text>
    </comment>
    <comment ref="G207" authorId="2" shapeId="0" xr:uid="{00000000-0006-0000-0000-000030000000}">
      <text>
        <r>
          <rPr>
            <b/>
            <sz val="9"/>
            <color indexed="81"/>
            <rFont val="Tahoma"/>
            <family val="2"/>
          </rPr>
          <t>U.S. EPA User or Contractor:</t>
        </r>
        <r>
          <rPr>
            <sz val="9"/>
            <color indexed="81"/>
            <rFont val="Tahoma"/>
            <family val="2"/>
          </rPr>
          <t xml:space="preserve">
No coordinates recorded</t>
        </r>
      </text>
    </comment>
    <comment ref="I207" authorId="1" shapeId="0" xr:uid="{00000000-0006-0000-0000-000031000000}">
      <text>
        <r>
          <rPr>
            <b/>
            <sz val="9"/>
            <color indexed="81"/>
            <rFont val="Tahoma"/>
            <charset val="1"/>
          </rPr>
          <t>Beaulieu, Jake:</t>
        </r>
        <r>
          <rPr>
            <sz val="9"/>
            <color indexed="81"/>
            <rFont val="Tahoma"/>
            <charset val="1"/>
          </rPr>
          <t xml:space="preserve">
Not needed for active trap deployments</t>
        </r>
      </text>
    </comment>
    <comment ref="O207" authorId="2" shapeId="0" xr:uid="{00000000-0006-0000-0000-00003200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O208" authorId="2" shapeId="0" xr:uid="{00000000-0006-0000-0000-00004702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209" authorId="1" shapeId="0" xr:uid="{00000000-0006-0000-0000-000066010000}">
      <text>
        <r>
          <rPr>
            <b/>
            <sz val="9"/>
            <color indexed="81"/>
            <rFont val="Tahoma"/>
            <charset val="1"/>
          </rPr>
          <t>Beaulieu, Jake:</t>
        </r>
        <r>
          <rPr>
            <sz val="9"/>
            <color indexed="81"/>
            <rFont val="Tahoma"/>
            <charset val="1"/>
          </rPr>
          <t xml:space="preserve">
Assumed deployment time is the retrieval time from last deployment, + 15 minutes.</t>
        </r>
      </text>
    </comment>
    <comment ref="F209" authorId="2" shapeId="0" xr:uid="{00000000-0006-0000-0000-000067010000}">
      <text>
        <r>
          <rPr>
            <b/>
            <sz val="9"/>
            <color indexed="81"/>
            <rFont val="Tahoma"/>
            <family val="2"/>
          </rPr>
          <t>U.S. EPA User or Contractor:</t>
        </r>
        <r>
          <rPr>
            <sz val="9"/>
            <color indexed="81"/>
            <rFont val="Tahoma"/>
            <family val="2"/>
          </rPr>
          <t xml:space="preserve">
No coordinates recorded</t>
        </r>
      </text>
    </comment>
    <comment ref="G209" authorId="2" shapeId="0" xr:uid="{00000000-0006-0000-0000-000068010000}">
      <text>
        <r>
          <rPr>
            <b/>
            <sz val="9"/>
            <color indexed="81"/>
            <rFont val="Tahoma"/>
            <family val="2"/>
          </rPr>
          <t>U.S. EPA User or Contractor:</t>
        </r>
        <r>
          <rPr>
            <sz val="9"/>
            <color indexed="81"/>
            <rFont val="Tahoma"/>
            <family val="2"/>
          </rPr>
          <t xml:space="preserve">
No coordinates recorded</t>
        </r>
      </text>
    </comment>
    <comment ref="O209" authorId="2" shapeId="0" xr:uid="{00000000-0006-0000-0000-000069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O210" authorId="2" shapeId="0" xr:uid="{00000000-0006-0000-0000-00005102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O211" authorId="2" shapeId="0" xr:uid="{00000000-0006-0000-0000-00005202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F213" authorId="2" shapeId="0" xr:uid="{00000000-0006-0000-0000-00008A000000}">
      <text>
        <r>
          <rPr>
            <b/>
            <sz val="9"/>
            <color indexed="81"/>
            <rFont val="Tahoma"/>
            <family val="2"/>
          </rPr>
          <t>U.S. EPA User or Contractor:</t>
        </r>
        <r>
          <rPr>
            <sz val="9"/>
            <color indexed="81"/>
            <rFont val="Tahoma"/>
            <family val="2"/>
          </rPr>
          <t xml:space="preserve">
No coordinates recorded</t>
        </r>
      </text>
    </comment>
    <comment ref="G213" authorId="2" shapeId="0" xr:uid="{00000000-0006-0000-0000-00008B000000}">
      <text>
        <r>
          <rPr>
            <b/>
            <sz val="9"/>
            <color indexed="81"/>
            <rFont val="Tahoma"/>
            <family val="2"/>
          </rPr>
          <t>U.S. EPA User or Contractor:</t>
        </r>
        <r>
          <rPr>
            <sz val="9"/>
            <color indexed="81"/>
            <rFont val="Tahoma"/>
            <family val="2"/>
          </rPr>
          <t xml:space="preserve">
No coordinates recorded</t>
        </r>
      </text>
    </comment>
    <comment ref="I213" authorId="1" shapeId="0" xr:uid="{00000000-0006-0000-0000-00008C000000}">
      <text>
        <r>
          <rPr>
            <b/>
            <sz val="9"/>
            <color indexed="81"/>
            <rFont val="Tahoma"/>
            <charset val="1"/>
          </rPr>
          <t>Beaulieu, Jake:</t>
        </r>
        <r>
          <rPr>
            <sz val="9"/>
            <color indexed="81"/>
            <rFont val="Tahoma"/>
            <charset val="1"/>
          </rPr>
          <t xml:space="preserve">
Not needed for active trap deployments</t>
        </r>
      </text>
    </comment>
    <comment ref="F214" authorId="2" shapeId="0" xr:uid="{00000000-0006-0000-0000-000055020000}">
      <text>
        <r>
          <rPr>
            <b/>
            <sz val="9"/>
            <color indexed="81"/>
            <rFont val="Tahoma"/>
            <family val="2"/>
          </rPr>
          <t>U.S. EPA User or Contractor:</t>
        </r>
        <r>
          <rPr>
            <sz val="9"/>
            <color indexed="81"/>
            <rFont val="Tahoma"/>
            <family val="2"/>
          </rPr>
          <t xml:space="preserve">
No coordinates recorded</t>
        </r>
      </text>
    </comment>
    <comment ref="G214" authorId="2" shapeId="0" xr:uid="{00000000-0006-0000-0000-000056020000}">
      <text>
        <r>
          <rPr>
            <b/>
            <sz val="9"/>
            <color indexed="81"/>
            <rFont val="Tahoma"/>
            <family val="2"/>
          </rPr>
          <t>U.S. EPA User or Contractor:</t>
        </r>
        <r>
          <rPr>
            <sz val="9"/>
            <color indexed="81"/>
            <rFont val="Tahoma"/>
            <family val="2"/>
          </rPr>
          <t xml:space="preserve">
No coordinates recorded</t>
        </r>
      </text>
    </comment>
    <comment ref="F216" authorId="2" shapeId="0" xr:uid="{00000000-0006-0000-0000-000064000000}">
      <text>
        <r>
          <rPr>
            <b/>
            <sz val="9"/>
            <color indexed="81"/>
            <rFont val="Tahoma"/>
            <family val="2"/>
          </rPr>
          <t>U.S. EPA User or Contractor:</t>
        </r>
        <r>
          <rPr>
            <sz val="9"/>
            <color indexed="81"/>
            <rFont val="Tahoma"/>
            <family val="2"/>
          </rPr>
          <t xml:space="preserve">
No coordinates recorded</t>
        </r>
      </text>
    </comment>
    <comment ref="G216" authorId="2" shapeId="0" xr:uid="{00000000-0006-0000-0000-000065000000}">
      <text>
        <r>
          <rPr>
            <b/>
            <sz val="9"/>
            <color indexed="81"/>
            <rFont val="Tahoma"/>
            <family val="2"/>
          </rPr>
          <t>U.S. EPA User or Contractor:</t>
        </r>
        <r>
          <rPr>
            <sz val="9"/>
            <color indexed="81"/>
            <rFont val="Tahoma"/>
            <family val="2"/>
          </rPr>
          <t xml:space="preserve">
No coordinates recorded</t>
        </r>
      </text>
    </comment>
    <comment ref="I216" authorId="1" shapeId="0" xr:uid="{00000000-0006-0000-0000-000066000000}">
      <text>
        <r>
          <rPr>
            <b/>
            <sz val="9"/>
            <color indexed="81"/>
            <rFont val="Tahoma"/>
            <charset val="1"/>
          </rPr>
          <t>Beaulieu, Jake:</t>
        </r>
        <r>
          <rPr>
            <sz val="9"/>
            <color indexed="81"/>
            <rFont val="Tahoma"/>
            <charset val="1"/>
          </rPr>
          <t xml:space="preserve">
Not needed for active trap deployments</t>
        </r>
      </text>
    </comment>
    <comment ref="O216" authorId="2" shapeId="0" xr:uid="{00000000-0006-0000-0000-00006700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218" authorId="1" shapeId="0" xr:uid="{00000000-0006-0000-0000-00007C010000}">
      <text>
        <r>
          <rPr>
            <b/>
            <sz val="9"/>
            <color indexed="81"/>
            <rFont val="Tahoma"/>
            <charset val="1"/>
          </rPr>
          <t>Beaulieu, Jake:</t>
        </r>
        <r>
          <rPr>
            <sz val="9"/>
            <color indexed="81"/>
            <rFont val="Tahoma"/>
            <charset val="1"/>
          </rPr>
          <t xml:space="preserve">
Assumed deployment time is the retrieval time from last deployment, + 15 minutes.</t>
        </r>
      </text>
    </comment>
    <comment ref="F218" authorId="2" shapeId="0" xr:uid="{00000000-0006-0000-0000-00007D010000}">
      <text>
        <r>
          <rPr>
            <b/>
            <sz val="9"/>
            <color indexed="81"/>
            <rFont val="Tahoma"/>
            <family val="2"/>
          </rPr>
          <t>U.S. EPA User or Contractor:</t>
        </r>
        <r>
          <rPr>
            <sz val="9"/>
            <color indexed="81"/>
            <rFont val="Tahoma"/>
            <family val="2"/>
          </rPr>
          <t xml:space="preserve">
No coordinates recorded</t>
        </r>
      </text>
    </comment>
    <comment ref="G218" authorId="2" shapeId="0" xr:uid="{00000000-0006-0000-0000-00007E010000}">
      <text>
        <r>
          <rPr>
            <b/>
            <sz val="9"/>
            <color indexed="81"/>
            <rFont val="Tahoma"/>
            <family val="2"/>
          </rPr>
          <t>U.S. EPA User or Contractor:</t>
        </r>
        <r>
          <rPr>
            <sz val="9"/>
            <color indexed="81"/>
            <rFont val="Tahoma"/>
            <family val="2"/>
          </rPr>
          <t xml:space="preserve">
No coordinates recorded</t>
        </r>
      </text>
    </comment>
    <comment ref="O218" authorId="2" shapeId="0" xr:uid="{00000000-0006-0000-0000-00007F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F221" authorId="2" shapeId="0" xr:uid="{00000000-0006-0000-0000-0000CE000000}">
      <text>
        <r>
          <rPr>
            <b/>
            <sz val="9"/>
            <color indexed="81"/>
            <rFont val="Tahoma"/>
            <family val="2"/>
          </rPr>
          <t>U.S. EPA User or Contractor:</t>
        </r>
        <r>
          <rPr>
            <sz val="9"/>
            <color indexed="81"/>
            <rFont val="Tahoma"/>
            <family val="2"/>
          </rPr>
          <t xml:space="preserve">
No coordinates recorded</t>
        </r>
      </text>
    </comment>
    <comment ref="G221" authorId="2" shapeId="0" xr:uid="{00000000-0006-0000-0000-0000CF000000}">
      <text>
        <r>
          <rPr>
            <b/>
            <sz val="9"/>
            <color indexed="81"/>
            <rFont val="Tahoma"/>
            <family val="2"/>
          </rPr>
          <t>U.S. EPA User or Contractor:</t>
        </r>
        <r>
          <rPr>
            <sz val="9"/>
            <color indexed="81"/>
            <rFont val="Tahoma"/>
            <family val="2"/>
          </rPr>
          <t xml:space="preserve">
No coordinates recorded</t>
        </r>
      </text>
    </comment>
    <comment ref="I221" authorId="1" shapeId="0" xr:uid="{00000000-0006-0000-0000-0000D0000000}">
      <text>
        <r>
          <rPr>
            <b/>
            <sz val="9"/>
            <color indexed="81"/>
            <rFont val="Tahoma"/>
            <charset val="1"/>
          </rPr>
          <t>Beaulieu, Jake:</t>
        </r>
        <r>
          <rPr>
            <sz val="9"/>
            <color indexed="81"/>
            <rFont val="Tahoma"/>
            <charset val="1"/>
          </rPr>
          <t xml:space="preserve">
Not needed for active trap deployments</t>
        </r>
      </text>
    </comment>
    <comment ref="C224" authorId="1" shapeId="0" xr:uid="{00000000-0006-0000-0000-000091010000}">
      <text>
        <r>
          <rPr>
            <b/>
            <sz val="9"/>
            <color indexed="81"/>
            <rFont val="Tahoma"/>
            <charset val="1"/>
          </rPr>
          <t>Beaulieu, Jake:</t>
        </r>
        <r>
          <rPr>
            <sz val="9"/>
            <color indexed="81"/>
            <rFont val="Tahoma"/>
            <charset val="1"/>
          </rPr>
          <t xml:space="preserve">
Assumed deployment time is the retrieval time from last deployment, + 15 minutes.</t>
        </r>
      </text>
    </comment>
    <comment ref="F224" authorId="2" shapeId="0" xr:uid="{00000000-0006-0000-0000-000092010000}">
      <text>
        <r>
          <rPr>
            <b/>
            <sz val="9"/>
            <color indexed="81"/>
            <rFont val="Tahoma"/>
            <family val="2"/>
          </rPr>
          <t>U.S. EPA User or Contractor:</t>
        </r>
        <r>
          <rPr>
            <sz val="9"/>
            <color indexed="81"/>
            <rFont val="Tahoma"/>
            <family val="2"/>
          </rPr>
          <t xml:space="preserve">
No coordinates given</t>
        </r>
      </text>
    </comment>
    <comment ref="G224" authorId="2" shapeId="0" xr:uid="{00000000-0006-0000-0000-000093010000}">
      <text>
        <r>
          <rPr>
            <b/>
            <sz val="9"/>
            <color indexed="81"/>
            <rFont val="Tahoma"/>
            <family val="2"/>
          </rPr>
          <t>U.S. EPA User or Contractor:</t>
        </r>
        <r>
          <rPr>
            <sz val="9"/>
            <color indexed="81"/>
            <rFont val="Tahoma"/>
            <family val="2"/>
          </rPr>
          <t xml:space="preserve">
No coordinates given</t>
        </r>
      </text>
    </comment>
    <comment ref="O224" authorId="2" shapeId="0" xr:uid="{00000000-0006-0000-0000-000094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B225" authorId="2" shapeId="0" xr:uid="{00000000-0006-0000-0000-000065020000}">
      <text>
        <r>
          <rPr>
            <b/>
            <sz val="9"/>
            <color indexed="81"/>
            <rFont val="Tahoma"/>
            <family val="2"/>
          </rPr>
          <t>U.S. EPA User or Contractor:</t>
        </r>
        <r>
          <rPr>
            <sz val="9"/>
            <color indexed="81"/>
            <rFont val="Tahoma"/>
            <family val="2"/>
          </rPr>
          <t xml:space="preserve">
Trap was found on the lake shore with head unit broken off. Maxed in less than 1 day.</t>
        </r>
      </text>
    </comment>
    <comment ref="J225" authorId="2" shapeId="0" xr:uid="{00000000-0006-0000-0000-000066020000}">
      <text>
        <r>
          <rPr>
            <b/>
            <sz val="9"/>
            <color indexed="81"/>
            <rFont val="Tahoma"/>
            <family val="2"/>
          </rPr>
          <t>U.S. EPA User or Contractor:</t>
        </r>
        <r>
          <rPr>
            <sz val="9"/>
            <color indexed="81"/>
            <rFont val="Tahoma"/>
            <family val="2"/>
          </rPr>
          <t xml:space="preserve">
Trap was found on the lake shore with head unit broken off. Maxed in less than 1 day.</t>
        </r>
      </text>
    </comment>
    <comment ref="F227" authorId="2" shapeId="0" xr:uid="{00000000-0006-0000-0000-000004010000}">
      <text>
        <r>
          <rPr>
            <b/>
            <sz val="9"/>
            <color indexed="81"/>
            <rFont val="Tahoma"/>
            <family val="2"/>
          </rPr>
          <t>U.S. EPA User or Contractor:</t>
        </r>
        <r>
          <rPr>
            <sz val="9"/>
            <color indexed="81"/>
            <rFont val="Tahoma"/>
            <family val="2"/>
          </rPr>
          <t xml:space="preserve">
No coordinates recorded</t>
        </r>
      </text>
    </comment>
    <comment ref="G227" authorId="2" shapeId="0" xr:uid="{00000000-0006-0000-0000-000005010000}">
      <text>
        <r>
          <rPr>
            <b/>
            <sz val="9"/>
            <color indexed="81"/>
            <rFont val="Tahoma"/>
            <family val="2"/>
          </rPr>
          <t>U.S. EPA User or Contractor:</t>
        </r>
        <r>
          <rPr>
            <sz val="9"/>
            <color indexed="81"/>
            <rFont val="Tahoma"/>
            <family val="2"/>
          </rPr>
          <t xml:space="preserve">
No coordinates recorded</t>
        </r>
      </text>
    </comment>
    <comment ref="H227" authorId="2" shapeId="0" xr:uid="{00000000-0006-0000-0000-000006010000}">
      <text>
        <r>
          <rPr>
            <b/>
            <sz val="9"/>
            <color indexed="81"/>
            <rFont val="Tahoma"/>
            <family val="2"/>
          </rPr>
          <t>U.S. E
PA User or Contractor:</t>
        </r>
        <r>
          <rPr>
            <sz val="9"/>
            <color indexed="81"/>
            <rFont val="Tahoma"/>
            <family val="2"/>
          </rPr>
          <t xml:space="preserve">
Not recorded in field sheet. </t>
        </r>
      </text>
    </comment>
    <comment ref="I227" authorId="1" shapeId="0" xr:uid="{00000000-0006-0000-0000-000007010000}">
      <text>
        <r>
          <rPr>
            <b/>
            <sz val="9"/>
            <color indexed="81"/>
            <rFont val="Tahoma"/>
            <charset val="1"/>
          </rPr>
          <t>Beaulieu, Jake:</t>
        </r>
        <r>
          <rPr>
            <sz val="9"/>
            <color indexed="81"/>
            <rFont val="Tahoma"/>
            <charset val="1"/>
          </rPr>
          <t xml:space="preserve">
Not needed for active trap deployments</t>
        </r>
      </text>
    </comment>
    <comment ref="O227" authorId="2" shapeId="0" xr:uid="{00000000-0006-0000-0000-000008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231" authorId="1" shapeId="0" xr:uid="{00000000-0006-0000-0000-00002C010000}">
      <text>
        <r>
          <rPr>
            <b/>
            <sz val="9"/>
            <color indexed="81"/>
            <rFont val="Tahoma"/>
            <charset val="1"/>
          </rPr>
          <t>Beaulieu, Jake:</t>
        </r>
        <r>
          <rPr>
            <sz val="9"/>
            <color indexed="81"/>
            <rFont val="Tahoma"/>
            <charset val="1"/>
          </rPr>
          <t xml:space="preserve">
Assumed deployment time is the retrieval time from last deployment, + 15 minutes.</t>
        </r>
      </text>
    </comment>
    <comment ref="F231" authorId="2" shapeId="0" xr:uid="{00000000-0006-0000-0000-00002D010000}">
      <text>
        <r>
          <rPr>
            <b/>
            <sz val="9"/>
            <color indexed="81"/>
            <rFont val="Tahoma"/>
            <family val="2"/>
          </rPr>
          <t>U.S. EPA User or Contractor:</t>
        </r>
        <r>
          <rPr>
            <sz val="9"/>
            <color indexed="81"/>
            <rFont val="Tahoma"/>
            <family val="2"/>
          </rPr>
          <t xml:space="preserve">
No coordinates given</t>
        </r>
      </text>
    </comment>
    <comment ref="G231" authorId="2" shapeId="0" xr:uid="{00000000-0006-0000-0000-00002E010000}">
      <text>
        <r>
          <rPr>
            <b/>
            <sz val="9"/>
            <color indexed="81"/>
            <rFont val="Tahoma"/>
            <family val="2"/>
          </rPr>
          <t>U.S. EPA User or Contractor:</t>
        </r>
        <r>
          <rPr>
            <sz val="9"/>
            <color indexed="81"/>
            <rFont val="Tahoma"/>
            <family val="2"/>
          </rPr>
          <t xml:space="preserve">
No coordinates given</t>
        </r>
      </text>
    </comment>
    <comment ref="O231" authorId="2" shapeId="0" xr:uid="{00000000-0006-0000-0000-00002F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234" authorId="1" shapeId="0" xr:uid="{00000000-0006-0000-0000-00006A010000}">
      <text>
        <r>
          <rPr>
            <b/>
            <sz val="9"/>
            <color indexed="81"/>
            <rFont val="Tahoma"/>
            <charset val="1"/>
          </rPr>
          <t>Beaulieu, Jake:</t>
        </r>
        <r>
          <rPr>
            <sz val="9"/>
            <color indexed="81"/>
            <rFont val="Tahoma"/>
            <charset val="1"/>
          </rPr>
          <t xml:space="preserve">
Assumed deployment time is the retrieval time from last deployment, + 15 minutes.</t>
        </r>
      </text>
    </comment>
    <comment ref="F234" authorId="2" shapeId="0" xr:uid="{00000000-0006-0000-0000-00006B010000}">
      <text>
        <r>
          <rPr>
            <b/>
            <sz val="9"/>
            <color indexed="81"/>
            <rFont val="Tahoma"/>
            <family val="2"/>
          </rPr>
          <t>U.S. EPA User or Contractor:</t>
        </r>
        <r>
          <rPr>
            <sz val="9"/>
            <color indexed="81"/>
            <rFont val="Tahoma"/>
            <family val="2"/>
          </rPr>
          <t xml:space="preserve">
No coordinates recorded</t>
        </r>
      </text>
    </comment>
    <comment ref="G234" authorId="2" shapeId="0" xr:uid="{00000000-0006-0000-0000-00006C010000}">
      <text>
        <r>
          <rPr>
            <b/>
            <sz val="9"/>
            <color indexed="81"/>
            <rFont val="Tahoma"/>
            <family val="2"/>
          </rPr>
          <t>U.S. EPA User or Contractor:</t>
        </r>
        <r>
          <rPr>
            <sz val="9"/>
            <color indexed="81"/>
            <rFont val="Tahoma"/>
            <family val="2"/>
          </rPr>
          <t xml:space="preserve">
No coordinates recorded</t>
        </r>
      </text>
    </comment>
    <comment ref="J234" authorId="2" shapeId="0" xr:uid="{00000000-0006-0000-0000-00006D010000}">
      <text>
        <r>
          <rPr>
            <b/>
            <sz val="9"/>
            <color indexed="81"/>
            <rFont val="Tahoma"/>
            <family val="2"/>
          </rPr>
          <t>U.S. EPA User or Contractor:</t>
        </r>
        <r>
          <rPr>
            <sz val="9"/>
            <color indexed="81"/>
            <rFont val="Tahoma"/>
            <family val="2"/>
          </rPr>
          <t xml:space="preserve">
1'6" of gas recorded in tube</t>
        </r>
      </text>
    </comment>
    <comment ref="O234" authorId="2" shapeId="0" xr:uid="{00000000-0006-0000-0000-00006E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238" authorId="1" shapeId="0" xr:uid="{00000000-0006-0000-0000-0000C6010000}">
      <text>
        <r>
          <rPr>
            <b/>
            <sz val="9"/>
            <color indexed="81"/>
            <rFont val="Tahoma"/>
            <charset val="1"/>
          </rPr>
          <t>Beaulieu, Jake:</t>
        </r>
        <r>
          <rPr>
            <sz val="9"/>
            <color indexed="81"/>
            <rFont val="Tahoma"/>
            <charset val="1"/>
          </rPr>
          <t xml:space="preserve">
Assumed deployment time is the retrieval time from last deployment, + 15 minutes.</t>
        </r>
      </text>
    </comment>
    <comment ref="F238" authorId="2" shapeId="0" xr:uid="{00000000-0006-0000-0000-0000C7010000}">
      <text>
        <r>
          <rPr>
            <b/>
            <sz val="9"/>
            <color indexed="81"/>
            <rFont val="Tahoma"/>
            <family val="2"/>
          </rPr>
          <t>U.S. EPA User or Contractor:</t>
        </r>
        <r>
          <rPr>
            <sz val="9"/>
            <color indexed="81"/>
            <rFont val="Tahoma"/>
            <family val="2"/>
          </rPr>
          <t xml:space="preserve">
No coordinates given</t>
        </r>
      </text>
    </comment>
    <comment ref="G238" authorId="2" shapeId="0" xr:uid="{00000000-0006-0000-0000-0000C8010000}">
      <text>
        <r>
          <rPr>
            <b/>
            <sz val="9"/>
            <color indexed="81"/>
            <rFont val="Tahoma"/>
            <family val="2"/>
          </rPr>
          <t>U.S. EPA User or Contractor:</t>
        </r>
        <r>
          <rPr>
            <sz val="9"/>
            <color indexed="81"/>
            <rFont val="Tahoma"/>
            <family val="2"/>
          </rPr>
          <t xml:space="preserve">
No coordinates given</t>
        </r>
      </text>
    </comment>
    <comment ref="J238" authorId="2" shapeId="0" xr:uid="{00000000-0006-0000-0000-0000C9010000}">
      <text>
        <r>
          <rPr>
            <b/>
            <sz val="9"/>
            <color indexed="81"/>
            <rFont val="Tahoma"/>
            <family val="2"/>
          </rPr>
          <t>U.S. EPA User or Contractor:</t>
        </r>
        <r>
          <rPr>
            <sz val="9"/>
            <color indexed="81"/>
            <rFont val="Tahoma"/>
            <family val="2"/>
          </rPr>
          <t xml:space="preserve">
8" gas measured in tube
</t>
        </r>
      </text>
    </comment>
    <comment ref="O238" authorId="2" shapeId="0" xr:uid="{00000000-0006-0000-0000-0000CA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240" authorId="1" shapeId="0" xr:uid="{00000000-0006-0000-0000-000038010000}">
      <text>
        <r>
          <rPr>
            <b/>
            <sz val="9"/>
            <color indexed="81"/>
            <rFont val="Tahoma"/>
            <charset val="1"/>
          </rPr>
          <t>Beaulieu, Jake:</t>
        </r>
        <r>
          <rPr>
            <sz val="9"/>
            <color indexed="81"/>
            <rFont val="Tahoma"/>
            <charset val="1"/>
          </rPr>
          <t xml:space="preserve">
Assumed deployment time is the retrieval time from last deployment, + 15 minutes.</t>
        </r>
      </text>
    </comment>
    <comment ref="F240" authorId="2" shapeId="0" xr:uid="{00000000-0006-0000-0000-000039010000}">
      <text>
        <r>
          <rPr>
            <b/>
            <sz val="9"/>
            <color indexed="81"/>
            <rFont val="Tahoma"/>
            <family val="2"/>
          </rPr>
          <t>U.S. EPA User or Contractor:</t>
        </r>
        <r>
          <rPr>
            <sz val="9"/>
            <color indexed="81"/>
            <rFont val="Tahoma"/>
            <family val="2"/>
          </rPr>
          <t xml:space="preserve">
No coordinates recorded</t>
        </r>
      </text>
    </comment>
    <comment ref="G240" authorId="2" shapeId="0" xr:uid="{00000000-0006-0000-0000-00003A010000}">
      <text>
        <r>
          <rPr>
            <b/>
            <sz val="9"/>
            <color indexed="81"/>
            <rFont val="Tahoma"/>
            <family val="2"/>
          </rPr>
          <t>U.S. EPA User or Contractor:</t>
        </r>
        <r>
          <rPr>
            <sz val="9"/>
            <color indexed="81"/>
            <rFont val="Tahoma"/>
            <family val="2"/>
          </rPr>
          <t xml:space="preserve">
No coordinates recorded</t>
        </r>
      </text>
    </comment>
    <comment ref="J240" authorId="2" shapeId="0" xr:uid="{00000000-0006-0000-0000-00003B010000}">
      <text>
        <r>
          <rPr>
            <b/>
            <sz val="9"/>
            <color indexed="81"/>
            <rFont val="Tahoma"/>
            <family val="2"/>
          </rPr>
          <t>U.S. EPA User or Contractor:</t>
        </r>
        <r>
          <rPr>
            <sz val="9"/>
            <color indexed="81"/>
            <rFont val="Tahoma"/>
            <family val="2"/>
          </rPr>
          <t xml:space="preserve">
No gas collected</t>
        </r>
      </text>
    </comment>
    <comment ref="O240" authorId="2" shapeId="0" xr:uid="{00000000-0006-0000-0000-00003C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243" authorId="1" shapeId="0" xr:uid="{00000000-0006-0000-0000-000074010000}">
      <text>
        <r>
          <rPr>
            <b/>
            <sz val="9"/>
            <color indexed="81"/>
            <rFont val="Tahoma"/>
            <charset val="1"/>
          </rPr>
          <t>Beaulieu, Jake:</t>
        </r>
        <r>
          <rPr>
            <sz val="9"/>
            <color indexed="81"/>
            <rFont val="Tahoma"/>
            <charset val="1"/>
          </rPr>
          <t xml:space="preserve">
Assumed deployment time is the retrieval time from last deployment, + 15 minutes.</t>
        </r>
      </text>
    </comment>
    <comment ref="F243" authorId="2" shapeId="0" xr:uid="{00000000-0006-0000-0000-000075010000}">
      <text>
        <r>
          <rPr>
            <b/>
            <sz val="9"/>
            <color indexed="81"/>
            <rFont val="Tahoma"/>
            <family val="2"/>
          </rPr>
          <t>U.S. EPA User or Contractor:</t>
        </r>
        <r>
          <rPr>
            <sz val="9"/>
            <color indexed="81"/>
            <rFont val="Tahoma"/>
            <family val="2"/>
          </rPr>
          <t xml:space="preserve">
No coordinates recorded</t>
        </r>
      </text>
    </comment>
    <comment ref="G243" authorId="2" shapeId="0" xr:uid="{00000000-0006-0000-0000-000076010000}">
      <text>
        <r>
          <rPr>
            <b/>
            <sz val="9"/>
            <color indexed="81"/>
            <rFont val="Tahoma"/>
            <family val="2"/>
          </rPr>
          <t>U.S. EPA User or Contractor:</t>
        </r>
        <r>
          <rPr>
            <sz val="9"/>
            <color indexed="81"/>
            <rFont val="Tahoma"/>
            <family val="2"/>
          </rPr>
          <t xml:space="preserve">
No coordinates recorded</t>
        </r>
      </text>
    </comment>
    <comment ref="O243" authorId="2" shapeId="0" xr:uid="{00000000-0006-0000-0000-000077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247" authorId="1" shapeId="0" xr:uid="{00000000-0006-0000-0000-0000DF010000}">
      <text>
        <r>
          <rPr>
            <b/>
            <sz val="9"/>
            <color indexed="81"/>
            <rFont val="Tahoma"/>
            <charset val="1"/>
          </rPr>
          <t>Beaulieu, Jake:</t>
        </r>
        <r>
          <rPr>
            <sz val="9"/>
            <color indexed="81"/>
            <rFont val="Tahoma"/>
            <charset val="1"/>
          </rPr>
          <t xml:space="preserve">
Assumed deployment time is the retrieval time from last deployment, + 15 minutes.</t>
        </r>
      </text>
    </comment>
    <comment ref="F247" authorId="2" shapeId="0" xr:uid="{00000000-0006-0000-0000-0000E0010000}">
      <text>
        <r>
          <rPr>
            <b/>
            <sz val="9"/>
            <color indexed="81"/>
            <rFont val="Tahoma"/>
            <family val="2"/>
          </rPr>
          <t>U.S. EPA User or Contractor:</t>
        </r>
        <r>
          <rPr>
            <sz val="9"/>
            <color indexed="81"/>
            <rFont val="Tahoma"/>
            <family val="2"/>
          </rPr>
          <t xml:space="preserve">
No coordinates given</t>
        </r>
      </text>
    </comment>
    <comment ref="G247" authorId="2" shapeId="0" xr:uid="{00000000-0006-0000-0000-0000E1010000}">
      <text>
        <r>
          <rPr>
            <b/>
            <sz val="9"/>
            <color indexed="81"/>
            <rFont val="Tahoma"/>
            <family val="2"/>
          </rPr>
          <t>U.S. EPA User or Contractor:</t>
        </r>
        <r>
          <rPr>
            <sz val="9"/>
            <color indexed="81"/>
            <rFont val="Tahoma"/>
            <family val="2"/>
          </rPr>
          <t xml:space="preserve">
No coordinates given</t>
        </r>
      </text>
    </comment>
    <comment ref="O247" authorId="2" shapeId="0" xr:uid="{00000000-0006-0000-0000-0000E2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249" authorId="1" shapeId="0" xr:uid="{00000000-0006-0000-0000-00004F010000}">
      <text>
        <r>
          <rPr>
            <b/>
            <sz val="9"/>
            <color indexed="81"/>
            <rFont val="Tahoma"/>
            <charset val="1"/>
          </rPr>
          <t>Beaulieu, Jake:</t>
        </r>
        <r>
          <rPr>
            <sz val="9"/>
            <color indexed="81"/>
            <rFont val="Tahoma"/>
            <charset val="1"/>
          </rPr>
          <t xml:space="preserve">
Assumed deployment time is the retrieval time from last deployment, + 15 minutes.</t>
        </r>
      </text>
    </comment>
    <comment ref="F249" authorId="2" shapeId="0" xr:uid="{00000000-0006-0000-0000-000050010000}">
      <text>
        <r>
          <rPr>
            <b/>
            <sz val="9"/>
            <color indexed="81"/>
            <rFont val="Tahoma"/>
            <family val="2"/>
          </rPr>
          <t>U.S. EPA User or Contractor:</t>
        </r>
        <r>
          <rPr>
            <sz val="9"/>
            <color indexed="81"/>
            <rFont val="Tahoma"/>
            <family val="2"/>
          </rPr>
          <t xml:space="preserve">
No coordinates given</t>
        </r>
      </text>
    </comment>
    <comment ref="G249" authorId="2" shapeId="0" xr:uid="{00000000-0006-0000-0000-000051010000}">
      <text>
        <r>
          <rPr>
            <b/>
            <sz val="9"/>
            <color indexed="81"/>
            <rFont val="Tahoma"/>
            <family val="2"/>
          </rPr>
          <t>U.S. EPA User or Contractor:</t>
        </r>
        <r>
          <rPr>
            <sz val="9"/>
            <color indexed="81"/>
            <rFont val="Tahoma"/>
            <family val="2"/>
          </rPr>
          <t xml:space="preserve">
No coordinates given</t>
        </r>
      </text>
    </comment>
    <comment ref="J249" authorId="2" shapeId="0" xr:uid="{00000000-0006-0000-0000-000052010000}">
      <text>
        <r>
          <rPr>
            <b/>
            <sz val="9"/>
            <color indexed="81"/>
            <rFont val="Tahoma"/>
            <family val="2"/>
          </rPr>
          <t>U.S. EPA User or Contractor:</t>
        </r>
        <r>
          <rPr>
            <sz val="9"/>
            <color indexed="81"/>
            <rFont val="Tahoma"/>
            <family val="2"/>
          </rPr>
          <t xml:space="preserve">
Accidently left the leaking end of hose out of the water, may have sucke din a small amount of air in. Surface bubbling noted.</t>
        </r>
      </text>
    </comment>
    <comment ref="O249" authorId="2" shapeId="0" xr:uid="{00000000-0006-0000-0000-000053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252" authorId="1" shapeId="0" xr:uid="{00000000-0006-0000-0000-000084010000}">
      <text>
        <r>
          <rPr>
            <b/>
            <sz val="9"/>
            <color indexed="81"/>
            <rFont val="Tahoma"/>
            <charset val="1"/>
          </rPr>
          <t>Beaulieu, Jake:</t>
        </r>
        <r>
          <rPr>
            <sz val="9"/>
            <color indexed="81"/>
            <rFont val="Tahoma"/>
            <charset val="1"/>
          </rPr>
          <t xml:space="preserve">
Assumed deployment time is the retrieval time from last deployment, + 15 minutes.</t>
        </r>
      </text>
    </comment>
    <comment ref="F252" authorId="2" shapeId="0" xr:uid="{00000000-0006-0000-0000-000085010000}">
      <text>
        <r>
          <rPr>
            <b/>
            <sz val="9"/>
            <color indexed="81"/>
            <rFont val="Tahoma"/>
            <family val="2"/>
          </rPr>
          <t>U.S. EPA User or Contractor:</t>
        </r>
        <r>
          <rPr>
            <sz val="9"/>
            <color indexed="81"/>
            <rFont val="Tahoma"/>
            <family val="2"/>
          </rPr>
          <t xml:space="preserve">
No coordinates recorded</t>
        </r>
      </text>
    </comment>
    <comment ref="G252" authorId="2" shapeId="0" xr:uid="{00000000-0006-0000-0000-000086010000}">
      <text>
        <r>
          <rPr>
            <b/>
            <sz val="9"/>
            <color indexed="81"/>
            <rFont val="Tahoma"/>
            <family val="2"/>
          </rPr>
          <t>U.S. EPA User or Contractor:</t>
        </r>
        <r>
          <rPr>
            <sz val="9"/>
            <color indexed="81"/>
            <rFont val="Tahoma"/>
            <family val="2"/>
          </rPr>
          <t xml:space="preserve">
No coordinates recorded</t>
        </r>
      </text>
    </comment>
    <comment ref="O252" authorId="2" shapeId="0" xr:uid="{00000000-0006-0000-0000-000087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256" authorId="1" shapeId="0" xr:uid="{00000000-0006-0000-0000-0000F1010000}">
      <text>
        <r>
          <rPr>
            <b/>
            <sz val="9"/>
            <color indexed="81"/>
            <rFont val="Tahoma"/>
            <charset val="1"/>
          </rPr>
          <t>Beaulieu, Jake:</t>
        </r>
        <r>
          <rPr>
            <sz val="9"/>
            <color indexed="81"/>
            <rFont val="Tahoma"/>
            <charset val="1"/>
          </rPr>
          <t xml:space="preserve">
Assumed deployment time is the retrieval time from last deployment, + 15 minutes.</t>
        </r>
      </text>
    </comment>
    <comment ref="F256" authorId="2" shapeId="0" xr:uid="{00000000-0006-0000-0000-0000F2010000}">
      <text>
        <r>
          <rPr>
            <b/>
            <sz val="9"/>
            <color indexed="81"/>
            <rFont val="Tahoma"/>
            <family val="2"/>
          </rPr>
          <t>U.S. EPA User or Contractor:</t>
        </r>
        <r>
          <rPr>
            <sz val="9"/>
            <color indexed="81"/>
            <rFont val="Tahoma"/>
            <family val="2"/>
          </rPr>
          <t xml:space="preserve">
No coordinates given</t>
        </r>
      </text>
    </comment>
    <comment ref="G256" authorId="2" shapeId="0" xr:uid="{00000000-0006-0000-0000-0000F3010000}">
      <text>
        <r>
          <rPr>
            <b/>
            <sz val="9"/>
            <color indexed="81"/>
            <rFont val="Tahoma"/>
            <family val="2"/>
          </rPr>
          <t>U.S. EPA User or Contractor:</t>
        </r>
        <r>
          <rPr>
            <sz val="9"/>
            <color indexed="81"/>
            <rFont val="Tahoma"/>
            <family val="2"/>
          </rPr>
          <t xml:space="preserve">
No coordinates given</t>
        </r>
      </text>
    </comment>
    <comment ref="J256" authorId="2" shapeId="0" xr:uid="{00000000-0006-0000-0000-0000F4010000}">
      <text>
        <r>
          <rPr>
            <b/>
            <sz val="9"/>
            <color indexed="81"/>
            <rFont val="Tahoma"/>
            <charset val="1"/>
          </rPr>
          <t>U.S. EPA User or Contractor:</t>
        </r>
        <r>
          <rPr>
            <sz val="9"/>
            <color indexed="81"/>
            <rFont val="Tahoma"/>
            <charset val="1"/>
          </rPr>
          <t xml:space="preserve">
22" of gas in tube</t>
        </r>
      </text>
    </comment>
    <comment ref="O256" authorId="2" shapeId="0" xr:uid="{00000000-0006-0000-0000-0000F5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258" authorId="1" shapeId="0" xr:uid="{00000000-0006-0000-0000-00009A010000}">
      <text>
        <r>
          <rPr>
            <b/>
            <sz val="9"/>
            <color indexed="81"/>
            <rFont val="Tahoma"/>
            <charset val="1"/>
          </rPr>
          <t>Beaulieu, Jake:</t>
        </r>
        <r>
          <rPr>
            <sz val="9"/>
            <color indexed="81"/>
            <rFont val="Tahoma"/>
            <charset val="1"/>
          </rPr>
          <t xml:space="preserve">
Assumed deployment time is the retrieval time from last deployment, + 15 minutes.</t>
        </r>
      </text>
    </comment>
    <comment ref="F258" authorId="2" shapeId="0" xr:uid="{00000000-0006-0000-0000-00009B010000}">
      <text>
        <r>
          <rPr>
            <b/>
            <sz val="9"/>
            <color indexed="81"/>
            <rFont val="Tahoma"/>
            <family val="2"/>
          </rPr>
          <t>U.S. EPA User or Contractor:</t>
        </r>
        <r>
          <rPr>
            <sz val="9"/>
            <color indexed="81"/>
            <rFont val="Tahoma"/>
            <family val="2"/>
          </rPr>
          <t xml:space="preserve">
No coordinates given</t>
        </r>
      </text>
    </comment>
    <comment ref="G258" authorId="2" shapeId="0" xr:uid="{00000000-0006-0000-0000-00009C010000}">
      <text>
        <r>
          <rPr>
            <b/>
            <sz val="9"/>
            <color indexed="81"/>
            <rFont val="Tahoma"/>
            <family val="2"/>
          </rPr>
          <t>U.S. EPA User or Contractor:</t>
        </r>
        <r>
          <rPr>
            <sz val="9"/>
            <color indexed="81"/>
            <rFont val="Tahoma"/>
            <family val="2"/>
          </rPr>
          <t xml:space="preserve">
No coordinates given</t>
        </r>
      </text>
    </comment>
    <comment ref="O258" authorId="2" shapeId="0" xr:uid="{00000000-0006-0000-0000-00009D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O260" authorId="2" shapeId="0" xr:uid="{00000000-0006-0000-0000-00006802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261" authorId="1" shapeId="0" xr:uid="{00000000-0006-0000-0000-0000B8010000}">
      <text>
        <r>
          <rPr>
            <b/>
            <sz val="9"/>
            <color indexed="81"/>
            <rFont val="Tahoma"/>
            <charset val="1"/>
          </rPr>
          <t>Beaulieu, Jake:</t>
        </r>
        <r>
          <rPr>
            <sz val="9"/>
            <color indexed="81"/>
            <rFont val="Tahoma"/>
            <charset val="1"/>
          </rPr>
          <t xml:space="preserve">
Assumed deployment time is the retrieval time from last deployment, + 15 minutes.</t>
        </r>
      </text>
    </comment>
    <comment ref="F261" authorId="2" shapeId="0" xr:uid="{00000000-0006-0000-0000-0000B9010000}">
      <text>
        <r>
          <rPr>
            <b/>
            <sz val="9"/>
            <color indexed="81"/>
            <rFont val="Tahoma"/>
            <family val="2"/>
          </rPr>
          <t>U.S. EPA User or Contractor:</t>
        </r>
        <r>
          <rPr>
            <sz val="9"/>
            <color indexed="81"/>
            <rFont val="Tahoma"/>
            <family val="2"/>
          </rPr>
          <t xml:space="preserve">
No coordinates recorded</t>
        </r>
      </text>
    </comment>
    <comment ref="G261" authorId="2" shapeId="0" xr:uid="{00000000-0006-0000-0000-0000BA010000}">
      <text>
        <r>
          <rPr>
            <b/>
            <sz val="9"/>
            <color indexed="81"/>
            <rFont val="Tahoma"/>
            <family val="2"/>
          </rPr>
          <t>U.S. EPA User or Contractor:</t>
        </r>
        <r>
          <rPr>
            <sz val="9"/>
            <color indexed="81"/>
            <rFont val="Tahoma"/>
            <family val="2"/>
          </rPr>
          <t xml:space="preserve">
No coordinates recorded</t>
        </r>
      </text>
    </comment>
    <comment ref="J261" authorId="1" shapeId="0" xr:uid="{00000000-0006-0000-0000-0000BB010000}">
      <text>
        <r>
          <rPr>
            <b/>
            <sz val="9"/>
            <color indexed="81"/>
            <rFont val="Tahoma"/>
            <charset val="1"/>
          </rPr>
          <t>Beaulieu, Jake:</t>
        </r>
        <r>
          <rPr>
            <sz val="9"/>
            <color indexed="81"/>
            <rFont val="Tahoma"/>
            <charset val="1"/>
          </rPr>
          <t xml:space="preserve">
15 1/4" measured in tube</t>
        </r>
      </text>
    </comment>
    <comment ref="O261" authorId="2" shapeId="0" xr:uid="{00000000-0006-0000-0000-0000BC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O262" authorId="2" shapeId="0" xr:uid="{00000000-0006-0000-0000-00006B02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O263" authorId="2" shapeId="0" xr:uid="{00000000-0006-0000-0000-00006C02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O264" authorId="2" shapeId="0" xr:uid="{00000000-0006-0000-0000-00006D02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265" authorId="1" shapeId="0" xr:uid="{00000000-0006-0000-0000-00000F020000}">
      <text>
        <r>
          <rPr>
            <b/>
            <sz val="9"/>
            <color indexed="81"/>
            <rFont val="Tahoma"/>
            <charset val="1"/>
          </rPr>
          <t>Beaulieu, Jake:</t>
        </r>
        <r>
          <rPr>
            <sz val="9"/>
            <color indexed="81"/>
            <rFont val="Tahoma"/>
            <charset val="1"/>
          </rPr>
          <t xml:space="preserve">
Assumed deployment time is the retrieval time from last deployment, + 15 minutes.</t>
        </r>
      </text>
    </comment>
    <comment ref="F265" authorId="2" shapeId="0" xr:uid="{00000000-0006-0000-0000-000010020000}">
      <text>
        <r>
          <rPr>
            <b/>
            <sz val="9"/>
            <color indexed="81"/>
            <rFont val="Tahoma"/>
            <family val="2"/>
          </rPr>
          <t>U.S. EPA User or Contractor:</t>
        </r>
        <r>
          <rPr>
            <sz val="9"/>
            <color indexed="81"/>
            <rFont val="Tahoma"/>
            <family val="2"/>
          </rPr>
          <t xml:space="preserve">
No coordinates recorded</t>
        </r>
      </text>
    </comment>
    <comment ref="G265" authorId="2" shapeId="0" xr:uid="{00000000-0006-0000-0000-000011020000}">
      <text>
        <r>
          <rPr>
            <b/>
            <sz val="9"/>
            <color indexed="81"/>
            <rFont val="Tahoma"/>
            <family val="2"/>
          </rPr>
          <t>U.S. EPA User or Contractor:</t>
        </r>
        <r>
          <rPr>
            <sz val="9"/>
            <color indexed="81"/>
            <rFont val="Tahoma"/>
            <family val="2"/>
          </rPr>
          <t xml:space="preserve">
No coordinates recorded</t>
        </r>
      </text>
    </comment>
    <comment ref="O265" authorId="2" shapeId="0" xr:uid="{00000000-0006-0000-0000-00001202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O266" authorId="2" shapeId="0" xr:uid="{00000000-0006-0000-0000-00006F02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267" authorId="1" shapeId="0" xr:uid="{00000000-0006-0000-0000-0000A8010000}">
      <text>
        <r>
          <rPr>
            <b/>
            <sz val="9"/>
            <color indexed="81"/>
            <rFont val="Tahoma"/>
            <charset val="1"/>
          </rPr>
          <t>Beaulieu, Jake:</t>
        </r>
        <r>
          <rPr>
            <sz val="9"/>
            <color indexed="81"/>
            <rFont val="Tahoma"/>
            <charset val="1"/>
          </rPr>
          <t xml:space="preserve">
Assumed deployment time is the retrieval time from last deployment, + 15 minutes.</t>
        </r>
      </text>
    </comment>
    <comment ref="F267" authorId="2" shapeId="0" xr:uid="{00000000-0006-0000-0000-0000A9010000}">
      <text>
        <r>
          <rPr>
            <b/>
            <sz val="9"/>
            <color indexed="81"/>
            <rFont val="Tahoma"/>
            <family val="2"/>
          </rPr>
          <t>U.S. EPA User or Contractor:</t>
        </r>
        <r>
          <rPr>
            <sz val="9"/>
            <color indexed="81"/>
            <rFont val="Tahoma"/>
            <family val="2"/>
          </rPr>
          <t xml:space="preserve">
No coordinates recorded</t>
        </r>
      </text>
    </comment>
    <comment ref="G267" authorId="2" shapeId="0" xr:uid="{00000000-0006-0000-0000-0000AA010000}">
      <text>
        <r>
          <rPr>
            <b/>
            <sz val="9"/>
            <color indexed="81"/>
            <rFont val="Tahoma"/>
            <family val="2"/>
          </rPr>
          <t>U.S. EPA User or Contractor:</t>
        </r>
        <r>
          <rPr>
            <sz val="9"/>
            <color indexed="81"/>
            <rFont val="Tahoma"/>
            <family val="2"/>
          </rPr>
          <t xml:space="preserve">
No coordinates recorded</t>
        </r>
      </text>
    </comment>
    <comment ref="O267" authorId="2" shapeId="0" xr:uid="{00000000-0006-0000-0000-0000AB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O268" authorId="2" shapeId="0" xr:uid="{00000000-0006-0000-0000-00007102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269" authorId="2" shapeId="0" xr:uid="{00000000-0006-0000-0000-000072020000}">
      <text>
        <r>
          <rPr>
            <b/>
            <sz val="9"/>
            <color indexed="81"/>
            <rFont val="Tahoma"/>
            <charset val="1"/>
          </rPr>
          <t>U.S. EPA User or Contractor:</t>
        </r>
        <r>
          <rPr>
            <sz val="9"/>
            <color indexed="81"/>
            <rFont val="Tahoma"/>
            <charset val="1"/>
          </rPr>
          <t xml:space="preserve">
Times adjusted to represent an hour earlier than electronic file times to account for the end of daylight savings.
KB 11/24/2015</t>
        </r>
      </text>
    </comment>
    <comment ref="D269" authorId="2" shapeId="0" xr:uid="{00000000-0006-0000-0000-000073020000}">
      <text>
        <r>
          <rPr>
            <b/>
            <sz val="9"/>
            <color indexed="81"/>
            <rFont val="Tahoma"/>
            <charset val="1"/>
          </rPr>
          <t>U.S. EPA User or Contractor:</t>
        </r>
        <r>
          <rPr>
            <sz val="9"/>
            <color indexed="81"/>
            <rFont val="Tahoma"/>
            <charset val="1"/>
          </rPr>
          <t xml:space="preserve">
Times adjusted to represent an hour earlier than electronic file times to account for the end of daylight savings.
KB 11/24/2015</t>
        </r>
      </text>
    </comment>
    <comment ref="E269" authorId="2" shapeId="0" xr:uid="{00000000-0006-0000-0000-000074020000}">
      <text>
        <r>
          <rPr>
            <b/>
            <sz val="9"/>
            <color indexed="81"/>
            <rFont val="Tahoma"/>
            <charset val="1"/>
          </rPr>
          <t>U.S. EPA User or Contractor:</t>
        </r>
        <r>
          <rPr>
            <sz val="9"/>
            <color indexed="81"/>
            <rFont val="Tahoma"/>
            <charset val="1"/>
          </rPr>
          <t xml:space="preserve">
Times adjusted to represent an hour earlier than electronic file times to account for the end of daylight savings.
KB 11/24/2015</t>
        </r>
      </text>
    </comment>
    <comment ref="O269" authorId="2" shapeId="0" xr:uid="{00000000-0006-0000-0000-00007502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270" authorId="1" shapeId="0" xr:uid="{00000000-0006-0000-0000-0000CF010000}">
      <text>
        <r>
          <rPr>
            <b/>
            <sz val="9"/>
            <color indexed="81"/>
            <rFont val="Tahoma"/>
            <charset val="1"/>
          </rPr>
          <t>Beaulieu, Jake:</t>
        </r>
        <r>
          <rPr>
            <sz val="9"/>
            <color indexed="81"/>
            <rFont val="Tahoma"/>
            <charset val="1"/>
          </rPr>
          <t xml:space="preserve">
Assumed deployment time is the retrieval time from last deployment, + 15 minutes.</t>
        </r>
      </text>
    </comment>
    <comment ref="F270" authorId="2" shapeId="0" xr:uid="{00000000-0006-0000-0000-0000D0010000}">
      <text>
        <r>
          <rPr>
            <b/>
            <sz val="9"/>
            <color indexed="81"/>
            <rFont val="Tahoma"/>
            <family val="2"/>
          </rPr>
          <t>U.S. EPA User or Contractor:</t>
        </r>
        <r>
          <rPr>
            <sz val="9"/>
            <color indexed="81"/>
            <rFont val="Tahoma"/>
            <family val="2"/>
          </rPr>
          <t xml:space="preserve">
No coordinates given</t>
        </r>
      </text>
    </comment>
    <comment ref="G270" authorId="2" shapeId="0" xr:uid="{00000000-0006-0000-0000-0000D1010000}">
      <text>
        <r>
          <rPr>
            <b/>
            <sz val="9"/>
            <color indexed="81"/>
            <rFont val="Tahoma"/>
            <family val="2"/>
          </rPr>
          <t>U.S. EPA User or Contractor:</t>
        </r>
        <r>
          <rPr>
            <sz val="9"/>
            <color indexed="81"/>
            <rFont val="Tahoma"/>
            <family val="2"/>
          </rPr>
          <t xml:space="preserve">
No coordinates given</t>
        </r>
      </text>
    </comment>
    <comment ref="O270" authorId="2" shapeId="0" xr:uid="{00000000-0006-0000-0000-0000D2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271" authorId="2" shapeId="0" xr:uid="{00000000-0006-0000-0000-00007A020000}">
      <text>
        <r>
          <rPr>
            <b/>
            <sz val="9"/>
            <color indexed="81"/>
            <rFont val="Tahoma"/>
            <charset val="1"/>
          </rPr>
          <t>U.S. EPA User or Contractor:</t>
        </r>
        <r>
          <rPr>
            <sz val="9"/>
            <color indexed="81"/>
            <rFont val="Tahoma"/>
            <charset val="1"/>
          </rPr>
          <t xml:space="preserve">
Times adjusted to represent an hour earlier than electronic file times to account for the end of daylight savings.
KB 11/24/2015</t>
        </r>
      </text>
    </comment>
    <comment ref="D271" authorId="2" shapeId="0" xr:uid="{00000000-0006-0000-0000-00007B020000}">
      <text>
        <r>
          <rPr>
            <b/>
            <sz val="9"/>
            <color indexed="81"/>
            <rFont val="Tahoma"/>
            <charset val="1"/>
          </rPr>
          <t>U.S. EPA User or Contractor:</t>
        </r>
        <r>
          <rPr>
            <sz val="9"/>
            <color indexed="81"/>
            <rFont val="Tahoma"/>
            <charset val="1"/>
          </rPr>
          <t xml:space="preserve">
Times adjusted to represent an hour earlier than electronic file times to account for the end of daylight savings.
KB 11/24/2015</t>
        </r>
      </text>
    </comment>
    <comment ref="E271" authorId="2" shapeId="0" xr:uid="{00000000-0006-0000-0000-00007C020000}">
      <text>
        <r>
          <rPr>
            <b/>
            <sz val="9"/>
            <color indexed="81"/>
            <rFont val="Tahoma"/>
            <charset val="1"/>
          </rPr>
          <t>U.S. EPA User or Contractor:</t>
        </r>
        <r>
          <rPr>
            <sz val="9"/>
            <color indexed="81"/>
            <rFont val="Tahoma"/>
            <charset val="1"/>
          </rPr>
          <t xml:space="preserve">
Times adjusted to represent an hour earlier than electronic file times to account for the end of daylight savings.
KB 11/24/2015</t>
        </r>
      </text>
    </comment>
    <comment ref="O271" authorId="2" shapeId="0" xr:uid="{00000000-0006-0000-0000-00007D02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272" authorId="1" shapeId="0" xr:uid="{00000000-0006-0000-0000-000031020000}">
      <text>
        <r>
          <rPr>
            <b/>
            <sz val="9"/>
            <color indexed="81"/>
            <rFont val="Tahoma"/>
            <charset val="1"/>
          </rPr>
          <t>Beaulieu, Jake:</t>
        </r>
        <r>
          <rPr>
            <sz val="9"/>
            <color indexed="81"/>
            <rFont val="Tahoma"/>
            <charset val="1"/>
          </rPr>
          <t xml:space="preserve">
Assumed deployment time is the retrieval time from last deployment, + 15 minutes.</t>
        </r>
      </text>
    </comment>
    <comment ref="E272" authorId="1" shapeId="0" xr:uid="{00000000-0006-0000-0000-000032020000}">
      <text>
        <r>
          <rPr>
            <b/>
            <sz val="9"/>
            <color indexed="81"/>
            <rFont val="Tahoma"/>
            <charset val="1"/>
          </rPr>
          <t xml:space="preserve">Beaulieu, Jake:
</t>
        </r>
        <r>
          <rPr>
            <sz val="9"/>
            <color indexed="81"/>
            <rFont val="Tahoma"/>
            <family val="2"/>
          </rPr>
          <t>Based on "Time released onto Buoy" field in data sheet.  Assu</t>
        </r>
        <r>
          <rPr>
            <sz val="9"/>
            <color indexed="81"/>
            <rFont val="Tahoma"/>
            <charset val="1"/>
          </rPr>
          <t>med it took 15 minutes to sample and redeploy.</t>
        </r>
      </text>
    </comment>
    <comment ref="F272" authorId="2" shapeId="0" xr:uid="{00000000-0006-0000-0000-000033020000}">
      <text>
        <r>
          <rPr>
            <b/>
            <sz val="9"/>
            <color indexed="81"/>
            <rFont val="Tahoma"/>
            <family val="2"/>
          </rPr>
          <t>U.S. EPA User or Contractor:</t>
        </r>
        <r>
          <rPr>
            <sz val="9"/>
            <color indexed="81"/>
            <rFont val="Tahoma"/>
            <family val="2"/>
          </rPr>
          <t xml:space="preserve">
No coordinates recorded</t>
        </r>
      </text>
    </comment>
    <comment ref="G272" authorId="2" shapeId="0" xr:uid="{00000000-0006-0000-0000-000034020000}">
      <text>
        <r>
          <rPr>
            <b/>
            <sz val="9"/>
            <color indexed="81"/>
            <rFont val="Tahoma"/>
            <family val="2"/>
          </rPr>
          <t>U.S. EPA User or Contractor:</t>
        </r>
        <r>
          <rPr>
            <sz val="9"/>
            <color indexed="81"/>
            <rFont val="Tahoma"/>
            <family val="2"/>
          </rPr>
          <t xml:space="preserve">
No coordinates recorded</t>
        </r>
      </text>
    </comment>
    <comment ref="O272" authorId="2" shapeId="0" xr:uid="{00000000-0006-0000-0000-00003502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273" authorId="2" shapeId="0" xr:uid="{00000000-0006-0000-0000-000082020000}">
      <text>
        <r>
          <rPr>
            <b/>
            <sz val="9"/>
            <color indexed="81"/>
            <rFont val="Tahoma"/>
            <charset val="1"/>
          </rPr>
          <t>U.S. EPA User or Contractor:</t>
        </r>
        <r>
          <rPr>
            <sz val="9"/>
            <color indexed="81"/>
            <rFont val="Tahoma"/>
            <charset val="1"/>
          </rPr>
          <t xml:space="preserve">
Times adjusted to represent an hour earlier than electronic file times to account for the end of daylight savings.
KB 11/24/2015</t>
        </r>
      </text>
    </comment>
    <comment ref="D273" authorId="2" shapeId="0" xr:uid="{00000000-0006-0000-0000-000083020000}">
      <text>
        <r>
          <rPr>
            <b/>
            <sz val="9"/>
            <color indexed="81"/>
            <rFont val="Tahoma"/>
            <charset val="1"/>
          </rPr>
          <t>U.S. EPA User or Contractor:</t>
        </r>
        <r>
          <rPr>
            <sz val="9"/>
            <color indexed="81"/>
            <rFont val="Tahoma"/>
            <charset val="1"/>
          </rPr>
          <t xml:space="preserve">
Times adjusted to represent an hour earlier than electronic file times to account for the end of daylight savings.
KB 11/24/2015</t>
        </r>
      </text>
    </comment>
    <comment ref="E273" authorId="2" shapeId="0" xr:uid="{00000000-0006-0000-0000-000084020000}">
      <text>
        <r>
          <rPr>
            <b/>
            <sz val="9"/>
            <color indexed="81"/>
            <rFont val="Tahoma"/>
            <charset val="1"/>
          </rPr>
          <t>U.S. EPA User or Contractor:</t>
        </r>
        <r>
          <rPr>
            <sz val="9"/>
            <color indexed="81"/>
            <rFont val="Tahoma"/>
            <charset val="1"/>
          </rPr>
          <t xml:space="preserve">
Times adjusted to represent an hour earlier than electronic file times to account for the end of daylight savings.
KB 11/24/2015</t>
        </r>
      </text>
    </comment>
    <comment ref="O273" authorId="2" shapeId="0" xr:uid="{00000000-0006-0000-0000-00008502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274" authorId="2" shapeId="0" xr:uid="{00000000-0006-0000-0000-000086020000}">
      <text>
        <r>
          <rPr>
            <b/>
            <sz val="9"/>
            <color indexed="81"/>
            <rFont val="Tahoma"/>
            <charset val="1"/>
          </rPr>
          <t>U.S. EPA User or Contractor:</t>
        </r>
        <r>
          <rPr>
            <sz val="9"/>
            <color indexed="81"/>
            <rFont val="Tahoma"/>
            <charset val="1"/>
          </rPr>
          <t xml:space="preserve">
Times adjusted to represent an hour earlier than electronic file times to account for the end of daylight savings.
KB 11/24/2015</t>
        </r>
      </text>
    </comment>
    <comment ref="D274" authorId="2" shapeId="0" xr:uid="{00000000-0006-0000-0000-000087020000}">
      <text>
        <r>
          <rPr>
            <b/>
            <sz val="9"/>
            <color indexed="81"/>
            <rFont val="Tahoma"/>
            <charset val="1"/>
          </rPr>
          <t>U.S. EPA User or Contractor:</t>
        </r>
        <r>
          <rPr>
            <sz val="9"/>
            <color indexed="81"/>
            <rFont val="Tahoma"/>
            <charset val="1"/>
          </rPr>
          <t xml:space="preserve">
Times adjusted to represent an hour earlier than electronic file times to account for the end of daylight savings.
KB 11/24/2015</t>
        </r>
      </text>
    </comment>
    <comment ref="E274" authorId="2" shapeId="0" xr:uid="{00000000-0006-0000-0000-000088020000}">
      <text>
        <r>
          <rPr>
            <b/>
            <sz val="9"/>
            <color indexed="81"/>
            <rFont val="Tahoma"/>
            <charset val="1"/>
          </rPr>
          <t>U.S. EPA User or Contractor:</t>
        </r>
        <r>
          <rPr>
            <sz val="9"/>
            <color indexed="81"/>
            <rFont val="Tahoma"/>
            <charset val="1"/>
          </rPr>
          <t xml:space="preserve">
Times adjusted to represent an hour earlier than electronic file times to account for the end of daylight savings.
KB 11/24/2015</t>
        </r>
      </text>
    </comment>
    <comment ref="O274" authorId="2" shapeId="0" xr:uid="{00000000-0006-0000-0000-00008902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275" authorId="1" shapeId="0" xr:uid="{00000000-0006-0000-0000-000024020000}">
      <text>
        <r>
          <rPr>
            <b/>
            <sz val="9"/>
            <color indexed="81"/>
            <rFont val="Tahoma"/>
            <charset val="1"/>
          </rPr>
          <t>Beaulieu, Jake:</t>
        </r>
        <r>
          <rPr>
            <sz val="9"/>
            <color indexed="81"/>
            <rFont val="Tahoma"/>
            <charset val="1"/>
          </rPr>
          <t xml:space="preserve">
Sensor wonky until 5 hours into deployment.  This date.time cannot be used to calculate manual bubbling rate.</t>
        </r>
      </text>
    </comment>
    <comment ref="F275" authorId="2" shapeId="0" xr:uid="{00000000-0006-0000-0000-000025020000}">
      <text>
        <r>
          <rPr>
            <b/>
            <sz val="9"/>
            <color indexed="81"/>
            <rFont val="Tahoma"/>
            <family val="2"/>
          </rPr>
          <t>U.S. EPA User or Contractor:</t>
        </r>
        <r>
          <rPr>
            <sz val="9"/>
            <color indexed="81"/>
            <rFont val="Tahoma"/>
            <family val="2"/>
          </rPr>
          <t xml:space="preserve">
No coordinates given</t>
        </r>
      </text>
    </comment>
    <comment ref="G275" authorId="2" shapeId="0" xr:uid="{00000000-0006-0000-0000-000026020000}">
      <text>
        <r>
          <rPr>
            <b/>
            <sz val="9"/>
            <color indexed="81"/>
            <rFont val="Tahoma"/>
            <family val="2"/>
          </rPr>
          <t>U.S. EPA User or Contractor:</t>
        </r>
        <r>
          <rPr>
            <sz val="9"/>
            <color indexed="81"/>
            <rFont val="Tahoma"/>
            <family val="2"/>
          </rPr>
          <t xml:space="preserve">
No coordinates given</t>
        </r>
      </text>
    </comment>
    <comment ref="O275" authorId="2" shapeId="0" xr:uid="{00000000-0006-0000-0000-00002702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276" authorId="2" shapeId="0" xr:uid="{00000000-0006-0000-0000-00008E020000}">
      <text>
        <r>
          <rPr>
            <b/>
            <sz val="9"/>
            <color indexed="81"/>
            <rFont val="Tahoma"/>
            <charset val="1"/>
          </rPr>
          <t>U.S. EPA User or Contractor:</t>
        </r>
        <r>
          <rPr>
            <sz val="9"/>
            <color indexed="81"/>
            <rFont val="Tahoma"/>
            <charset val="1"/>
          </rPr>
          <t xml:space="preserve">
Times adjusted to represent an hour earlier than electronic file times to account for the end of daylight savings.
KB 11/24/2015</t>
        </r>
      </text>
    </comment>
    <comment ref="D276" authorId="2" shapeId="0" xr:uid="{00000000-0006-0000-0000-00008F020000}">
      <text>
        <r>
          <rPr>
            <b/>
            <sz val="9"/>
            <color indexed="81"/>
            <rFont val="Tahoma"/>
            <charset val="1"/>
          </rPr>
          <t>U.S. EPA User or Contractor:</t>
        </r>
        <r>
          <rPr>
            <sz val="9"/>
            <color indexed="81"/>
            <rFont val="Tahoma"/>
            <charset val="1"/>
          </rPr>
          <t xml:space="preserve">
Times adjusted to represent an hour earlier than electronic file times to account for the end of daylight savings.
KB 11/24/2015</t>
        </r>
      </text>
    </comment>
    <comment ref="E276" authorId="2" shapeId="0" xr:uid="{00000000-0006-0000-0000-000090020000}">
      <text>
        <r>
          <rPr>
            <b/>
            <sz val="9"/>
            <color indexed="81"/>
            <rFont val="Tahoma"/>
            <charset val="1"/>
          </rPr>
          <t>U.S. EPA User or Contractor:</t>
        </r>
        <r>
          <rPr>
            <sz val="9"/>
            <color indexed="81"/>
            <rFont val="Tahoma"/>
            <charset val="1"/>
          </rPr>
          <t xml:space="preserve">
Times adjusted to represent an hour earlier than electronic file times to account for the end of daylight savings.
KB 11/24/2015</t>
        </r>
      </text>
    </comment>
    <comment ref="O276" authorId="2" shapeId="0" xr:uid="{00000000-0006-0000-0000-00009102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277" authorId="2" shapeId="0" xr:uid="{00000000-0006-0000-0000-000092020000}">
      <text>
        <r>
          <rPr>
            <b/>
            <sz val="9"/>
            <color indexed="81"/>
            <rFont val="Tahoma"/>
            <charset val="1"/>
          </rPr>
          <t>U.S. EPA User or Contractor:</t>
        </r>
        <r>
          <rPr>
            <sz val="9"/>
            <color indexed="81"/>
            <rFont val="Tahoma"/>
            <charset val="1"/>
          </rPr>
          <t xml:space="preserve">
Times adjusted to represent an hour earlier than electronic file times to account for the end of daylight savings.
KB 11/24/2015</t>
        </r>
      </text>
    </comment>
    <comment ref="D277" authorId="2" shapeId="0" xr:uid="{00000000-0006-0000-0000-000093020000}">
      <text>
        <r>
          <rPr>
            <b/>
            <sz val="9"/>
            <color indexed="81"/>
            <rFont val="Tahoma"/>
            <charset val="1"/>
          </rPr>
          <t>U.S. EPA User or Contractor:</t>
        </r>
        <r>
          <rPr>
            <sz val="9"/>
            <color indexed="81"/>
            <rFont val="Tahoma"/>
            <charset val="1"/>
          </rPr>
          <t xml:space="preserve">
Times adjusted to represent an hour earlier than electronic file times to account for the end of daylight savings.
KB 11/24/2015</t>
        </r>
      </text>
    </comment>
    <comment ref="E277" authorId="2" shapeId="0" xr:uid="{00000000-0006-0000-0000-000094020000}">
      <text>
        <r>
          <rPr>
            <b/>
            <sz val="9"/>
            <color indexed="81"/>
            <rFont val="Tahoma"/>
            <charset val="1"/>
          </rPr>
          <t>U.S. EPA User or Contractor:</t>
        </r>
        <r>
          <rPr>
            <sz val="9"/>
            <color indexed="81"/>
            <rFont val="Tahoma"/>
            <charset val="1"/>
          </rPr>
          <t xml:space="preserve">
Times adjusted to represent an hour earlier than electronic file times to account for the end of daylight savings.
KB 11/24/2015</t>
        </r>
      </text>
    </comment>
    <comment ref="J277" authorId="2" shapeId="0" xr:uid="{00000000-0006-0000-0000-000095020000}">
      <text>
        <r>
          <rPr>
            <b/>
            <sz val="9"/>
            <color indexed="81"/>
            <rFont val="Tahoma"/>
            <family val="2"/>
          </rPr>
          <t xml:space="preserve">U.S. EPA User or Contractor:
</t>
        </r>
        <r>
          <rPr>
            <sz val="9"/>
            <color indexed="81"/>
            <rFont val="Tahoma"/>
            <family val="2"/>
          </rPr>
          <t>JB 11/17/15
Has 3 exetainer codes but volumes for those 3 were not recorded.  Will assume 29, 30, and 30mL based on volumes collected at other sites on same day.</t>
        </r>
      </text>
    </comment>
    <comment ref="O277" authorId="2" shapeId="0" xr:uid="{00000000-0006-0000-0000-00009602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278" authorId="2" shapeId="0" xr:uid="{00000000-0006-0000-0000-000097020000}">
      <text>
        <r>
          <rPr>
            <b/>
            <sz val="9"/>
            <color indexed="81"/>
            <rFont val="Tahoma"/>
            <charset val="1"/>
          </rPr>
          <t>U.S. EPA User or Contractor:</t>
        </r>
        <r>
          <rPr>
            <sz val="9"/>
            <color indexed="81"/>
            <rFont val="Tahoma"/>
            <charset val="1"/>
          </rPr>
          <t xml:space="preserve">
Computer times were adjusted in accordance with daylight savings, however the times were accidentally set 12 hours fast. These present values represent the adjusted times.
KB 11/24/2015</t>
        </r>
      </text>
    </comment>
    <comment ref="D278" authorId="2" shapeId="0" xr:uid="{00000000-0006-0000-0000-000098020000}">
      <text>
        <r>
          <rPr>
            <b/>
            <sz val="9"/>
            <color indexed="81"/>
            <rFont val="Tahoma"/>
            <charset val="1"/>
          </rPr>
          <t>U.S. EPA User or Contractor:</t>
        </r>
        <r>
          <rPr>
            <sz val="9"/>
            <color indexed="81"/>
            <rFont val="Tahoma"/>
            <charset val="1"/>
          </rPr>
          <t xml:space="preserve">
Computer times were adjusted in accordance with daylight savings, however the times were accidentally set 12 hours fast. These present values represent the adjusted times.
KB 11/24/2015</t>
        </r>
      </text>
    </comment>
    <comment ref="E278" authorId="2" shapeId="0" xr:uid="{00000000-0006-0000-0000-000099020000}">
      <text>
        <r>
          <rPr>
            <b/>
            <sz val="9"/>
            <color indexed="81"/>
            <rFont val="Tahoma"/>
            <charset val="1"/>
          </rPr>
          <t>U.S. EPA User or Contractor:</t>
        </r>
        <r>
          <rPr>
            <sz val="9"/>
            <color indexed="81"/>
            <rFont val="Tahoma"/>
            <charset val="1"/>
          </rPr>
          <t xml:space="preserve">
Computer times were adjusted in accordance with daylight savings, however the times were accidentally set 12 hours fast. These present values represent the adjusted times.
KB 11/24/2015</t>
        </r>
      </text>
    </comment>
    <comment ref="O278" authorId="2" shapeId="0" xr:uid="{00000000-0006-0000-0000-00009A02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279" authorId="1" shapeId="0" xr:uid="{00000000-0006-0000-0000-0000FB010000}">
      <text>
        <r>
          <rPr>
            <b/>
            <sz val="9"/>
            <color indexed="81"/>
            <rFont val="Tahoma"/>
            <charset val="1"/>
          </rPr>
          <t>Beaulieu, Jake:</t>
        </r>
        <r>
          <rPr>
            <sz val="9"/>
            <color indexed="81"/>
            <rFont val="Tahoma"/>
            <charset val="1"/>
          </rPr>
          <t xml:space="preserve">
Assumed deployment time is the retrieval time from last deployment, + 15 minutes.</t>
        </r>
      </text>
    </comment>
    <comment ref="F279" authorId="2" shapeId="0" xr:uid="{00000000-0006-0000-0000-0000FC010000}">
      <text>
        <r>
          <rPr>
            <b/>
            <sz val="9"/>
            <color indexed="81"/>
            <rFont val="Tahoma"/>
            <family val="2"/>
          </rPr>
          <t>U.S. EPA User or Contractor:</t>
        </r>
        <r>
          <rPr>
            <sz val="9"/>
            <color indexed="81"/>
            <rFont val="Tahoma"/>
            <family val="2"/>
          </rPr>
          <t xml:space="preserve">
No coordinates given</t>
        </r>
      </text>
    </comment>
    <comment ref="G279" authorId="2" shapeId="0" xr:uid="{00000000-0006-0000-0000-0000FD010000}">
      <text>
        <r>
          <rPr>
            <b/>
            <sz val="9"/>
            <color indexed="81"/>
            <rFont val="Tahoma"/>
            <family val="2"/>
          </rPr>
          <t>U.S. EPA User or Contractor:</t>
        </r>
        <r>
          <rPr>
            <sz val="9"/>
            <color indexed="81"/>
            <rFont val="Tahoma"/>
            <family val="2"/>
          </rPr>
          <t xml:space="preserve">
No coordinates given</t>
        </r>
      </text>
    </comment>
    <comment ref="J279" authorId="2" shapeId="0" xr:uid="{00000000-0006-0000-0000-0000FE010000}">
      <text>
        <r>
          <rPr>
            <b/>
            <sz val="9"/>
            <color indexed="81"/>
            <rFont val="Tahoma"/>
            <family val="2"/>
          </rPr>
          <t>U.S. EPA User or Contractor:</t>
        </r>
        <r>
          <rPr>
            <sz val="9"/>
            <color indexed="81"/>
            <rFont val="Tahoma"/>
            <family val="2"/>
          </rPr>
          <t xml:space="preserve">
14.5 inches gas measured in tube </t>
        </r>
      </text>
    </comment>
    <comment ref="O279" authorId="2" shapeId="0" xr:uid="{00000000-0006-0000-0000-0000FF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280" authorId="2" shapeId="0" xr:uid="{00000000-0006-0000-0000-00009F020000}">
      <text>
        <r>
          <rPr>
            <b/>
            <sz val="9"/>
            <color indexed="81"/>
            <rFont val="Tahoma"/>
            <charset val="1"/>
          </rPr>
          <t>U.S. EPA User or Contractor:</t>
        </r>
        <r>
          <rPr>
            <sz val="9"/>
            <color indexed="81"/>
            <rFont val="Tahoma"/>
            <charset val="1"/>
          </rPr>
          <t xml:space="preserve">
Computer times were adjusted in accordance with daylight savings, however the times were accidentally set 12 hours fast. These present values represent the adjusted times.
KB 11/24/2015</t>
        </r>
      </text>
    </comment>
    <comment ref="D280" authorId="2" shapeId="0" xr:uid="{00000000-0006-0000-0000-0000A0020000}">
      <text>
        <r>
          <rPr>
            <b/>
            <sz val="9"/>
            <color indexed="81"/>
            <rFont val="Tahoma"/>
            <charset val="1"/>
          </rPr>
          <t>U.S. EPA User or Contractor:</t>
        </r>
        <r>
          <rPr>
            <sz val="9"/>
            <color indexed="81"/>
            <rFont val="Tahoma"/>
            <charset val="1"/>
          </rPr>
          <t xml:space="preserve">
Computer times were adjusted in accordance with daylight savings, however the times were accidentally set 12 hours fast. These present values represent the adjusted times.
KB 11/24/2015</t>
        </r>
      </text>
    </comment>
    <comment ref="E280" authorId="2" shapeId="0" xr:uid="{00000000-0006-0000-0000-0000A1020000}">
      <text>
        <r>
          <rPr>
            <b/>
            <sz val="9"/>
            <color indexed="81"/>
            <rFont val="Tahoma"/>
            <charset val="1"/>
          </rPr>
          <t>U.S. EPA User or Contractor:</t>
        </r>
        <r>
          <rPr>
            <sz val="9"/>
            <color indexed="81"/>
            <rFont val="Tahoma"/>
            <charset val="1"/>
          </rPr>
          <t xml:space="preserve">
Computer times were adjusted in accordance with daylight savings, however the times were accidentally set 12 hours fast. These present values represent the adjusted times.
KB 11/24/2015</t>
        </r>
      </text>
    </comment>
    <comment ref="O280" authorId="2" shapeId="0" xr:uid="{00000000-0006-0000-0000-0000A202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281" authorId="2" shapeId="0" xr:uid="{00000000-0006-0000-0000-0000A3020000}">
      <text>
        <r>
          <rPr>
            <b/>
            <sz val="9"/>
            <color indexed="81"/>
            <rFont val="Tahoma"/>
            <charset val="1"/>
          </rPr>
          <t>U.S. EPA User or Contractor:</t>
        </r>
        <r>
          <rPr>
            <sz val="9"/>
            <color indexed="81"/>
            <rFont val="Tahoma"/>
            <charset val="1"/>
          </rPr>
          <t xml:space="preserve">
Computer times were adjusted in accordance with daylight savings, however the times were accidentally set 12 hours fast. These present values represent the adjusted times.
KB 11/24/2015</t>
        </r>
      </text>
    </comment>
    <comment ref="D281" authorId="2" shapeId="0" xr:uid="{00000000-0006-0000-0000-0000A4020000}">
      <text>
        <r>
          <rPr>
            <b/>
            <sz val="9"/>
            <color indexed="81"/>
            <rFont val="Tahoma"/>
            <charset val="1"/>
          </rPr>
          <t>U.S. EPA User or Contractor:</t>
        </r>
        <r>
          <rPr>
            <sz val="9"/>
            <color indexed="81"/>
            <rFont val="Tahoma"/>
            <charset val="1"/>
          </rPr>
          <t xml:space="preserve">
Computer times were adjusted in accordance with daylight savings, however the times were accidentally set 12 hours fast. These present values represent the adjusted times.
KB 11/24/2015</t>
        </r>
      </text>
    </comment>
    <comment ref="E281" authorId="2" shapeId="0" xr:uid="{00000000-0006-0000-0000-0000A5020000}">
      <text>
        <r>
          <rPr>
            <b/>
            <sz val="9"/>
            <color indexed="81"/>
            <rFont val="Tahoma"/>
            <charset val="1"/>
          </rPr>
          <t>U.S. EPA User or Contractor:</t>
        </r>
        <r>
          <rPr>
            <sz val="9"/>
            <color indexed="81"/>
            <rFont val="Tahoma"/>
            <charset val="1"/>
          </rPr>
          <t xml:space="preserve">
Computer times were adjusted in accordance with daylight savings, however the times were accidentally set 12 hours fast. These present values represent the adjusted times.
KB 11/24/2015</t>
        </r>
      </text>
    </comment>
    <comment ref="O281" authorId="2" shapeId="0" xr:uid="{00000000-0006-0000-0000-0000A602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282" authorId="2" shapeId="0" xr:uid="{00000000-0006-0000-0000-0000A7020000}">
      <text>
        <r>
          <rPr>
            <b/>
            <sz val="9"/>
            <color indexed="81"/>
            <rFont val="Tahoma"/>
            <charset val="1"/>
          </rPr>
          <t>U.S. EPA User or Contractor:</t>
        </r>
        <r>
          <rPr>
            <sz val="9"/>
            <color indexed="81"/>
            <rFont val="Tahoma"/>
            <charset val="1"/>
          </rPr>
          <t xml:space="preserve">
Computer times were adjusted in accordance with daylight savings, however the times were accidentally set 12 hours fast. These present values represent the adjusted times.
KB 11/24/2015</t>
        </r>
      </text>
    </comment>
    <comment ref="D282" authorId="2" shapeId="0" xr:uid="{00000000-0006-0000-0000-0000A8020000}">
      <text>
        <r>
          <rPr>
            <b/>
            <sz val="9"/>
            <color indexed="81"/>
            <rFont val="Tahoma"/>
            <charset val="1"/>
          </rPr>
          <t>U.S. EPA User or Contractor:</t>
        </r>
        <r>
          <rPr>
            <sz val="9"/>
            <color indexed="81"/>
            <rFont val="Tahoma"/>
            <charset val="1"/>
          </rPr>
          <t xml:space="preserve">
Computer times were adjusted in accordance with daylight savings, however the times were accidentally set 12 hours fast. These present values represent the adjusted times.
KB 11/24/2015</t>
        </r>
      </text>
    </comment>
    <comment ref="E282" authorId="2" shapeId="0" xr:uid="{00000000-0006-0000-0000-0000A9020000}">
      <text>
        <r>
          <rPr>
            <b/>
            <sz val="9"/>
            <color indexed="81"/>
            <rFont val="Tahoma"/>
            <charset val="1"/>
          </rPr>
          <t>U.S. EPA User or Contractor:</t>
        </r>
        <r>
          <rPr>
            <sz val="9"/>
            <color indexed="81"/>
            <rFont val="Tahoma"/>
            <charset val="1"/>
          </rPr>
          <t xml:space="preserve">
Computer times were adjusted in accordance with daylight savings, however the times were accidentally set 12 hours fast. These present values represent the adjusted times.
KB 11/24/2015</t>
        </r>
      </text>
    </comment>
    <comment ref="O282" authorId="2" shapeId="0" xr:uid="{00000000-0006-0000-0000-0000AA02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B283" authorId="2" shapeId="0" xr:uid="{00000000-0006-0000-0000-000057020000}">
      <text>
        <r>
          <rPr>
            <b/>
            <sz val="9"/>
            <color indexed="81"/>
            <rFont val="Tahoma"/>
            <family val="2"/>
          </rPr>
          <t>U.S. EPA User or Contractor:</t>
        </r>
        <r>
          <rPr>
            <sz val="9"/>
            <color indexed="81"/>
            <rFont val="Tahoma"/>
            <family val="2"/>
          </rPr>
          <t xml:space="preserve">
Circuitry was wet, field notes indicate that file was not downloaded.  Logger put in dessicator.  Circuit board (#7) was badly corroded and given to Madhav.  Data was recorded on logger #9 (trap.09.23.2015.hl.enn.hobo).  This file is on share drive, but contains hardly any data.  I relocated logger #9, but it was badly corroded and I could not recover the data.  </t>
        </r>
      </text>
    </comment>
    <comment ref="C283" authorId="1" shapeId="0" xr:uid="{00000000-0006-0000-0000-000058020000}">
      <text>
        <r>
          <rPr>
            <b/>
            <sz val="9"/>
            <color indexed="81"/>
            <rFont val="Tahoma"/>
            <charset val="1"/>
          </rPr>
          <t>Beaulieu, Jake:</t>
        </r>
        <r>
          <rPr>
            <sz val="9"/>
            <color indexed="81"/>
            <rFont val="Tahoma"/>
            <charset val="1"/>
          </rPr>
          <t xml:space="preserve">
Taken as "Time Trap Released Onto Buoy" from data sheet (pg.284).</t>
        </r>
      </text>
    </comment>
    <comment ref="D283" authorId="2" shapeId="0" xr:uid="{00000000-0006-0000-0000-000059020000}">
      <text>
        <r>
          <rPr>
            <b/>
            <sz val="9"/>
            <color indexed="81"/>
            <rFont val="Tahoma"/>
            <family val="2"/>
          </rPr>
          <t>U.S. EPA User or Contractor:</t>
        </r>
        <r>
          <rPr>
            <sz val="9"/>
            <color indexed="81"/>
            <rFont val="Tahoma"/>
            <family val="2"/>
          </rPr>
          <t xml:space="preserve">
Circuitry was wet, field notes indicate that file was not downloaded.  Logger put in dessicator.  Circuit board (#7) was badly corroded and given to Madhav.  Data was recorded on logger #9 (trap.09.23.2015.hl.enn.hobo).  This file is on share drive, but contains hardly any data.  I relocated logger #9, but it was badly corroded and I could not recover the data.  </t>
        </r>
      </text>
    </comment>
    <comment ref="E283" authorId="2" shapeId="0" xr:uid="{00000000-0006-0000-0000-00005A020000}">
      <text>
        <r>
          <rPr>
            <b/>
            <sz val="9"/>
            <color indexed="81"/>
            <rFont val="Tahoma"/>
            <family val="2"/>
          </rPr>
          <t>U.S. EPA User or Contractor:</t>
        </r>
        <r>
          <rPr>
            <sz val="9"/>
            <color indexed="81"/>
            <rFont val="Tahoma"/>
            <family val="2"/>
          </rPr>
          <t xml:space="preserve">
Circuitry was wet, field notes indicate that file was not downloaded.  Logger put in dessicator.  Circuit board (#7) was badly corroded and given to Madhav.  Data was recorded on logger #9 (trap.09.23.2015.hl.enn.hobo).  This file is on share drive, but contains hardly any data.  I relocated logger #9, but it was badly corroded and I could not recover the data.  
Estimate retrieval time as 15 minutes before start time of next deployment.  See pg. 300.</t>
        </r>
      </text>
    </comment>
    <comment ref="F283" authorId="2" shapeId="0" xr:uid="{00000000-0006-0000-0000-00005B020000}">
      <text>
        <r>
          <rPr>
            <b/>
            <sz val="9"/>
            <color indexed="81"/>
            <rFont val="Tahoma"/>
            <family val="2"/>
          </rPr>
          <t>U.S. EPA User or Contractor:</t>
        </r>
        <r>
          <rPr>
            <sz val="9"/>
            <color indexed="81"/>
            <rFont val="Tahoma"/>
            <family val="2"/>
          </rPr>
          <t xml:space="preserve">
No coordinates recorded</t>
        </r>
      </text>
    </comment>
    <comment ref="G283" authorId="2" shapeId="0" xr:uid="{00000000-0006-0000-0000-00005C020000}">
      <text>
        <r>
          <rPr>
            <b/>
            <sz val="9"/>
            <color indexed="81"/>
            <rFont val="Tahoma"/>
            <family val="2"/>
          </rPr>
          <t>U.S. EPA User or Contractor:</t>
        </r>
        <r>
          <rPr>
            <sz val="9"/>
            <color indexed="81"/>
            <rFont val="Tahoma"/>
            <family val="2"/>
          </rPr>
          <t xml:space="preserve">
No coordinates recorded</t>
        </r>
      </text>
    </comment>
    <comment ref="I283" authorId="2" shapeId="0" xr:uid="{00000000-0006-0000-0000-00005D020000}">
      <text>
        <r>
          <rPr>
            <b/>
            <sz val="9"/>
            <color indexed="81"/>
            <rFont val="Tahoma"/>
            <family val="2"/>
          </rPr>
          <t>U.S. EPA User or Contractor:</t>
        </r>
        <r>
          <rPr>
            <sz val="9"/>
            <color indexed="81"/>
            <rFont val="Tahoma"/>
            <family val="2"/>
          </rPr>
          <t xml:space="preserve">
Circuitry was wet, field notes indicate that file was not downloaded.  Logger put in dessicator.  Circuit board (#7) was badly corroded and given to Madhav.  Data was recorded on logger #9 (trap.09.23.2015.hl.enn.hobo).  This file is on share drive, but contains hardly any data.  I relocated logger #9, but it was badly corroded and I could not recover the data.  
Water temp taken as mean of EEB and ECP measured on same day.</t>
        </r>
      </text>
    </comment>
    <comment ref="K283" authorId="2" shapeId="0" xr:uid="{00000000-0006-0000-0000-00005E020000}">
      <text>
        <r>
          <rPr>
            <b/>
            <sz val="9"/>
            <color indexed="81"/>
            <rFont val="Tahoma"/>
            <family val="2"/>
          </rPr>
          <t>U.S. EPA User or Contractor:</t>
        </r>
        <r>
          <rPr>
            <sz val="9"/>
            <color indexed="81"/>
            <rFont val="Tahoma"/>
            <family val="2"/>
          </rPr>
          <t xml:space="preserve">
Circuitry was wet, field notes indicate that file was not downloaded.  Logger put in dessicator.  Circuit board (#7) was badly corroded and given to Madhav.  Data was recorded on logger #9 (trap.09.23.2015.hl.enn.hobo).  This file is on share drive, but contains hardly any data.  I relocated logger #9, but it was badly corroded and I could not recover the data.  </t>
        </r>
      </text>
    </comment>
    <comment ref="L283" authorId="2" shapeId="0" xr:uid="{00000000-0006-0000-0000-00005F020000}">
      <text>
        <r>
          <rPr>
            <b/>
            <sz val="9"/>
            <color indexed="81"/>
            <rFont val="Tahoma"/>
            <family val="2"/>
          </rPr>
          <t>U.S. EPA User or Contractor:</t>
        </r>
        <r>
          <rPr>
            <sz val="9"/>
            <color indexed="81"/>
            <rFont val="Tahoma"/>
            <family val="2"/>
          </rPr>
          <t xml:space="preserve">
Circuitry was wet, field notes indicate that file was not downloaded.  Logger put in dessicator.  Circuit board (#7) was badly corroded and given to Madhav.  Data was recorded on logger #9 (trap.09.23.2015.hl.enn.hobo).  This file is on share drive, but contains hardly any data.  I relocated logger #9, but it was badly corroded and I could not recover the data.  </t>
        </r>
      </text>
    </comment>
    <comment ref="M283" authorId="2" shapeId="0" xr:uid="{00000000-0006-0000-0000-000060020000}">
      <text>
        <r>
          <rPr>
            <b/>
            <sz val="9"/>
            <color indexed="81"/>
            <rFont val="Tahoma"/>
            <family val="2"/>
          </rPr>
          <t>U.S. EPA User or Contractor:</t>
        </r>
        <r>
          <rPr>
            <sz val="9"/>
            <color indexed="81"/>
            <rFont val="Tahoma"/>
            <family val="2"/>
          </rPr>
          <t xml:space="preserve">
Circuitry was wet, field notes indicate that file was not downloaded.  Logger put in dessicator.  Circuit board (#7) was badly corroded and given to Madhav.  Data was recorded on logger #9 (trap.09.23.2015.hl.enn.hobo).  This file is on share drive, but contains hardly any data.  I relocated logger #9, but it was badly corroded and I could not recover the data.  </t>
        </r>
      </text>
    </comment>
    <comment ref="N283" authorId="2" shapeId="0" xr:uid="{00000000-0006-0000-0000-000061020000}">
      <text>
        <r>
          <rPr>
            <b/>
            <sz val="9"/>
            <color indexed="81"/>
            <rFont val="Tahoma"/>
            <family val="2"/>
          </rPr>
          <t>U.S. EPA User or Contractor:</t>
        </r>
        <r>
          <rPr>
            <sz val="9"/>
            <color indexed="81"/>
            <rFont val="Tahoma"/>
            <family val="2"/>
          </rPr>
          <t xml:space="preserve">
Circuitry was wet, field notes indicate that file was not downloaded.  Logger put in dessicator.  Circuit board (#7) was badly corroded and given to Madhav.  Data was recorded on logger #9 (trap.09.23.2015.hl.enn.hobo).  This file is on share drive, but contains hardly any data.  I relocated logger #9, but it was badly corroded and I could not recover the data.  </t>
        </r>
      </text>
    </comment>
    <comment ref="C284" authorId="2" shapeId="0" xr:uid="{00000000-0006-0000-0000-0000AF020000}">
      <text>
        <r>
          <rPr>
            <b/>
            <sz val="9"/>
            <color indexed="81"/>
            <rFont val="Tahoma"/>
            <charset val="1"/>
          </rPr>
          <t>U.S. EPA User or Contractor:</t>
        </r>
        <r>
          <rPr>
            <sz val="9"/>
            <color indexed="81"/>
            <rFont val="Tahoma"/>
            <charset val="1"/>
          </rPr>
          <t xml:space="preserve">
Computer times were adjusted in accordance with daylight savings, however the times were accidentally set 12 hours fast. These present values represent the adjusted times.
KB 11/24/2015</t>
        </r>
      </text>
    </comment>
    <comment ref="D284" authorId="2" shapeId="0" xr:uid="{00000000-0006-0000-0000-0000B0020000}">
      <text>
        <r>
          <rPr>
            <b/>
            <sz val="9"/>
            <color indexed="81"/>
            <rFont val="Tahoma"/>
            <charset val="1"/>
          </rPr>
          <t>U.S. EPA User or Contractor:</t>
        </r>
        <r>
          <rPr>
            <sz val="9"/>
            <color indexed="81"/>
            <rFont val="Tahoma"/>
            <charset val="1"/>
          </rPr>
          <t xml:space="preserve">
Computer times were adjusted in accordance with daylight savings, however the times were accidentally set 12 hours fast. These present values represent the adjusted times.
KB 11/24/2015</t>
        </r>
      </text>
    </comment>
    <comment ref="E284" authorId="2" shapeId="0" xr:uid="{00000000-0006-0000-0000-0000B1020000}">
      <text>
        <r>
          <rPr>
            <b/>
            <sz val="9"/>
            <color indexed="81"/>
            <rFont val="Tahoma"/>
            <charset val="1"/>
          </rPr>
          <t>U.S. EPA User or Contractor:</t>
        </r>
        <r>
          <rPr>
            <sz val="9"/>
            <color indexed="81"/>
            <rFont val="Tahoma"/>
            <charset val="1"/>
          </rPr>
          <t xml:space="preserve">
Computer times were adjusted in accordance with daylight savings, however the times were accidentally set 12 hours fast. These present values represent the adjusted times.
KB 11/24/2015</t>
        </r>
      </text>
    </comment>
    <comment ref="F285" authorId="2" shapeId="0" xr:uid="{00000000-0006-0000-0000-000053020000}">
      <text>
        <r>
          <rPr>
            <b/>
            <sz val="9"/>
            <color indexed="81"/>
            <rFont val="Tahoma"/>
            <family val="2"/>
          </rPr>
          <t>U.S. EPA User or Contractor:</t>
        </r>
        <r>
          <rPr>
            <sz val="9"/>
            <color indexed="81"/>
            <rFont val="Tahoma"/>
            <family val="2"/>
          </rPr>
          <t xml:space="preserve">
No coordinates given</t>
        </r>
      </text>
    </comment>
    <comment ref="G285" authorId="2" shapeId="0" xr:uid="{00000000-0006-0000-0000-000054020000}">
      <text>
        <r>
          <rPr>
            <b/>
            <sz val="9"/>
            <color indexed="81"/>
            <rFont val="Tahoma"/>
            <family val="2"/>
          </rPr>
          <t>U.S. EPA User or Contractor:</t>
        </r>
        <r>
          <rPr>
            <sz val="9"/>
            <color indexed="81"/>
            <rFont val="Tahoma"/>
            <family val="2"/>
          </rPr>
          <t xml:space="preserve">
No coordinates given</t>
        </r>
      </text>
    </comment>
    <comment ref="C286" authorId="2" shapeId="0" xr:uid="{00000000-0006-0000-0000-0000B5020000}">
      <text>
        <r>
          <rPr>
            <b/>
            <sz val="9"/>
            <color indexed="81"/>
            <rFont val="Tahoma"/>
            <charset val="1"/>
          </rPr>
          <t>U.S. EPA User or Contractor:</t>
        </r>
        <r>
          <rPr>
            <sz val="9"/>
            <color indexed="81"/>
            <rFont val="Tahoma"/>
            <charset val="1"/>
          </rPr>
          <t xml:space="preserve">
Computer times were adjusted in accordance with daylight savings, however the times were accidentally set 12 hours fast. These present values represent the adjusted times.
KB 11/24/2015</t>
        </r>
      </text>
    </comment>
    <comment ref="D286" authorId="2" shapeId="0" xr:uid="{00000000-0006-0000-0000-0000B6020000}">
      <text>
        <r>
          <rPr>
            <b/>
            <sz val="9"/>
            <color indexed="81"/>
            <rFont val="Tahoma"/>
            <charset val="1"/>
          </rPr>
          <t>U.S. EPA User or Contractor:</t>
        </r>
        <r>
          <rPr>
            <sz val="9"/>
            <color indexed="81"/>
            <rFont val="Tahoma"/>
            <charset val="1"/>
          </rPr>
          <t xml:space="preserve">
Computer times were adjusted in accordance with daylight savings, however the times were accidentally set 12 hours fast. These present values represent the adjusted times.
KB 11/24/2015</t>
        </r>
      </text>
    </comment>
    <comment ref="E286" authorId="2" shapeId="0" xr:uid="{00000000-0006-0000-0000-0000B7020000}">
      <text>
        <r>
          <rPr>
            <b/>
            <sz val="9"/>
            <color indexed="81"/>
            <rFont val="Tahoma"/>
            <charset val="1"/>
          </rPr>
          <t>U.S. EPA User or Contractor:</t>
        </r>
        <r>
          <rPr>
            <sz val="9"/>
            <color indexed="81"/>
            <rFont val="Tahoma"/>
            <charset val="1"/>
          </rPr>
          <t xml:space="preserve">
Computer times were adjusted in accordance with daylight savings, however the times were accidentally set 12 hours fast. These present values represent the adjusted times.
KB 11/24/2015</t>
        </r>
      </text>
    </comment>
    <comment ref="C287" authorId="2" shapeId="0" xr:uid="{00000000-0006-0000-0000-0000B8020000}">
      <text>
        <r>
          <rPr>
            <b/>
            <sz val="9"/>
            <color indexed="81"/>
            <rFont val="Tahoma"/>
            <charset val="1"/>
          </rPr>
          <t>U.S. EPA User or Contractor:</t>
        </r>
        <r>
          <rPr>
            <sz val="9"/>
            <color indexed="81"/>
            <rFont val="Tahoma"/>
            <charset val="1"/>
          </rPr>
          <t xml:space="preserve">
Computer times were adjusted in accordance with daylight savings, however the times were accidentally set 12 hours fast. These present values represent the adjusted times.
KB 11/24/2015</t>
        </r>
      </text>
    </comment>
    <comment ref="D287" authorId="2" shapeId="0" xr:uid="{00000000-0006-0000-0000-0000B9020000}">
      <text>
        <r>
          <rPr>
            <b/>
            <sz val="9"/>
            <color indexed="81"/>
            <rFont val="Tahoma"/>
            <charset val="1"/>
          </rPr>
          <t>U.S. EPA User or Contractor:</t>
        </r>
        <r>
          <rPr>
            <sz val="9"/>
            <color indexed="81"/>
            <rFont val="Tahoma"/>
            <charset val="1"/>
          </rPr>
          <t xml:space="preserve">
Computer times were adjusted in accordance with daylight savings, however the times were accidentally set 12 hours fast. These present values represent the adjusted times.
KB 11/24/2015</t>
        </r>
      </text>
    </comment>
    <comment ref="E287" authorId="2" shapeId="0" xr:uid="{00000000-0006-0000-0000-0000BA020000}">
      <text>
        <r>
          <rPr>
            <b/>
            <sz val="9"/>
            <color indexed="81"/>
            <rFont val="Tahoma"/>
            <charset val="1"/>
          </rPr>
          <t>U.S. EPA User or Contractor:</t>
        </r>
        <r>
          <rPr>
            <sz val="9"/>
            <color indexed="81"/>
            <rFont val="Tahoma"/>
            <charset val="1"/>
          </rPr>
          <t xml:space="preserve">
Computer times were adjusted in accordance with daylight savings, however the times were accidentally set 12 hours fast. These present values represent the adjusted times.
KB 11/24/2015</t>
        </r>
      </text>
    </comment>
    <comment ref="K287" authorId="1" shapeId="0" xr:uid="{00000000-0006-0000-0000-0000BB020000}">
      <text>
        <r>
          <rPr>
            <b/>
            <sz val="9"/>
            <color indexed="81"/>
            <rFont val="Tahoma"/>
            <charset val="1"/>
          </rPr>
          <t>Beaulieu, Jake:</t>
        </r>
        <r>
          <rPr>
            <sz val="9"/>
            <color indexed="81"/>
            <rFont val="Tahoma"/>
            <charset val="1"/>
          </rPr>
          <t xml:space="preserve">
wacky voltage time series.  Not comfortable using data.</t>
        </r>
      </text>
    </comment>
    <comment ref="L287" authorId="1" shapeId="0" xr:uid="{00000000-0006-0000-0000-0000BC020000}">
      <text>
        <r>
          <rPr>
            <b/>
            <sz val="9"/>
            <color indexed="81"/>
            <rFont val="Tahoma"/>
            <charset val="1"/>
          </rPr>
          <t>Beaulieu, Jake:</t>
        </r>
        <r>
          <rPr>
            <sz val="9"/>
            <color indexed="81"/>
            <rFont val="Tahoma"/>
            <charset val="1"/>
          </rPr>
          <t xml:space="preserve">
wacky voltage time series.  Not comfortable using data.</t>
        </r>
      </text>
    </comment>
    <comment ref="C288" authorId="1" shapeId="0" xr:uid="{00000000-0006-0000-0000-000013020000}">
      <text>
        <r>
          <rPr>
            <b/>
            <sz val="9"/>
            <color indexed="81"/>
            <rFont val="Tahoma"/>
            <charset val="1"/>
          </rPr>
          <t>Beaulieu, Jake:</t>
        </r>
        <r>
          <rPr>
            <sz val="9"/>
            <color indexed="81"/>
            <rFont val="Tahoma"/>
            <charset val="1"/>
          </rPr>
          <t xml:space="preserve">
Assumed deployment time is the retrieval time from last deployment, + 15 minutes.</t>
        </r>
      </text>
    </comment>
    <comment ref="F288" authorId="2" shapeId="0" xr:uid="{00000000-0006-0000-0000-000014020000}">
      <text>
        <r>
          <rPr>
            <b/>
            <sz val="9"/>
            <color indexed="81"/>
            <rFont val="Tahoma"/>
            <family val="2"/>
          </rPr>
          <t>U.S. EPA User or Contractor:</t>
        </r>
        <r>
          <rPr>
            <sz val="9"/>
            <color indexed="81"/>
            <rFont val="Tahoma"/>
            <family val="2"/>
          </rPr>
          <t xml:space="preserve">
No coordinates given</t>
        </r>
      </text>
    </comment>
    <comment ref="G288" authorId="2" shapeId="0" xr:uid="{00000000-0006-0000-0000-000015020000}">
      <text>
        <r>
          <rPr>
            <b/>
            <sz val="9"/>
            <color indexed="81"/>
            <rFont val="Tahoma"/>
            <family val="2"/>
          </rPr>
          <t>U.S. EPA User or Contractor:</t>
        </r>
        <r>
          <rPr>
            <sz val="9"/>
            <color indexed="81"/>
            <rFont val="Tahoma"/>
            <family val="2"/>
          </rPr>
          <t xml:space="preserve">
No coordinates given</t>
        </r>
      </text>
    </comment>
    <comment ref="O288" authorId="2" shapeId="0" xr:uid="{00000000-0006-0000-0000-00001602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289" authorId="2" shapeId="0" xr:uid="{00000000-0006-0000-0000-0000C0020000}">
      <text>
        <r>
          <rPr>
            <b/>
            <sz val="9"/>
            <color indexed="81"/>
            <rFont val="Tahoma"/>
            <charset val="1"/>
          </rPr>
          <t>U.S. EPA User or Contractor:</t>
        </r>
        <r>
          <rPr>
            <sz val="9"/>
            <color indexed="81"/>
            <rFont val="Tahoma"/>
            <charset val="1"/>
          </rPr>
          <t xml:space="preserve">
Computer times were adjusted in accordance with daylight savings, however the times were accidentally set 12 hours fast. These present values represent the adjusted times.
KB 11/24/2015</t>
        </r>
      </text>
    </comment>
    <comment ref="D289" authorId="1" shapeId="0" xr:uid="{00000000-0006-0000-0000-0000C1020000}">
      <text>
        <r>
          <rPr>
            <b/>
            <sz val="9"/>
            <color indexed="81"/>
            <rFont val="Tahoma"/>
            <charset val="1"/>
          </rPr>
          <t>Beaulieu, Jake:</t>
        </r>
        <r>
          <rPr>
            <sz val="9"/>
            <color indexed="81"/>
            <rFont val="Tahoma"/>
            <charset val="1"/>
          </rPr>
          <t xml:space="preserve">
wacky voltage time series.  Not comfortable using data.</t>
        </r>
      </text>
    </comment>
    <comment ref="E289" authorId="1" shapeId="0" xr:uid="{00000000-0006-0000-0000-0000C2020000}">
      <text>
        <r>
          <rPr>
            <b/>
            <sz val="9"/>
            <color indexed="81"/>
            <rFont val="Tahoma"/>
            <charset val="1"/>
          </rPr>
          <t>Beaulieu, Jake:</t>
        </r>
        <r>
          <rPr>
            <sz val="9"/>
            <color indexed="81"/>
            <rFont val="Tahoma"/>
            <charset val="1"/>
          </rPr>
          <t xml:space="preserve">
wacky voltage time series.  Not comfortable using data for rate calculatation, but can still report retrieval date.time.</t>
        </r>
      </text>
    </comment>
    <comment ref="K289" authorId="1" shapeId="0" xr:uid="{00000000-0006-0000-0000-0000C3020000}">
      <text>
        <r>
          <rPr>
            <b/>
            <sz val="9"/>
            <color indexed="81"/>
            <rFont val="Tahoma"/>
            <charset val="1"/>
          </rPr>
          <t>Beaulieu, Jake:</t>
        </r>
        <r>
          <rPr>
            <sz val="9"/>
            <color indexed="81"/>
            <rFont val="Tahoma"/>
            <charset val="1"/>
          </rPr>
          <t xml:space="preserve">
wacky voltage time series.  Not comfortable using data.</t>
        </r>
      </text>
    </comment>
    <comment ref="L289" authorId="1" shapeId="0" xr:uid="{00000000-0006-0000-0000-0000C4020000}">
      <text>
        <r>
          <rPr>
            <b/>
            <sz val="9"/>
            <color indexed="81"/>
            <rFont val="Tahoma"/>
            <charset val="1"/>
          </rPr>
          <t>Beaulieu, Jake:</t>
        </r>
        <r>
          <rPr>
            <sz val="9"/>
            <color indexed="81"/>
            <rFont val="Tahoma"/>
            <charset val="1"/>
          </rPr>
          <t xml:space="preserve">
wacky voltage time series.  Not comfortable using data.</t>
        </r>
      </text>
    </comment>
    <comment ref="B290" authorId="2" shapeId="0" xr:uid="{00000000-0006-0000-0000-000062020000}">
      <text>
        <r>
          <rPr>
            <b/>
            <sz val="9"/>
            <color indexed="81"/>
            <rFont val="Tahoma"/>
            <charset val="1"/>
          </rPr>
          <t>U.S. EPA User or Contractor:</t>
        </r>
        <r>
          <rPr>
            <sz val="9"/>
            <color indexed="81"/>
            <rFont val="Tahoma"/>
            <charset val="1"/>
          </rPr>
          <t xml:space="preserve">
There are 3 ENN files.  I don't know WTF.  Use the one with the most sensible data trap.09.28.2015.hl.enn_1.hobo.
</t>
        </r>
      </text>
    </comment>
    <comment ref="F290" authorId="2" shapeId="0" xr:uid="{00000000-0006-0000-0000-000063020000}">
      <text>
        <r>
          <rPr>
            <b/>
            <sz val="9"/>
            <color indexed="81"/>
            <rFont val="Tahoma"/>
            <family val="2"/>
          </rPr>
          <t>U.S. EPA User or Contractor:</t>
        </r>
        <r>
          <rPr>
            <sz val="9"/>
            <color indexed="81"/>
            <rFont val="Tahoma"/>
            <family val="2"/>
          </rPr>
          <t xml:space="preserve">
No coordinates recorded</t>
        </r>
      </text>
    </comment>
    <comment ref="G290" authorId="2" shapeId="0" xr:uid="{00000000-0006-0000-0000-000064020000}">
      <text>
        <r>
          <rPr>
            <b/>
            <sz val="9"/>
            <color indexed="81"/>
            <rFont val="Tahoma"/>
            <family val="2"/>
          </rPr>
          <t>U.S. EPA User or Contractor:</t>
        </r>
        <r>
          <rPr>
            <sz val="9"/>
            <color indexed="81"/>
            <rFont val="Tahoma"/>
            <family val="2"/>
          </rPr>
          <t xml:space="preserve">
No coordinates recorded</t>
        </r>
      </text>
    </comment>
    <comment ref="C292" authorId="2" shapeId="0" xr:uid="{00000000-0006-0000-0000-0000C8020000}">
      <text>
        <r>
          <rPr>
            <b/>
            <sz val="9"/>
            <color indexed="81"/>
            <rFont val="Tahoma"/>
            <charset val="1"/>
          </rPr>
          <t>U.S. EPA User or Contractor:</t>
        </r>
        <r>
          <rPr>
            <sz val="9"/>
            <color indexed="81"/>
            <rFont val="Tahoma"/>
            <charset val="1"/>
          </rPr>
          <t xml:space="preserve">
Voltage is extremely strange.</t>
        </r>
      </text>
    </comment>
    <comment ref="D292" authorId="2" shapeId="0" xr:uid="{00000000-0006-0000-0000-0000C9020000}">
      <text>
        <r>
          <rPr>
            <b/>
            <sz val="9"/>
            <color indexed="81"/>
            <rFont val="Tahoma"/>
            <charset val="1"/>
          </rPr>
          <t>U.S. EPA User or Contractor:</t>
        </r>
        <r>
          <rPr>
            <sz val="9"/>
            <color indexed="81"/>
            <rFont val="Tahoma"/>
            <charset val="1"/>
          </rPr>
          <t xml:space="preserve">
Voltage is extremely strange.</t>
        </r>
      </text>
    </comment>
    <comment ref="E292" authorId="1" shapeId="0" xr:uid="{00000000-0006-0000-0000-0000CA020000}">
      <text>
        <r>
          <rPr>
            <b/>
            <sz val="9"/>
            <color indexed="81"/>
            <rFont val="Tahoma"/>
            <charset val="1"/>
          </rPr>
          <t>Beaulieu, Jake:</t>
        </r>
        <r>
          <rPr>
            <sz val="9"/>
            <color indexed="81"/>
            <rFont val="Tahoma"/>
            <charset val="1"/>
          </rPr>
          <t xml:space="preserve">
wacky voltage time series.  Not comfortable using data for rate calculatation, but can still report retrieval date.time.
Voltage drops off massively from about 1ish to 0ish on 11/24. Should I use the last time before the drop in voltage or should I use the actual time the trap data was collected?
-KB 12/1/2015</t>
        </r>
      </text>
    </comment>
    <comment ref="K292" authorId="1" shapeId="0" xr:uid="{00000000-0006-0000-0000-0000CB020000}">
      <text>
        <r>
          <rPr>
            <b/>
            <sz val="9"/>
            <color indexed="81"/>
            <rFont val="Tahoma"/>
            <charset val="1"/>
          </rPr>
          <t>Beaulieu, Jake:</t>
        </r>
        <r>
          <rPr>
            <sz val="9"/>
            <color indexed="81"/>
            <rFont val="Tahoma"/>
            <charset val="1"/>
          </rPr>
          <t xml:space="preserve">
wacky voltage time series.  Not comfortable using data.</t>
        </r>
      </text>
    </comment>
    <comment ref="L292" authorId="1" shapeId="0" xr:uid="{00000000-0006-0000-0000-0000CC020000}">
      <text>
        <r>
          <rPr>
            <b/>
            <sz val="9"/>
            <color indexed="81"/>
            <rFont val="Tahoma"/>
            <charset val="1"/>
          </rPr>
          <t>Beaulieu, Jake:</t>
        </r>
        <r>
          <rPr>
            <sz val="9"/>
            <color indexed="81"/>
            <rFont val="Tahoma"/>
            <charset val="1"/>
          </rPr>
          <t xml:space="preserve">
wacky voltage time series.  Not comfortable using data.</t>
        </r>
      </text>
    </comment>
    <comment ref="C294" authorId="2" shapeId="0" xr:uid="{00000000-0006-0000-0000-0000D0020000}">
      <text>
        <r>
          <rPr>
            <b/>
            <sz val="9"/>
            <color indexed="81"/>
            <rFont val="Tahoma"/>
            <charset val="1"/>
          </rPr>
          <t>U.S. EPA User or Contractor:</t>
        </r>
        <r>
          <rPr>
            <sz val="9"/>
            <color indexed="81"/>
            <rFont val="Tahoma"/>
            <charset val="1"/>
          </rPr>
          <t xml:space="preserve">
Voltage is extremely strange.</t>
        </r>
      </text>
    </comment>
    <comment ref="D294" authorId="2" shapeId="0" xr:uid="{00000000-0006-0000-0000-0000D1020000}">
      <text>
        <r>
          <rPr>
            <b/>
            <sz val="9"/>
            <color indexed="81"/>
            <rFont val="Tahoma"/>
            <charset val="1"/>
          </rPr>
          <t>U.S. EPA User or Contractor:</t>
        </r>
        <r>
          <rPr>
            <sz val="9"/>
            <color indexed="81"/>
            <rFont val="Tahoma"/>
            <charset val="1"/>
          </rPr>
          <t xml:space="preserve">
Voltage is extremely strange.</t>
        </r>
      </text>
    </comment>
    <comment ref="E294" authorId="2" shapeId="0" xr:uid="{00000000-0006-0000-0000-0000D2020000}">
      <text>
        <r>
          <rPr>
            <b/>
            <sz val="9"/>
            <color indexed="81"/>
            <rFont val="Tahoma"/>
            <charset val="1"/>
          </rPr>
          <t>U.S. EPA User or Contractor:</t>
        </r>
        <r>
          <rPr>
            <sz val="9"/>
            <color indexed="81"/>
            <rFont val="Tahoma"/>
            <charset val="1"/>
          </rPr>
          <t xml:space="preserve">
Voltage is extremely strange.</t>
        </r>
      </text>
    </comment>
    <comment ref="C295" authorId="1" shapeId="0" xr:uid="{00000000-0006-0000-0000-0000D3020000}">
      <text>
        <r>
          <rPr>
            <b/>
            <sz val="9"/>
            <color indexed="81"/>
            <rFont val="Tahoma"/>
            <charset val="1"/>
          </rPr>
          <t>Beaulieu, Jake:</t>
        </r>
        <r>
          <rPr>
            <sz val="9"/>
            <color indexed="81"/>
            <rFont val="Tahoma"/>
            <charset val="1"/>
          </rPr>
          <t xml:space="preserve">
wacky voltage time series.  Not comfortable using data for rate calculatation, but can still report retrieval date.time.
Voltage drops off massively from about 1ish to 0ish on 11/24. Should I use the last time before the drop in voltage or should I use the actual time the trap data was collected?
-KB 12/1/2015</t>
        </r>
      </text>
    </comment>
    <comment ref="D295" authorId="2" shapeId="0" xr:uid="{00000000-0006-0000-0000-0000D4020000}">
      <text>
        <r>
          <rPr>
            <b/>
            <sz val="9"/>
            <color indexed="81"/>
            <rFont val="Tahoma"/>
            <charset val="1"/>
          </rPr>
          <t>U.S. EPA User or Contractor:</t>
        </r>
        <r>
          <rPr>
            <sz val="9"/>
            <color indexed="81"/>
            <rFont val="Tahoma"/>
            <charset val="1"/>
          </rPr>
          <t xml:space="preserve">
Voltage is extremely strange.</t>
        </r>
      </text>
    </comment>
    <comment ref="E295" authorId="1" shapeId="0" xr:uid="{00000000-0006-0000-0000-0000D5020000}">
      <text>
        <r>
          <rPr>
            <b/>
            <sz val="9"/>
            <color indexed="81"/>
            <rFont val="Tahoma"/>
            <charset val="1"/>
          </rPr>
          <t>Beaulieu, Jake:</t>
        </r>
        <r>
          <rPr>
            <sz val="9"/>
            <color indexed="81"/>
            <rFont val="Tahoma"/>
            <charset val="1"/>
          </rPr>
          <t xml:space="preserve">
wacky voltage time series.  Not comfortable using data for rate calculatation, but can still report retrieval date.time.
Voltage drops off massively from about 1ish to 0ish on 11/24. Should I use the last time before the drop in voltage or should I use the actual time the trap data was collected?
-KB 12/1/2015</t>
        </r>
      </text>
    </comment>
    <comment ref="C296" authorId="1" shapeId="0" xr:uid="{00000000-0006-0000-0000-0000D6020000}">
      <text>
        <r>
          <rPr>
            <b/>
            <sz val="9"/>
            <color indexed="81"/>
            <rFont val="Tahoma"/>
            <charset val="1"/>
          </rPr>
          <t>Beaulieu, Jake:</t>
        </r>
        <r>
          <rPr>
            <sz val="9"/>
            <color indexed="81"/>
            <rFont val="Tahoma"/>
            <charset val="1"/>
          </rPr>
          <t xml:space="preserve">
wacky voltage time series.  Not comfortable using data for rate calculatation, but can still report retrieval date.time.
Voltage drops off massively from about 1ish to 0ish on 11/24. Should I use the last time before the drop in voltage or should I use the actual time the trap data was collected?
-KB 12/1/2015</t>
        </r>
      </text>
    </comment>
    <comment ref="D296" authorId="2" shapeId="0" xr:uid="{00000000-0006-0000-0000-0000D7020000}">
      <text>
        <r>
          <rPr>
            <b/>
            <sz val="9"/>
            <color indexed="81"/>
            <rFont val="Tahoma"/>
            <charset val="1"/>
          </rPr>
          <t>U.S. EPA User or Contractor:</t>
        </r>
        <r>
          <rPr>
            <sz val="9"/>
            <color indexed="81"/>
            <rFont val="Tahoma"/>
            <charset val="1"/>
          </rPr>
          <t xml:space="preserve">
Voltage is extremely strange.</t>
        </r>
      </text>
    </comment>
    <comment ref="E296" authorId="1" shapeId="0" xr:uid="{00000000-0006-0000-0000-0000D8020000}">
      <text>
        <r>
          <rPr>
            <b/>
            <sz val="9"/>
            <color indexed="81"/>
            <rFont val="Tahoma"/>
            <charset val="1"/>
          </rPr>
          <t>Beaulieu, Jake:</t>
        </r>
        <r>
          <rPr>
            <sz val="9"/>
            <color indexed="81"/>
            <rFont val="Tahoma"/>
            <charset val="1"/>
          </rPr>
          <t xml:space="preserve">
wacky voltage time series.  Not comfortable using data for rate calculatation, but can still report retrieval date.time.
Voltage drops off massively from about 1ish to 0ish on 11/24. Should I use the last time before the drop in voltage or should I use the actual time the trap data was collected?
-KB 12/1/2015</t>
        </r>
      </text>
    </comment>
    <comment ref="E297" authorId="1" shapeId="0" xr:uid="{00000000-0006-0000-0000-00003C020000}">
      <text>
        <r>
          <rPr>
            <b/>
            <sz val="9"/>
            <color indexed="81"/>
            <rFont val="Tahoma"/>
            <charset val="1"/>
          </rPr>
          <t>Beaulieu, Jake:</t>
        </r>
        <r>
          <rPr>
            <sz val="9"/>
            <color indexed="81"/>
            <rFont val="Tahoma"/>
            <charset val="1"/>
          </rPr>
          <t xml:space="preserve">
assumed 15 minutes prior to logger start time for next deployment</t>
        </r>
      </text>
    </comment>
    <comment ref="F297" authorId="2" shapeId="0" xr:uid="{00000000-0006-0000-0000-00003D020000}">
      <text>
        <r>
          <rPr>
            <b/>
            <sz val="9"/>
            <color indexed="81"/>
            <rFont val="Tahoma"/>
            <family val="2"/>
          </rPr>
          <t>U.S. EPA User or Contractor:</t>
        </r>
        <r>
          <rPr>
            <sz val="9"/>
            <color indexed="81"/>
            <rFont val="Tahoma"/>
            <family val="2"/>
          </rPr>
          <t xml:space="preserve">
No coordinates recorded</t>
        </r>
      </text>
    </comment>
    <comment ref="G297" authorId="2" shapeId="0" xr:uid="{00000000-0006-0000-0000-00003E020000}">
      <text>
        <r>
          <rPr>
            <b/>
            <sz val="9"/>
            <color indexed="81"/>
            <rFont val="Tahoma"/>
            <family val="2"/>
          </rPr>
          <t>U.S. EPA User or Contractor:</t>
        </r>
        <r>
          <rPr>
            <sz val="9"/>
            <color indexed="81"/>
            <rFont val="Tahoma"/>
            <family val="2"/>
          </rPr>
          <t xml:space="preserve">
No coordinates recorded</t>
        </r>
      </text>
    </comment>
    <comment ref="O297" authorId="2" shapeId="0" xr:uid="{00000000-0006-0000-0000-00003F02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298" authorId="1" shapeId="0" xr:uid="{00000000-0006-0000-0000-0000D9020000}">
      <text>
        <r>
          <rPr>
            <b/>
            <sz val="9"/>
            <color indexed="81"/>
            <rFont val="Tahoma"/>
            <charset val="1"/>
          </rPr>
          <t>Beaulieu, Jake:</t>
        </r>
        <r>
          <rPr>
            <sz val="9"/>
            <color indexed="81"/>
            <rFont val="Tahoma"/>
            <charset val="1"/>
          </rPr>
          <t xml:space="preserve">
wacky voltage time series.  Not comfortable using data for rate calculatation, but can still report retrieval date.time.
Voltage drops off massively from about 1ish to 0ish on 11/24. Should I use the last time before the drop in voltage or should I use the actual time the trap data was collected?
-KB 12/1/2015</t>
        </r>
      </text>
    </comment>
    <comment ref="D298" authorId="2" shapeId="0" xr:uid="{00000000-0006-0000-0000-0000DA020000}">
      <text>
        <r>
          <rPr>
            <b/>
            <sz val="9"/>
            <color indexed="81"/>
            <rFont val="Tahoma"/>
            <charset val="1"/>
          </rPr>
          <t>U.S. EPA User or Contractor:</t>
        </r>
        <r>
          <rPr>
            <sz val="9"/>
            <color indexed="81"/>
            <rFont val="Tahoma"/>
            <charset val="1"/>
          </rPr>
          <t xml:space="preserve">
Voltage is extremely strange.</t>
        </r>
      </text>
    </comment>
    <comment ref="E298" authorId="1" shapeId="0" xr:uid="{00000000-0006-0000-0000-0000DB020000}">
      <text>
        <r>
          <rPr>
            <b/>
            <sz val="9"/>
            <color indexed="81"/>
            <rFont val="Tahoma"/>
            <charset val="1"/>
          </rPr>
          <t>Beaulieu, Jake:</t>
        </r>
        <r>
          <rPr>
            <sz val="9"/>
            <color indexed="81"/>
            <rFont val="Tahoma"/>
            <charset val="1"/>
          </rPr>
          <t xml:space="preserve">
wacky voltage time series.  Not comfortable using data for rate calculatation, but can still report retrieval date.time.
Voltage drops off massively from about 1ish to 0ish on 11/24. Should I use the last time before the drop in voltage or should I use the actual time the trap data was collected?
-KB 12/1/2015</t>
        </r>
      </text>
    </comment>
    <comment ref="C301" authorId="2" shapeId="0" xr:uid="{00000000-0006-0000-0000-00008A020000}">
      <text>
        <r>
          <rPr>
            <b/>
            <sz val="9"/>
            <color indexed="81"/>
            <rFont val="Tahoma"/>
            <charset val="1"/>
          </rPr>
          <t>U.S. EPA User or Contractor:</t>
        </r>
        <r>
          <rPr>
            <sz val="9"/>
            <color indexed="81"/>
            <rFont val="Tahoma"/>
            <charset val="1"/>
          </rPr>
          <t xml:space="preserve">
Times adjusted to represent an hour earlier than electronic file times to account for the end of daylight savings.
KB 11/24/2015</t>
        </r>
      </text>
    </comment>
    <comment ref="D301" authorId="2" shapeId="0" xr:uid="{00000000-0006-0000-0000-00008B020000}">
      <text>
        <r>
          <rPr>
            <b/>
            <sz val="9"/>
            <color indexed="81"/>
            <rFont val="Tahoma"/>
            <charset val="1"/>
          </rPr>
          <t>U.S. EPA User or Contractor:</t>
        </r>
        <r>
          <rPr>
            <sz val="9"/>
            <color indexed="81"/>
            <rFont val="Tahoma"/>
            <charset val="1"/>
          </rPr>
          <t xml:space="preserve">
Times adjusted to represent an hour earlier than electronic file times to account for the end of daylight savings.
KB 11/24/2015</t>
        </r>
      </text>
    </comment>
    <comment ref="E301" authorId="2" shapeId="0" xr:uid="{00000000-0006-0000-0000-00008C020000}">
      <text>
        <r>
          <rPr>
            <b/>
            <sz val="9"/>
            <color indexed="81"/>
            <rFont val="Tahoma"/>
            <charset val="1"/>
          </rPr>
          <t>U.S. EPA User or Contractor:</t>
        </r>
        <r>
          <rPr>
            <sz val="9"/>
            <color indexed="81"/>
            <rFont val="Tahoma"/>
            <charset val="1"/>
          </rPr>
          <t xml:space="preserve">
Times adjusted to represent an hour earlier than electronic file times to account for the end of daylight savings.
KB 11/24/2015</t>
        </r>
      </text>
    </comment>
    <comment ref="O301" authorId="2" shapeId="0" xr:uid="{00000000-0006-0000-0000-00008D02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302" authorId="1" shapeId="0" xr:uid="{00000000-0006-0000-0000-0000DC020000}">
      <text>
        <r>
          <rPr>
            <b/>
            <sz val="9"/>
            <color indexed="81"/>
            <rFont val="Tahoma"/>
            <charset val="1"/>
          </rPr>
          <t>Beaulieu, Jake:</t>
        </r>
        <r>
          <rPr>
            <sz val="9"/>
            <color indexed="81"/>
            <rFont val="Tahoma"/>
            <charset val="1"/>
          </rPr>
          <t xml:space="preserve">
wacky voltage time series.  Not comfortable using data for rate calculatation, but can still report retrieval date.time.
Voltage drops off massively from about 1ish to 0ish on 11/24. Should I use the last time before the drop in voltage or should I use the actual time the trap data was collected?
-KB 12/1/2015</t>
        </r>
      </text>
    </comment>
    <comment ref="D302" authorId="2" shapeId="0" xr:uid="{00000000-0006-0000-0000-0000DD020000}">
      <text>
        <r>
          <rPr>
            <b/>
            <sz val="9"/>
            <color indexed="81"/>
            <rFont val="Tahoma"/>
            <charset val="1"/>
          </rPr>
          <t>U.S. EPA User or Contractor:</t>
        </r>
        <r>
          <rPr>
            <sz val="9"/>
            <color indexed="81"/>
            <rFont val="Tahoma"/>
            <charset val="1"/>
          </rPr>
          <t xml:space="preserve">
Voltage is extremely strange.</t>
        </r>
      </text>
    </comment>
    <comment ref="E302" authorId="1" shapeId="0" xr:uid="{00000000-0006-0000-0000-0000DE020000}">
      <text>
        <r>
          <rPr>
            <b/>
            <sz val="9"/>
            <color indexed="81"/>
            <rFont val="Tahoma"/>
            <charset val="1"/>
          </rPr>
          <t>Beaulieu, Jake:</t>
        </r>
        <r>
          <rPr>
            <sz val="9"/>
            <color indexed="81"/>
            <rFont val="Tahoma"/>
            <charset val="1"/>
          </rPr>
          <t xml:space="preserve">
wacky voltage time series.  Not comfortable using data for rate calculatation, but can still report retrieval date.time.
Voltage drops off massively from about 1ish to 0ish on 11/24. Should I use the last time before the drop in voltage or should I use the actual time the trap data was collected?
-KB 12/1/2015</t>
        </r>
      </text>
    </comment>
    <comment ref="C308" authorId="2" shapeId="0" xr:uid="{00000000-0006-0000-0000-0000AB020000}">
      <text>
        <r>
          <rPr>
            <b/>
            <sz val="9"/>
            <color indexed="81"/>
            <rFont val="Tahoma"/>
            <charset val="1"/>
          </rPr>
          <t>U.S. EPA User or Contractor:</t>
        </r>
        <r>
          <rPr>
            <sz val="9"/>
            <color indexed="81"/>
            <rFont val="Tahoma"/>
            <charset val="1"/>
          </rPr>
          <t xml:space="preserve">
Computer times were adjusted in accordance with daylight savings, however the times were accidentally set 12 hours fast. These present values represent the adjusted times.
KB 11/24/2015</t>
        </r>
      </text>
    </comment>
    <comment ref="D308" authorId="2" shapeId="0" xr:uid="{00000000-0006-0000-0000-0000AC020000}">
      <text>
        <r>
          <rPr>
            <b/>
            <sz val="9"/>
            <color indexed="81"/>
            <rFont val="Tahoma"/>
            <charset val="1"/>
          </rPr>
          <t>U.S. EPA User or Contractor:</t>
        </r>
        <r>
          <rPr>
            <sz val="9"/>
            <color indexed="81"/>
            <rFont val="Tahoma"/>
            <charset val="1"/>
          </rPr>
          <t xml:space="preserve">
Computer times were adjusted in accordance with daylight savings, however the times were accidentally set 12 hours fast. These present values represent the adjusted times.
KB 11/24/2015</t>
        </r>
      </text>
    </comment>
    <comment ref="E308" authorId="2" shapeId="0" xr:uid="{00000000-0006-0000-0000-0000AD020000}">
      <text>
        <r>
          <rPr>
            <b/>
            <sz val="9"/>
            <color indexed="81"/>
            <rFont val="Tahoma"/>
            <charset val="1"/>
          </rPr>
          <t>U.S. EPA User or Contractor:</t>
        </r>
        <r>
          <rPr>
            <sz val="9"/>
            <color indexed="81"/>
            <rFont val="Tahoma"/>
            <charset val="1"/>
          </rPr>
          <t xml:space="preserve">
Computer times were adjusted in accordance with daylight savings, however the times were accidentally set 12 hours fast. These present values represent the adjusted times.
KB 11/24/2015</t>
        </r>
      </text>
    </comment>
    <comment ref="O308" authorId="2" shapeId="0" xr:uid="{00000000-0006-0000-0000-0000AE02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D309" authorId="1" shapeId="0" xr:uid="{00000000-0006-0000-0000-0000E2020000}">
      <text>
        <r>
          <rPr>
            <b/>
            <sz val="9"/>
            <color indexed="81"/>
            <rFont val="Tahoma"/>
            <family val="2"/>
          </rPr>
          <t>Beaulieu, Jake, 1/22/16:</t>
        </r>
        <r>
          <rPr>
            <sz val="9"/>
            <color indexed="81"/>
            <rFont val="Tahoma"/>
            <family val="2"/>
          </rPr>
          <t xml:space="preserve">
No logger file?
</t>
        </r>
      </text>
    </comment>
    <comment ref="E309" authorId="1" shapeId="0" xr:uid="{00000000-0006-0000-0000-0000E3020000}">
      <text>
        <r>
          <rPr>
            <b/>
            <sz val="9"/>
            <color indexed="81"/>
            <rFont val="Tahoma"/>
            <family val="2"/>
          </rPr>
          <t>Beaulieu, Jake, 1/26/16:</t>
        </r>
        <r>
          <rPr>
            <sz val="9"/>
            <color indexed="81"/>
            <rFont val="Tahoma"/>
            <family val="2"/>
          </rPr>
          <t xml:space="preserve">
not recorded, best guess</t>
        </r>
      </text>
    </comment>
    <comment ref="D311" authorId="1" shapeId="0" xr:uid="{00000000-0006-0000-0000-0000E4020000}">
      <text>
        <r>
          <rPr>
            <b/>
            <sz val="9"/>
            <color indexed="81"/>
            <rFont val="Tahoma"/>
            <family val="2"/>
          </rPr>
          <t>Beaulieu, Jake, 1/22/16:</t>
        </r>
        <r>
          <rPr>
            <sz val="9"/>
            <color indexed="81"/>
            <rFont val="Tahoma"/>
            <family val="2"/>
          </rPr>
          <t xml:space="preserve">
No logger file?
</t>
        </r>
      </text>
    </comment>
    <comment ref="E311" authorId="1" shapeId="0" xr:uid="{00000000-0006-0000-0000-0000E5020000}">
      <text>
        <r>
          <rPr>
            <b/>
            <sz val="9"/>
            <color indexed="81"/>
            <rFont val="Tahoma"/>
            <family val="2"/>
          </rPr>
          <t>Beaulieu, Jake, 1/22/16:</t>
        </r>
        <r>
          <rPr>
            <sz val="9"/>
            <color indexed="81"/>
            <rFont val="Tahoma"/>
            <family val="2"/>
          </rPr>
          <t xml:space="preserve">
Not recorded, best guess.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Platz, Michelle</author>
    <author>Beaulieu, Jake</author>
    <author>U.S. EPA User or Contractor</author>
  </authors>
  <commentList>
    <comment ref="C2" authorId="0" shapeId="0" xr:uid="{00000000-0006-0000-0100-000001000000}">
      <text>
        <r>
          <rPr>
            <b/>
            <sz val="9"/>
            <color indexed="81"/>
            <rFont val="Tahoma"/>
            <family val="2"/>
          </rPr>
          <t>Platz, Michelle:</t>
        </r>
        <r>
          <rPr>
            <sz val="9"/>
            <color indexed="81"/>
            <rFont val="Tahoma"/>
            <family val="2"/>
          </rPr>
          <t xml:space="preserve">
Entry format is
 yyyy-mm-dd hh:mm</t>
        </r>
      </text>
    </comment>
    <comment ref="E5" authorId="1" shapeId="0" xr:uid="{00000000-0006-0000-0100-000002000000}">
      <text>
        <r>
          <rPr>
            <b/>
            <sz val="9"/>
            <color indexed="81"/>
            <rFont val="Tahoma"/>
            <family val="2"/>
          </rPr>
          <t>Beaulieu, Jake:</t>
        </r>
        <r>
          <rPr>
            <sz val="9"/>
            <color indexed="81"/>
            <rFont val="Tahoma"/>
            <family val="2"/>
          </rPr>
          <t xml:space="preserve">
sensor wires crossed</t>
        </r>
      </text>
    </comment>
    <comment ref="H5" authorId="1" shapeId="0" xr:uid="{00000000-0006-0000-0100-000003000000}">
      <text>
        <r>
          <rPr>
            <b/>
            <sz val="9"/>
            <color indexed="81"/>
            <rFont val="Tahoma"/>
            <family val="2"/>
          </rPr>
          <t>Beaulieu, Jake:</t>
        </r>
        <r>
          <rPr>
            <sz val="9"/>
            <color indexed="81"/>
            <rFont val="Tahoma"/>
            <family val="2"/>
          </rPr>
          <t xml:space="preserve">
sensor wires crossed</t>
        </r>
      </text>
    </comment>
    <comment ref="O5" authorId="1" shapeId="0" xr:uid="{00000000-0006-0000-0100-000004000000}">
      <text>
        <r>
          <rPr>
            <b/>
            <sz val="9"/>
            <color indexed="81"/>
            <rFont val="Tahoma"/>
            <family val="2"/>
          </rPr>
          <t>Beaulieu, Jake:</t>
        </r>
        <r>
          <rPr>
            <sz val="9"/>
            <color indexed="81"/>
            <rFont val="Tahoma"/>
            <family val="2"/>
          </rPr>
          <t xml:space="preserve">
sensor wires crossed</t>
        </r>
      </text>
    </comment>
    <comment ref="P5" authorId="1" shapeId="0" xr:uid="{00000000-0006-0000-0100-000005000000}">
      <text>
        <r>
          <rPr>
            <b/>
            <sz val="9"/>
            <color indexed="81"/>
            <rFont val="Tahoma"/>
            <family val="2"/>
          </rPr>
          <t>Beaulieu, Jake:</t>
        </r>
        <r>
          <rPr>
            <sz val="9"/>
            <color indexed="81"/>
            <rFont val="Tahoma"/>
            <family val="2"/>
          </rPr>
          <t xml:space="preserve">
sensor wires crossed</t>
        </r>
      </text>
    </comment>
    <comment ref="U5" authorId="1" shapeId="0" xr:uid="{00000000-0006-0000-0100-000006000000}">
      <text>
        <r>
          <rPr>
            <b/>
            <sz val="9"/>
            <color indexed="81"/>
            <rFont val="Tahoma"/>
            <family val="2"/>
          </rPr>
          <t>Beaulieu, Jake:</t>
        </r>
        <r>
          <rPr>
            <sz val="9"/>
            <color indexed="81"/>
            <rFont val="Tahoma"/>
            <family val="2"/>
          </rPr>
          <t xml:space="preserve">
sensor wires crossed</t>
        </r>
      </text>
    </comment>
    <comment ref="E6" authorId="1" shapeId="0" xr:uid="{00000000-0006-0000-0100-000007000000}">
      <text>
        <r>
          <rPr>
            <b/>
            <sz val="9"/>
            <color indexed="81"/>
            <rFont val="Tahoma"/>
            <family val="2"/>
          </rPr>
          <t>Beaulieu, Jake:</t>
        </r>
        <r>
          <rPr>
            <sz val="9"/>
            <color indexed="81"/>
            <rFont val="Tahoma"/>
            <family val="2"/>
          </rPr>
          <t xml:space="preserve">
housing broke off trap</t>
        </r>
      </text>
    </comment>
    <comment ref="F6" authorId="1" shapeId="0" xr:uid="{00000000-0006-0000-0100-000008000000}">
      <text>
        <r>
          <rPr>
            <b/>
            <sz val="9"/>
            <color indexed="81"/>
            <rFont val="Tahoma"/>
            <family val="2"/>
          </rPr>
          <t>Beaulieu, Jake:</t>
        </r>
        <r>
          <rPr>
            <sz val="9"/>
            <color indexed="81"/>
            <rFont val="Tahoma"/>
            <family val="2"/>
          </rPr>
          <t xml:space="preserve">
housing broke off trap</t>
        </r>
      </text>
    </comment>
    <comment ref="G6" authorId="1" shapeId="0" xr:uid="{00000000-0006-0000-0100-000009000000}">
      <text>
        <r>
          <rPr>
            <b/>
            <sz val="9"/>
            <color indexed="81"/>
            <rFont val="Tahoma"/>
            <family val="2"/>
          </rPr>
          <t>Beaulieu, Jake:</t>
        </r>
        <r>
          <rPr>
            <sz val="9"/>
            <color indexed="81"/>
            <rFont val="Tahoma"/>
            <family val="2"/>
          </rPr>
          <t xml:space="preserve">
housing broke off trap</t>
        </r>
      </text>
    </comment>
    <comment ref="H6" authorId="1" shapeId="0" xr:uid="{00000000-0006-0000-0100-00000A000000}">
      <text>
        <r>
          <rPr>
            <b/>
            <sz val="9"/>
            <color indexed="81"/>
            <rFont val="Tahoma"/>
            <family val="2"/>
          </rPr>
          <t>Beaulieu, Jake:</t>
        </r>
        <r>
          <rPr>
            <sz val="9"/>
            <color indexed="81"/>
            <rFont val="Tahoma"/>
            <family val="2"/>
          </rPr>
          <t xml:space="preserve">
housing broke off trap</t>
        </r>
      </text>
    </comment>
    <comment ref="O6" authorId="1" shapeId="0" xr:uid="{00000000-0006-0000-0100-00000B000000}">
      <text>
        <r>
          <rPr>
            <b/>
            <sz val="9"/>
            <color indexed="81"/>
            <rFont val="Tahoma"/>
            <family val="2"/>
          </rPr>
          <t>Beaulieu, Jake:</t>
        </r>
        <r>
          <rPr>
            <sz val="9"/>
            <color indexed="81"/>
            <rFont val="Tahoma"/>
            <family val="2"/>
          </rPr>
          <t xml:space="preserve">
housing broke off trap</t>
        </r>
      </text>
    </comment>
    <comment ref="P6" authorId="1" shapeId="0" xr:uid="{00000000-0006-0000-0100-00000C000000}">
      <text>
        <r>
          <rPr>
            <b/>
            <sz val="9"/>
            <color indexed="81"/>
            <rFont val="Tahoma"/>
            <family val="2"/>
          </rPr>
          <t>Beaulieu, Jake:</t>
        </r>
        <r>
          <rPr>
            <sz val="9"/>
            <color indexed="81"/>
            <rFont val="Tahoma"/>
            <family val="2"/>
          </rPr>
          <t xml:space="preserve">
housing broke off trap</t>
        </r>
      </text>
    </comment>
    <comment ref="Q6" authorId="1" shapeId="0" xr:uid="{00000000-0006-0000-0100-00000D000000}">
      <text>
        <r>
          <rPr>
            <b/>
            <sz val="9"/>
            <color indexed="81"/>
            <rFont val="Tahoma"/>
            <family val="2"/>
          </rPr>
          <t>Beaulieu, Jake:</t>
        </r>
        <r>
          <rPr>
            <sz val="9"/>
            <color indexed="81"/>
            <rFont val="Tahoma"/>
            <family val="2"/>
          </rPr>
          <t xml:space="preserve">
housing broke off trap</t>
        </r>
      </text>
    </comment>
    <comment ref="R6" authorId="1" shapeId="0" xr:uid="{00000000-0006-0000-0100-00000E000000}">
      <text>
        <r>
          <rPr>
            <b/>
            <sz val="9"/>
            <color indexed="81"/>
            <rFont val="Tahoma"/>
            <family val="2"/>
          </rPr>
          <t>Beaulieu, Jake:</t>
        </r>
        <r>
          <rPr>
            <sz val="9"/>
            <color indexed="81"/>
            <rFont val="Tahoma"/>
            <family val="2"/>
          </rPr>
          <t xml:space="preserve">
housing broke off trap</t>
        </r>
      </text>
    </comment>
    <comment ref="S6" authorId="1" shapeId="0" xr:uid="{00000000-0006-0000-0100-00000F000000}">
      <text>
        <r>
          <rPr>
            <b/>
            <sz val="9"/>
            <color indexed="81"/>
            <rFont val="Tahoma"/>
            <family val="2"/>
          </rPr>
          <t>Beaulieu, Jake:</t>
        </r>
        <r>
          <rPr>
            <sz val="9"/>
            <color indexed="81"/>
            <rFont val="Tahoma"/>
            <family val="2"/>
          </rPr>
          <t xml:space="preserve">
housing broke off trap</t>
        </r>
      </text>
    </comment>
    <comment ref="T6" authorId="1" shapeId="0" xr:uid="{00000000-0006-0000-0100-000010000000}">
      <text>
        <r>
          <rPr>
            <b/>
            <sz val="9"/>
            <color indexed="81"/>
            <rFont val="Tahoma"/>
            <family val="2"/>
          </rPr>
          <t>Beaulieu, Jake:</t>
        </r>
        <r>
          <rPr>
            <sz val="9"/>
            <color indexed="81"/>
            <rFont val="Tahoma"/>
            <family val="2"/>
          </rPr>
          <t xml:space="preserve">
housing broke off trap</t>
        </r>
      </text>
    </comment>
    <comment ref="U6" authorId="1" shapeId="0" xr:uid="{00000000-0006-0000-0100-000011000000}">
      <text>
        <r>
          <rPr>
            <b/>
            <sz val="9"/>
            <color indexed="81"/>
            <rFont val="Tahoma"/>
            <family val="2"/>
          </rPr>
          <t>Beaulieu, Jake:</t>
        </r>
        <r>
          <rPr>
            <sz val="9"/>
            <color indexed="81"/>
            <rFont val="Tahoma"/>
            <family val="2"/>
          </rPr>
          <t xml:space="preserve">
housing broke off trap</t>
        </r>
      </text>
    </comment>
    <comment ref="E7" authorId="1" shapeId="0" xr:uid="{00000000-0006-0000-0100-000012000000}">
      <text>
        <r>
          <rPr>
            <b/>
            <sz val="9"/>
            <color indexed="81"/>
            <rFont val="Tahoma"/>
            <family val="2"/>
          </rPr>
          <t>Beaulieu, Jake:</t>
        </r>
        <r>
          <rPr>
            <sz val="9"/>
            <color indexed="81"/>
            <rFont val="Tahoma"/>
            <family val="2"/>
          </rPr>
          <t xml:space="preserve">
sensor wires crossed</t>
        </r>
      </text>
    </comment>
    <comment ref="F7" authorId="1" shapeId="0" xr:uid="{00000000-0006-0000-0100-000013000000}">
      <text>
        <r>
          <rPr>
            <b/>
            <sz val="9"/>
            <color indexed="81"/>
            <rFont val="Tahoma"/>
            <family val="2"/>
          </rPr>
          <t>Beaulieu, Jake:</t>
        </r>
        <r>
          <rPr>
            <sz val="9"/>
            <color indexed="81"/>
            <rFont val="Tahoma"/>
            <family val="2"/>
          </rPr>
          <t xml:space="preserve">
sensor wires crossed</t>
        </r>
      </text>
    </comment>
    <comment ref="G7" authorId="1" shapeId="0" xr:uid="{00000000-0006-0000-0100-000014000000}">
      <text>
        <r>
          <rPr>
            <b/>
            <sz val="9"/>
            <color indexed="81"/>
            <rFont val="Tahoma"/>
            <family val="2"/>
          </rPr>
          <t>Beaulieu, Jake:</t>
        </r>
        <r>
          <rPr>
            <sz val="9"/>
            <color indexed="81"/>
            <rFont val="Tahoma"/>
            <family val="2"/>
          </rPr>
          <t xml:space="preserve">
sensor wires crossed</t>
        </r>
      </text>
    </comment>
    <comment ref="H7" authorId="1" shapeId="0" xr:uid="{00000000-0006-0000-0100-000015000000}">
      <text>
        <r>
          <rPr>
            <b/>
            <sz val="9"/>
            <color indexed="81"/>
            <rFont val="Tahoma"/>
            <family val="2"/>
          </rPr>
          <t>Beaulieu, Jake:</t>
        </r>
        <r>
          <rPr>
            <sz val="9"/>
            <color indexed="81"/>
            <rFont val="Tahoma"/>
            <family val="2"/>
          </rPr>
          <t xml:space="preserve">
sensor wires crossed</t>
        </r>
      </text>
    </comment>
    <comment ref="I7" authorId="1" shapeId="0" xr:uid="{00000000-0006-0000-0100-000016000000}">
      <text>
        <r>
          <rPr>
            <b/>
            <sz val="9"/>
            <color indexed="81"/>
            <rFont val="Tahoma"/>
            <family val="2"/>
          </rPr>
          <t>Beaulieu, Jake:</t>
        </r>
        <r>
          <rPr>
            <sz val="9"/>
            <color indexed="81"/>
            <rFont val="Tahoma"/>
            <family val="2"/>
          </rPr>
          <t xml:space="preserve">
sensor wires crossed</t>
        </r>
      </text>
    </comment>
    <comment ref="J7" authorId="1" shapeId="0" xr:uid="{00000000-0006-0000-0100-000017000000}">
      <text>
        <r>
          <rPr>
            <b/>
            <sz val="9"/>
            <color indexed="81"/>
            <rFont val="Tahoma"/>
            <family val="2"/>
          </rPr>
          <t>Beaulieu, Jake:</t>
        </r>
        <r>
          <rPr>
            <sz val="9"/>
            <color indexed="81"/>
            <rFont val="Tahoma"/>
            <family val="2"/>
          </rPr>
          <t xml:space="preserve">
sensor wires crossed</t>
        </r>
      </text>
    </comment>
    <comment ref="K7" authorId="1" shapeId="0" xr:uid="{00000000-0006-0000-0100-000018000000}">
      <text>
        <r>
          <rPr>
            <b/>
            <sz val="9"/>
            <color indexed="81"/>
            <rFont val="Tahoma"/>
            <family val="2"/>
          </rPr>
          <t>Beaulieu, Jake:</t>
        </r>
        <r>
          <rPr>
            <sz val="9"/>
            <color indexed="81"/>
            <rFont val="Tahoma"/>
            <family val="2"/>
          </rPr>
          <t xml:space="preserve">
sensor wires crossed</t>
        </r>
      </text>
    </comment>
    <comment ref="M7" authorId="1" shapeId="0" xr:uid="{00000000-0006-0000-0100-000019000000}">
      <text>
        <r>
          <rPr>
            <b/>
            <sz val="9"/>
            <color indexed="81"/>
            <rFont val="Tahoma"/>
            <family val="2"/>
          </rPr>
          <t>Beaulieu, Jake:</t>
        </r>
        <r>
          <rPr>
            <sz val="9"/>
            <color indexed="81"/>
            <rFont val="Tahoma"/>
            <family val="2"/>
          </rPr>
          <t xml:space="preserve">
sensor wires crossed</t>
        </r>
      </text>
    </comment>
    <comment ref="N7" authorId="1" shapeId="0" xr:uid="{00000000-0006-0000-0100-00001A000000}">
      <text>
        <r>
          <rPr>
            <b/>
            <sz val="9"/>
            <color indexed="81"/>
            <rFont val="Tahoma"/>
            <family val="2"/>
          </rPr>
          <t>Beaulieu, Jake:</t>
        </r>
        <r>
          <rPr>
            <sz val="9"/>
            <color indexed="81"/>
            <rFont val="Tahoma"/>
            <family val="2"/>
          </rPr>
          <t xml:space="preserve">
sensor wires crossed</t>
        </r>
      </text>
    </comment>
    <comment ref="O7" authorId="1" shapeId="0" xr:uid="{00000000-0006-0000-0100-00001B000000}">
      <text>
        <r>
          <rPr>
            <b/>
            <sz val="9"/>
            <color indexed="81"/>
            <rFont val="Tahoma"/>
            <family val="2"/>
          </rPr>
          <t>Beaulieu, Jake:</t>
        </r>
        <r>
          <rPr>
            <sz val="9"/>
            <color indexed="81"/>
            <rFont val="Tahoma"/>
            <family val="2"/>
          </rPr>
          <t xml:space="preserve">
sensor wires crossed</t>
        </r>
      </text>
    </comment>
    <comment ref="P7" authorId="1" shapeId="0" xr:uid="{00000000-0006-0000-0100-00001C000000}">
      <text>
        <r>
          <rPr>
            <b/>
            <sz val="9"/>
            <color indexed="81"/>
            <rFont val="Tahoma"/>
            <family val="2"/>
          </rPr>
          <t>Beaulieu, Jake:</t>
        </r>
        <r>
          <rPr>
            <sz val="9"/>
            <color indexed="81"/>
            <rFont val="Tahoma"/>
            <family val="2"/>
          </rPr>
          <t xml:space="preserve">
sensor wires crossed</t>
        </r>
      </text>
    </comment>
    <comment ref="U7" authorId="1" shapeId="0" xr:uid="{00000000-0006-0000-0100-00001D000000}">
      <text>
        <r>
          <rPr>
            <b/>
            <sz val="9"/>
            <color indexed="81"/>
            <rFont val="Tahoma"/>
            <family val="2"/>
          </rPr>
          <t>Beaulieu, Jake:</t>
        </r>
        <r>
          <rPr>
            <sz val="9"/>
            <color indexed="81"/>
            <rFont val="Tahoma"/>
            <family val="2"/>
          </rPr>
          <t xml:space="preserve">
sensor wires crossed</t>
        </r>
      </text>
    </comment>
    <comment ref="E8" authorId="1" shapeId="0" xr:uid="{00000000-0006-0000-0100-00001E000000}">
      <text>
        <r>
          <rPr>
            <b/>
            <sz val="9"/>
            <color indexed="81"/>
            <rFont val="Tahoma"/>
            <family val="2"/>
          </rPr>
          <t>Beaulieu, Jake:</t>
        </r>
        <r>
          <rPr>
            <sz val="9"/>
            <color indexed="81"/>
            <rFont val="Tahoma"/>
            <family val="2"/>
          </rPr>
          <t xml:space="preserve">
sensor data a bit flaky</t>
        </r>
      </text>
    </comment>
    <comment ref="F8" authorId="1" shapeId="0" xr:uid="{00000000-0006-0000-0100-00001F000000}">
      <text>
        <r>
          <rPr>
            <b/>
            <sz val="9"/>
            <color indexed="81"/>
            <rFont val="Tahoma"/>
            <family val="2"/>
          </rPr>
          <t>Beaulieu, Jake:</t>
        </r>
        <r>
          <rPr>
            <sz val="9"/>
            <color indexed="81"/>
            <rFont val="Tahoma"/>
            <family val="2"/>
          </rPr>
          <t xml:space="preserve">
sensor data a bit flaky</t>
        </r>
      </text>
    </comment>
    <comment ref="G8" authorId="1" shapeId="0" xr:uid="{00000000-0006-0000-0100-000020000000}">
      <text>
        <r>
          <rPr>
            <b/>
            <sz val="9"/>
            <color indexed="81"/>
            <rFont val="Tahoma"/>
            <family val="2"/>
          </rPr>
          <t>Beaulieu, Jake:</t>
        </r>
        <r>
          <rPr>
            <sz val="9"/>
            <color indexed="81"/>
            <rFont val="Tahoma"/>
            <family val="2"/>
          </rPr>
          <t xml:space="preserve">
sensor data a bit flaky</t>
        </r>
      </text>
    </comment>
    <comment ref="H8" authorId="1" shapeId="0" xr:uid="{00000000-0006-0000-0100-000021000000}">
      <text>
        <r>
          <rPr>
            <b/>
            <sz val="9"/>
            <color indexed="81"/>
            <rFont val="Tahoma"/>
            <family val="2"/>
          </rPr>
          <t>Beaulieu, Jake:</t>
        </r>
        <r>
          <rPr>
            <sz val="9"/>
            <color indexed="81"/>
            <rFont val="Tahoma"/>
            <family val="2"/>
          </rPr>
          <t xml:space="preserve">
sensor data a bit flaky</t>
        </r>
      </text>
    </comment>
    <comment ref="O8" authorId="1" shapeId="0" xr:uid="{00000000-0006-0000-0100-000022000000}">
      <text>
        <r>
          <rPr>
            <b/>
            <sz val="9"/>
            <color indexed="81"/>
            <rFont val="Tahoma"/>
            <family val="2"/>
          </rPr>
          <t>Beaulieu, Jake:</t>
        </r>
        <r>
          <rPr>
            <sz val="9"/>
            <color indexed="81"/>
            <rFont val="Tahoma"/>
            <family val="2"/>
          </rPr>
          <t xml:space="preserve">
sensor data a bit flaky</t>
        </r>
      </text>
    </comment>
    <comment ref="P8" authorId="1" shapeId="0" xr:uid="{00000000-0006-0000-0100-000023000000}">
      <text>
        <r>
          <rPr>
            <b/>
            <sz val="9"/>
            <color indexed="81"/>
            <rFont val="Tahoma"/>
            <family val="2"/>
          </rPr>
          <t>Beaulieu, Jake:</t>
        </r>
        <r>
          <rPr>
            <sz val="9"/>
            <color indexed="81"/>
            <rFont val="Tahoma"/>
            <family val="2"/>
          </rPr>
          <t xml:space="preserve">
sensor data a bit flaky</t>
        </r>
      </text>
    </comment>
    <comment ref="Q8" authorId="1" shapeId="0" xr:uid="{00000000-0006-0000-0100-000024000000}">
      <text>
        <r>
          <rPr>
            <b/>
            <sz val="9"/>
            <color indexed="81"/>
            <rFont val="Tahoma"/>
            <family val="2"/>
          </rPr>
          <t>Beaulieu, Jake:</t>
        </r>
        <r>
          <rPr>
            <sz val="9"/>
            <color indexed="81"/>
            <rFont val="Tahoma"/>
            <family val="2"/>
          </rPr>
          <t xml:space="preserve">
sensor data a bit flaky</t>
        </r>
      </text>
    </comment>
    <comment ref="R8" authorId="1" shapeId="0" xr:uid="{00000000-0006-0000-0100-000025000000}">
      <text>
        <r>
          <rPr>
            <b/>
            <sz val="9"/>
            <color indexed="81"/>
            <rFont val="Tahoma"/>
            <family val="2"/>
          </rPr>
          <t>Beaulieu, Jake:</t>
        </r>
        <r>
          <rPr>
            <sz val="9"/>
            <color indexed="81"/>
            <rFont val="Tahoma"/>
            <family val="2"/>
          </rPr>
          <t xml:space="preserve">
sensor data a bit flaky</t>
        </r>
      </text>
    </comment>
    <comment ref="S8" authorId="1" shapeId="0" xr:uid="{00000000-0006-0000-0100-000026000000}">
      <text>
        <r>
          <rPr>
            <b/>
            <sz val="9"/>
            <color indexed="81"/>
            <rFont val="Tahoma"/>
            <family val="2"/>
          </rPr>
          <t>Beaulieu, Jake:</t>
        </r>
        <r>
          <rPr>
            <sz val="9"/>
            <color indexed="81"/>
            <rFont val="Tahoma"/>
            <family val="2"/>
          </rPr>
          <t xml:space="preserve">
sensor data a bit flaky</t>
        </r>
      </text>
    </comment>
    <comment ref="T8" authorId="1" shapeId="0" xr:uid="{00000000-0006-0000-0100-000027000000}">
      <text>
        <r>
          <rPr>
            <b/>
            <sz val="9"/>
            <color indexed="81"/>
            <rFont val="Tahoma"/>
            <family val="2"/>
          </rPr>
          <t>Beaulieu, Jake:</t>
        </r>
        <r>
          <rPr>
            <sz val="9"/>
            <color indexed="81"/>
            <rFont val="Tahoma"/>
            <family val="2"/>
          </rPr>
          <t xml:space="preserve">
sensor data a bit flaky</t>
        </r>
      </text>
    </comment>
    <comment ref="U8" authorId="1" shapeId="0" xr:uid="{00000000-0006-0000-0100-000028000000}">
      <text>
        <r>
          <rPr>
            <b/>
            <sz val="9"/>
            <color indexed="81"/>
            <rFont val="Tahoma"/>
            <family val="2"/>
          </rPr>
          <t>Beaulieu, Jake:</t>
        </r>
        <r>
          <rPr>
            <sz val="9"/>
            <color indexed="81"/>
            <rFont val="Tahoma"/>
            <family val="2"/>
          </rPr>
          <t xml:space="preserve">
sensor data a bit flaky</t>
        </r>
      </text>
    </comment>
    <comment ref="H20" authorId="1" shapeId="0" xr:uid="{00000000-0006-0000-0100-000029000000}">
      <text>
        <r>
          <rPr>
            <b/>
            <sz val="9"/>
            <color indexed="81"/>
            <rFont val="Tahoma"/>
            <family val="2"/>
          </rPr>
          <t>Beaulieu, Jake:</t>
        </r>
        <r>
          <rPr>
            <sz val="9"/>
            <color indexed="81"/>
            <rFont val="Tahoma"/>
            <family val="2"/>
          </rPr>
          <t xml:space="preserve">
sensor data a bit flaky</t>
        </r>
      </text>
    </comment>
    <comment ref="O20" authorId="1" shapeId="0" xr:uid="{00000000-0006-0000-0100-00002A000000}">
      <text>
        <r>
          <rPr>
            <b/>
            <sz val="9"/>
            <color indexed="81"/>
            <rFont val="Tahoma"/>
            <family val="2"/>
          </rPr>
          <t>Beaulieu, Jake:</t>
        </r>
        <r>
          <rPr>
            <sz val="9"/>
            <color indexed="81"/>
            <rFont val="Tahoma"/>
            <family val="2"/>
          </rPr>
          <t xml:space="preserve">
sensor data a bit flaky</t>
        </r>
      </text>
    </comment>
    <comment ref="P20" authorId="1" shapeId="0" xr:uid="{00000000-0006-0000-0100-00002B000000}">
      <text>
        <r>
          <rPr>
            <b/>
            <sz val="9"/>
            <color indexed="81"/>
            <rFont val="Tahoma"/>
            <family val="2"/>
          </rPr>
          <t>Beaulieu, Jake:</t>
        </r>
        <r>
          <rPr>
            <sz val="9"/>
            <color indexed="81"/>
            <rFont val="Tahoma"/>
            <family val="2"/>
          </rPr>
          <t xml:space="preserve">
sensor data a bit flaky</t>
        </r>
      </text>
    </comment>
    <comment ref="Q20" authorId="1" shapeId="0" xr:uid="{00000000-0006-0000-0100-00002C000000}">
      <text>
        <r>
          <rPr>
            <b/>
            <sz val="9"/>
            <color indexed="81"/>
            <rFont val="Tahoma"/>
            <family val="2"/>
          </rPr>
          <t>Beaulieu, Jake:</t>
        </r>
        <r>
          <rPr>
            <sz val="9"/>
            <color indexed="81"/>
            <rFont val="Tahoma"/>
            <family val="2"/>
          </rPr>
          <t xml:space="preserve">
sensor data a bit flaky</t>
        </r>
      </text>
    </comment>
    <comment ref="R20" authorId="1" shapeId="0" xr:uid="{00000000-0006-0000-0100-00002D000000}">
      <text>
        <r>
          <rPr>
            <b/>
            <sz val="9"/>
            <color indexed="81"/>
            <rFont val="Tahoma"/>
            <family val="2"/>
          </rPr>
          <t>Beaulieu, Jake:</t>
        </r>
        <r>
          <rPr>
            <sz val="9"/>
            <color indexed="81"/>
            <rFont val="Tahoma"/>
            <family val="2"/>
          </rPr>
          <t xml:space="preserve">
sensor data a bit flaky</t>
        </r>
      </text>
    </comment>
    <comment ref="S20" authorId="1" shapeId="0" xr:uid="{00000000-0006-0000-0100-00002E000000}">
      <text>
        <r>
          <rPr>
            <b/>
            <sz val="9"/>
            <color indexed="81"/>
            <rFont val="Tahoma"/>
            <family val="2"/>
          </rPr>
          <t>Beaulieu, Jake:</t>
        </r>
        <r>
          <rPr>
            <sz val="9"/>
            <color indexed="81"/>
            <rFont val="Tahoma"/>
            <family val="2"/>
          </rPr>
          <t xml:space="preserve">
sensor data a bit flaky</t>
        </r>
      </text>
    </comment>
    <comment ref="T20" authorId="1" shapeId="0" xr:uid="{00000000-0006-0000-0100-00002F000000}">
      <text>
        <r>
          <rPr>
            <b/>
            <sz val="9"/>
            <color indexed="81"/>
            <rFont val="Tahoma"/>
            <family val="2"/>
          </rPr>
          <t>Beaulieu, Jake:</t>
        </r>
        <r>
          <rPr>
            <sz val="9"/>
            <color indexed="81"/>
            <rFont val="Tahoma"/>
            <family val="2"/>
          </rPr>
          <t xml:space="preserve">
sensor data a bit flaky</t>
        </r>
      </text>
    </comment>
    <comment ref="U20" authorId="1" shapeId="0" xr:uid="{00000000-0006-0000-0100-000030000000}">
      <text>
        <r>
          <rPr>
            <b/>
            <sz val="9"/>
            <color indexed="81"/>
            <rFont val="Tahoma"/>
            <family val="2"/>
          </rPr>
          <t>Beaulieu, Jake:</t>
        </r>
        <r>
          <rPr>
            <sz val="9"/>
            <color indexed="81"/>
            <rFont val="Tahoma"/>
            <family val="2"/>
          </rPr>
          <t xml:space="preserve">
sensor data a bit flaky</t>
        </r>
      </text>
    </comment>
    <comment ref="C49" authorId="1" shapeId="0" xr:uid="{00000000-0006-0000-0100-000031000000}">
      <text>
        <r>
          <rPr>
            <b/>
            <sz val="9"/>
            <color indexed="81"/>
            <rFont val="Tahoma"/>
            <family val="2"/>
          </rPr>
          <t>Beaulieu, Jake:</t>
        </r>
        <r>
          <rPr>
            <sz val="9"/>
            <color indexed="81"/>
            <rFont val="Tahoma"/>
            <family val="2"/>
          </rPr>
          <t xml:space="preserve">
gas collected from trap, but file not downloaded.  File downloaded on 7/6/15</t>
        </r>
      </text>
    </comment>
    <comment ref="B56" authorId="1" shapeId="0" xr:uid="{00000000-0006-0000-0100-000032000000}">
      <text>
        <r>
          <rPr>
            <b/>
            <sz val="9"/>
            <color indexed="81"/>
            <rFont val="Tahoma"/>
            <family val="2"/>
          </rPr>
          <t>Beaulieu, Jake:</t>
        </r>
        <r>
          <rPr>
            <sz val="9"/>
            <color indexed="81"/>
            <rFont val="Tahoma"/>
            <family val="2"/>
          </rPr>
          <t xml:space="preserve">
disconnected from funnel when sampled.  Data of no value.</t>
        </r>
      </text>
    </comment>
    <comment ref="C56" authorId="1" shapeId="0" xr:uid="{00000000-0006-0000-0100-000033000000}">
      <text>
        <r>
          <rPr>
            <b/>
            <sz val="9"/>
            <color indexed="81"/>
            <rFont val="Tahoma"/>
            <family val="2"/>
          </rPr>
          <t>Beaulieu, Jake:</t>
        </r>
        <r>
          <rPr>
            <sz val="9"/>
            <color indexed="81"/>
            <rFont val="Tahoma"/>
            <family val="2"/>
          </rPr>
          <t xml:space="preserve">
disconnected from funnel when sampled.  Data of no value.</t>
        </r>
      </text>
    </comment>
    <comment ref="D56" authorId="1" shapeId="0" xr:uid="{00000000-0006-0000-0100-000034000000}">
      <text>
        <r>
          <rPr>
            <b/>
            <sz val="9"/>
            <color indexed="81"/>
            <rFont val="Tahoma"/>
            <family val="2"/>
          </rPr>
          <t>Beaulieu, Jake:</t>
        </r>
        <r>
          <rPr>
            <sz val="9"/>
            <color indexed="81"/>
            <rFont val="Tahoma"/>
            <family val="2"/>
          </rPr>
          <t xml:space="preserve">
disconnected from funnel when sampled.  Data of no value.</t>
        </r>
      </text>
    </comment>
    <comment ref="E56" authorId="1" shapeId="0" xr:uid="{00000000-0006-0000-0100-000035000000}">
      <text>
        <r>
          <rPr>
            <b/>
            <sz val="9"/>
            <color indexed="81"/>
            <rFont val="Tahoma"/>
            <family val="2"/>
          </rPr>
          <t>Beaulieu, Jake:</t>
        </r>
        <r>
          <rPr>
            <sz val="9"/>
            <color indexed="81"/>
            <rFont val="Tahoma"/>
            <family val="2"/>
          </rPr>
          <t xml:space="preserve">
disconnected from funnel when sampled.  Data of no value.</t>
        </r>
      </text>
    </comment>
    <comment ref="F56" authorId="1" shapeId="0" xr:uid="{00000000-0006-0000-0100-000036000000}">
      <text>
        <r>
          <rPr>
            <b/>
            <sz val="9"/>
            <color indexed="81"/>
            <rFont val="Tahoma"/>
            <family val="2"/>
          </rPr>
          <t>Beaulieu, Jake:</t>
        </r>
        <r>
          <rPr>
            <sz val="9"/>
            <color indexed="81"/>
            <rFont val="Tahoma"/>
            <family val="2"/>
          </rPr>
          <t xml:space="preserve">
disconnected from funnel when sampled.  Data of no value.</t>
        </r>
      </text>
    </comment>
    <comment ref="G56" authorId="1" shapeId="0" xr:uid="{00000000-0006-0000-0100-000037000000}">
      <text>
        <r>
          <rPr>
            <b/>
            <sz val="9"/>
            <color indexed="81"/>
            <rFont val="Tahoma"/>
            <family val="2"/>
          </rPr>
          <t>Beaulieu, Jake:</t>
        </r>
        <r>
          <rPr>
            <sz val="9"/>
            <color indexed="81"/>
            <rFont val="Tahoma"/>
            <family val="2"/>
          </rPr>
          <t xml:space="preserve">
disconnected from funnel when sampled.  Data of no value.</t>
        </r>
      </text>
    </comment>
    <comment ref="H56" authorId="1" shapeId="0" xr:uid="{00000000-0006-0000-0100-000038000000}">
      <text>
        <r>
          <rPr>
            <b/>
            <sz val="9"/>
            <color indexed="81"/>
            <rFont val="Tahoma"/>
            <family val="2"/>
          </rPr>
          <t>Beaulieu, Jake:</t>
        </r>
        <r>
          <rPr>
            <sz val="9"/>
            <color indexed="81"/>
            <rFont val="Tahoma"/>
            <family val="2"/>
          </rPr>
          <t xml:space="preserve">
disconnected from funnel when sampled.  Data of no value.</t>
        </r>
      </text>
    </comment>
    <comment ref="I56" authorId="1" shapeId="0" xr:uid="{00000000-0006-0000-0100-000039000000}">
      <text>
        <r>
          <rPr>
            <b/>
            <sz val="9"/>
            <color indexed="81"/>
            <rFont val="Tahoma"/>
            <family val="2"/>
          </rPr>
          <t>Beaulieu, Jake:</t>
        </r>
        <r>
          <rPr>
            <sz val="9"/>
            <color indexed="81"/>
            <rFont val="Tahoma"/>
            <family val="2"/>
          </rPr>
          <t xml:space="preserve">
disconnected from funnel when sampled.  Data of no value.</t>
        </r>
      </text>
    </comment>
    <comment ref="J56" authorId="1" shapeId="0" xr:uid="{00000000-0006-0000-0100-00003A000000}">
      <text>
        <r>
          <rPr>
            <b/>
            <sz val="9"/>
            <color indexed="81"/>
            <rFont val="Tahoma"/>
            <family val="2"/>
          </rPr>
          <t>Beaulieu, Jake:</t>
        </r>
        <r>
          <rPr>
            <sz val="9"/>
            <color indexed="81"/>
            <rFont val="Tahoma"/>
            <family val="2"/>
          </rPr>
          <t xml:space="preserve">
disconnected from funnel when sampled.  Data of no value.</t>
        </r>
      </text>
    </comment>
    <comment ref="K56" authorId="1" shapeId="0" xr:uid="{00000000-0006-0000-0100-00003B000000}">
      <text>
        <r>
          <rPr>
            <b/>
            <sz val="9"/>
            <color indexed="81"/>
            <rFont val="Tahoma"/>
            <family val="2"/>
          </rPr>
          <t>Beaulieu, Jake:</t>
        </r>
        <r>
          <rPr>
            <sz val="9"/>
            <color indexed="81"/>
            <rFont val="Tahoma"/>
            <family val="2"/>
          </rPr>
          <t xml:space="preserve">
disconnected from funnel when sampled.  Data of no value.</t>
        </r>
      </text>
    </comment>
    <comment ref="L56" authorId="1" shapeId="0" xr:uid="{00000000-0006-0000-0100-00003C000000}">
      <text>
        <r>
          <rPr>
            <b/>
            <sz val="9"/>
            <color indexed="81"/>
            <rFont val="Tahoma"/>
            <family val="2"/>
          </rPr>
          <t>Beaulieu, Jake:</t>
        </r>
        <r>
          <rPr>
            <sz val="9"/>
            <color indexed="81"/>
            <rFont val="Tahoma"/>
            <family val="2"/>
          </rPr>
          <t xml:space="preserve">
disconnected from funnel when sampled.  Data of no value.</t>
        </r>
      </text>
    </comment>
    <comment ref="M56" authorId="1" shapeId="0" xr:uid="{00000000-0006-0000-0100-00003D000000}">
      <text>
        <r>
          <rPr>
            <b/>
            <sz val="9"/>
            <color indexed="81"/>
            <rFont val="Tahoma"/>
            <family val="2"/>
          </rPr>
          <t>Beaulieu, Jake:</t>
        </r>
        <r>
          <rPr>
            <sz val="9"/>
            <color indexed="81"/>
            <rFont val="Tahoma"/>
            <family val="2"/>
          </rPr>
          <t xml:space="preserve">
disconnected from funnel when sampled.  Data of no value.</t>
        </r>
      </text>
    </comment>
    <comment ref="N56" authorId="1" shapeId="0" xr:uid="{00000000-0006-0000-0100-00003E000000}">
      <text>
        <r>
          <rPr>
            <b/>
            <sz val="9"/>
            <color indexed="81"/>
            <rFont val="Tahoma"/>
            <family val="2"/>
          </rPr>
          <t>Beaulieu, Jake:</t>
        </r>
        <r>
          <rPr>
            <sz val="9"/>
            <color indexed="81"/>
            <rFont val="Tahoma"/>
            <family val="2"/>
          </rPr>
          <t xml:space="preserve">
disconnected from funnel when sampled.  Data of no value.</t>
        </r>
      </text>
    </comment>
    <comment ref="O56" authorId="1" shapeId="0" xr:uid="{00000000-0006-0000-0100-00003F000000}">
      <text>
        <r>
          <rPr>
            <b/>
            <sz val="9"/>
            <color indexed="81"/>
            <rFont val="Tahoma"/>
            <family val="2"/>
          </rPr>
          <t>Beaulieu, Jake:</t>
        </r>
        <r>
          <rPr>
            <sz val="9"/>
            <color indexed="81"/>
            <rFont val="Tahoma"/>
            <family val="2"/>
          </rPr>
          <t xml:space="preserve">
disconnected from funnel when sampled.  Data of no value.</t>
        </r>
      </text>
    </comment>
    <comment ref="P56" authorId="1" shapeId="0" xr:uid="{00000000-0006-0000-0100-000040000000}">
      <text>
        <r>
          <rPr>
            <b/>
            <sz val="9"/>
            <color indexed="81"/>
            <rFont val="Tahoma"/>
            <family val="2"/>
          </rPr>
          <t>Beaulieu, Jake:</t>
        </r>
        <r>
          <rPr>
            <sz val="9"/>
            <color indexed="81"/>
            <rFont val="Tahoma"/>
            <family val="2"/>
          </rPr>
          <t xml:space="preserve">
disconnected from funnel when sampled.  Data of no value.</t>
        </r>
      </text>
    </comment>
    <comment ref="Q56" authorId="1" shapeId="0" xr:uid="{00000000-0006-0000-0100-000041000000}">
      <text>
        <r>
          <rPr>
            <b/>
            <sz val="9"/>
            <color indexed="81"/>
            <rFont val="Tahoma"/>
            <family val="2"/>
          </rPr>
          <t>Beaulieu, Jake:</t>
        </r>
        <r>
          <rPr>
            <sz val="9"/>
            <color indexed="81"/>
            <rFont val="Tahoma"/>
            <family val="2"/>
          </rPr>
          <t xml:space="preserve">
disconnected from funnel when sampled.  Data of no value.</t>
        </r>
      </text>
    </comment>
    <comment ref="R56" authorId="1" shapeId="0" xr:uid="{00000000-0006-0000-0100-000042000000}">
      <text>
        <r>
          <rPr>
            <b/>
            <sz val="9"/>
            <color indexed="81"/>
            <rFont val="Tahoma"/>
            <family val="2"/>
          </rPr>
          <t>Beaulieu, Jake:</t>
        </r>
        <r>
          <rPr>
            <sz val="9"/>
            <color indexed="81"/>
            <rFont val="Tahoma"/>
            <family val="2"/>
          </rPr>
          <t xml:space="preserve">
disconnected from funnel when sampled.  Data of no value.</t>
        </r>
      </text>
    </comment>
    <comment ref="S56" authorId="1" shapeId="0" xr:uid="{00000000-0006-0000-0100-000043000000}">
      <text>
        <r>
          <rPr>
            <b/>
            <sz val="9"/>
            <color indexed="81"/>
            <rFont val="Tahoma"/>
            <family val="2"/>
          </rPr>
          <t>Beaulieu, Jake:</t>
        </r>
        <r>
          <rPr>
            <sz val="9"/>
            <color indexed="81"/>
            <rFont val="Tahoma"/>
            <family val="2"/>
          </rPr>
          <t xml:space="preserve">
disconnected from funnel when sampled.  Data of no value.</t>
        </r>
      </text>
    </comment>
    <comment ref="T56" authorId="1" shapeId="0" xr:uid="{00000000-0006-0000-0100-000044000000}">
      <text>
        <r>
          <rPr>
            <b/>
            <sz val="9"/>
            <color indexed="81"/>
            <rFont val="Tahoma"/>
            <family val="2"/>
          </rPr>
          <t>Beaulieu, Jake:</t>
        </r>
        <r>
          <rPr>
            <sz val="9"/>
            <color indexed="81"/>
            <rFont val="Tahoma"/>
            <family val="2"/>
          </rPr>
          <t xml:space="preserve">
disconnected from funnel when sampled.  Data of no value.</t>
        </r>
      </text>
    </comment>
    <comment ref="U56" authorId="1" shapeId="0" xr:uid="{00000000-0006-0000-0100-000045000000}">
      <text>
        <r>
          <rPr>
            <b/>
            <sz val="9"/>
            <color indexed="81"/>
            <rFont val="Tahoma"/>
            <family val="2"/>
          </rPr>
          <t>Beaulieu, Jake:</t>
        </r>
        <r>
          <rPr>
            <sz val="9"/>
            <color indexed="81"/>
            <rFont val="Tahoma"/>
            <family val="2"/>
          </rPr>
          <t xml:space="preserve">
disconnected from funnel when sampled.  Data of no value.</t>
        </r>
      </text>
    </comment>
    <comment ref="C57" authorId="1" shapeId="0" xr:uid="{00000000-0006-0000-0100-000046000000}">
      <text>
        <r>
          <rPr>
            <b/>
            <sz val="9"/>
            <color indexed="81"/>
            <rFont val="Tahoma"/>
            <family val="2"/>
          </rPr>
          <t>Beaulieu, Jake:</t>
        </r>
        <r>
          <rPr>
            <sz val="9"/>
            <color indexed="81"/>
            <rFont val="Tahoma"/>
            <family val="2"/>
          </rPr>
          <t xml:space="preserve">
Data file missing.  Valve to circuitry may have been closed all week.  File may have been reviewed and showed no info, was therefore deleted.  Adam will try to locate original file on laptop.  Weird file name because date wasn't changed correctly during previous visit.</t>
        </r>
      </text>
    </comment>
    <comment ref="O69" authorId="1" shapeId="0" xr:uid="{00000000-0006-0000-0100-000047000000}">
      <text>
        <r>
          <rPr>
            <b/>
            <sz val="9"/>
            <color indexed="81"/>
            <rFont val="Tahoma"/>
            <family val="2"/>
          </rPr>
          <t>Beaulieu, Jake:</t>
        </r>
        <r>
          <rPr>
            <sz val="9"/>
            <color indexed="81"/>
            <rFont val="Tahoma"/>
            <family val="2"/>
          </rPr>
          <t xml:space="preserve">
sensor maxed after first reading, this doesn't seem right.  Going to report NA.</t>
        </r>
      </text>
    </comment>
    <comment ref="P69" authorId="1" shapeId="0" xr:uid="{00000000-0006-0000-0100-000048000000}">
      <text>
        <r>
          <rPr>
            <b/>
            <sz val="9"/>
            <color indexed="81"/>
            <rFont val="Tahoma"/>
            <family val="2"/>
          </rPr>
          <t>Beaulieu, Jake:</t>
        </r>
        <r>
          <rPr>
            <sz val="9"/>
            <color indexed="81"/>
            <rFont val="Tahoma"/>
            <family val="2"/>
          </rPr>
          <t xml:space="preserve">
sensor maxed after first reading, this doesn't seem right.  Going to report NA.</t>
        </r>
      </text>
    </comment>
    <comment ref="Q69" authorId="1" shapeId="0" xr:uid="{00000000-0006-0000-0100-000049000000}">
      <text>
        <r>
          <rPr>
            <b/>
            <sz val="9"/>
            <color indexed="81"/>
            <rFont val="Tahoma"/>
            <family val="2"/>
          </rPr>
          <t>Beaulieu, Jake:</t>
        </r>
        <r>
          <rPr>
            <sz val="9"/>
            <color indexed="81"/>
            <rFont val="Tahoma"/>
            <family val="2"/>
          </rPr>
          <t xml:space="preserve">
sensor maxed after first reading, this doesn't seem right.  Going to report NA.</t>
        </r>
      </text>
    </comment>
    <comment ref="R69" authorId="1" shapeId="0" xr:uid="{00000000-0006-0000-0100-00004A000000}">
      <text>
        <r>
          <rPr>
            <b/>
            <sz val="9"/>
            <color indexed="81"/>
            <rFont val="Tahoma"/>
            <family val="2"/>
          </rPr>
          <t>Beaulieu, Jake:</t>
        </r>
        <r>
          <rPr>
            <sz val="9"/>
            <color indexed="81"/>
            <rFont val="Tahoma"/>
            <family val="2"/>
          </rPr>
          <t xml:space="preserve">
sensor maxed after first reading, this doesn't seem right.  Going to report NA.</t>
        </r>
      </text>
    </comment>
    <comment ref="S69" authorId="1" shapeId="0" xr:uid="{00000000-0006-0000-0100-00004B000000}">
      <text>
        <r>
          <rPr>
            <b/>
            <sz val="9"/>
            <color indexed="81"/>
            <rFont val="Tahoma"/>
            <family val="2"/>
          </rPr>
          <t>Beaulieu, Jake:</t>
        </r>
        <r>
          <rPr>
            <sz val="9"/>
            <color indexed="81"/>
            <rFont val="Tahoma"/>
            <family val="2"/>
          </rPr>
          <t xml:space="preserve">
sensor maxed after first reading, this doesn't seem right.  Going to report NA.</t>
        </r>
      </text>
    </comment>
    <comment ref="T69" authorId="1" shapeId="0" xr:uid="{00000000-0006-0000-0100-00004C000000}">
      <text>
        <r>
          <rPr>
            <b/>
            <sz val="9"/>
            <color indexed="81"/>
            <rFont val="Tahoma"/>
            <family val="2"/>
          </rPr>
          <t>Beaulieu, Jake:</t>
        </r>
        <r>
          <rPr>
            <sz val="9"/>
            <color indexed="81"/>
            <rFont val="Tahoma"/>
            <family val="2"/>
          </rPr>
          <t xml:space="preserve">
sensor maxed after first reading, this doesn't seem right.  Going to report NA.</t>
        </r>
      </text>
    </comment>
    <comment ref="U69" authorId="1" shapeId="0" xr:uid="{00000000-0006-0000-0100-00004D000000}">
      <text>
        <r>
          <rPr>
            <b/>
            <sz val="9"/>
            <color indexed="81"/>
            <rFont val="Tahoma"/>
            <family val="2"/>
          </rPr>
          <t>Beaulieu, Jake:</t>
        </r>
        <r>
          <rPr>
            <sz val="9"/>
            <color indexed="81"/>
            <rFont val="Tahoma"/>
            <family val="2"/>
          </rPr>
          <t xml:space="preserve">
sensor maxed after first reading, this doesn't seem right.  Going to report NA.</t>
        </r>
      </text>
    </comment>
    <comment ref="O75" authorId="1" shapeId="0" xr:uid="{00000000-0006-0000-0100-00004E000000}">
      <text>
        <r>
          <rPr>
            <b/>
            <sz val="9"/>
            <color indexed="81"/>
            <rFont val="Tahoma"/>
            <family val="2"/>
          </rPr>
          <t>Beaulieu, Jake:</t>
        </r>
        <r>
          <rPr>
            <sz val="9"/>
            <color indexed="81"/>
            <rFont val="Tahoma"/>
            <family val="2"/>
          </rPr>
          <t xml:space="preserve">
circuit data looks highly suspect.  Not using data.</t>
        </r>
      </text>
    </comment>
    <comment ref="P75" authorId="1" shapeId="0" xr:uid="{00000000-0006-0000-0100-00004F000000}">
      <text>
        <r>
          <rPr>
            <b/>
            <sz val="9"/>
            <color indexed="81"/>
            <rFont val="Tahoma"/>
            <family val="2"/>
          </rPr>
          <t>Beaulieu, Jake:</t>
        </r>
        <r>
          <rPr>
            <sz val="9"/>
            <color indexed="81"/>
            <rFont val="Tahoma"/>
            <family val="2"/>
          </rPr>
          <t xml:space="preserve">
circuit data looks highly suspect.  Not using data.</t>
        </r>
      </text>
    </comment>
    <comment ref="U75" authorId="1" shapeId="0" xr:uid="{00000000-0006-0000-0100-000050000000}">
      <text>
        <r>
          <rPr>
            <b/>
            <sz val="9"/>
            <color indexed="81"/>
            <rFont val="Tahoma"/>
            <family val="2"/>
          </rPr>
          <t>Beaulieu, Jake:</t>
        </r>
        <r>
          <rPr>
            <sz val="9"/>
            <color indexed="81"/>
            <rFont val="Tahoma"/>
            <family val="2"/>
          </rPr>
          <t xml:space="preserve">
circuit data looks highly suspect.  Not using data.</t>
        </r>
      </text>
    </comment>
    <comment ref="H82" authorId="1" shapeId="0" xr:uid="{00000000-0006-0000-0100-000051000000}">
      <text>
        <r>
          <rPr>
            <b/>
            <sz val="9"/>
            <color indexed="81"/>
            <rFont val="Tahoma"/>
            <family val="2"/>
          </rPr>
          <t>Beaulieu, Jake:</t>
        </r>
        <r>
          <rPr>
            <sz val="9"/>
            <color indexed="81"/>
            <rFont val="Tahoma"/>
            <family val="2"/>
          </rPr>
          <t xml:space="preserve">
sensor maxed in one hour, but only 70mL of gas in trap.  Very strange.</t>
        </r>
      </text>
    </comment>
    <comment ref="O82" authorId="1" shapeId="0" xr:uid="{00000000-0006-0000-0100-000052000000}">
      <text>
        <r>
          <rPr>
            <b/>
            <sz val="9"/>
            <color indexed="81"/>
            <rFont val="Tahoma"/>
            <family val="2"/>
          </rPr>
          <t>Beaulieu, Jake:</t>
        </r>
        <r>
          <rPr>
            <sz val="9"/>
            <color indexed="81"/>
            <rFont val="Tahoma"/>
            <family val="2"/>
          </rPr>
          <t xml:space="preserve">
sensor maxed in one hour, but only 70mL of gas in trap.  Very strange.</t>
        </r>
      </text>
    </comment>
    <comment ref="P82" authorId="1" shapeId="0" xr:uid="{00000000-0006-0000-0100-000053000000}">
      <text>
        <r>
          <rPr>
            <b/>
            <sz val="9"/>
            <color indexed="81"/>
            <rFont val="Tahoma"/>
            <family val="2"/>
          </rPr>
          <t>Beaulieu, Jake:</t>
        </r>
        <r>
          <rPr>
            <sz val="9"/>
            <color indexed="81"/>
            <rFont val="Tahoma"/>
            <family val="2"/>
          </rPr>
          <t xml:space="preserve">
sensor maxed in one hour, but only 70mL of gas in trap.  Very strange.</t>
        </r>
      </text>
    </comment>
    <comment ref="Q82" authorId="1" shapeId="0" xr:uid="{00000000-0006-0000-0100-000054000000}">
      <text>
        <r>
          <rPr>
            <b/>
            <sz val="9"/>
            <color indexed="81"/>
            <rFont val="Tahoma"/>
            <family val="2"/>
          </rPr>
          <t>Beaulieu, Jake:</t>
        </r>
        <r>
          <rPr>
            <sz val="9"/>
            <color indexed="81"/>
            <rFont val="Tahoma"/>
            <family val="2"/>
          </rPr>
          <t xml:space="preserve">
sensor maxed in one hour, but only 70mL of gas in trap.  Very strange.</t>
        </r>
      </text>
    </comment>
    <comment ref="R82" authorId="1" shapeId="0" xr:uid="{00000000-0006-0000-0100-000055000000}">
      <text>
        <r>
          <rPr>
            <b/>
            <sz val="9"/>
            <color indexed="81"/>
            <rFont val="Tahoma"/>
            <family val="2"/>
          </rPr>
          <t>Beaulieu, Jake:</t>
        </r>
        <r>
          <rPr>
            <sz val="9"/>
            <color indexed="81"/>
            <rFont val="Tahoma"/>
            <family val="2"/>
          </rPr>
          <t xml:space="preserve">
sensor maxed in one hour, but only 70mL of gas in trap.  Very strange.</t>
        </r>
      </text>
    </comment>
    <comment ref="S82" authorId="1" shapeId="0" xr:uid="{00000000-0006-0000-0100-000056000000}">
      <text>
        <r>
          <rPr>
            <b/>
            <sz val="9"/>
            <color indexed="81"/>
            <rFont val="Tahoma"/>
            <family val="2"/>
          </rPr>
          <t>Beaulieu, Jake:</t>
        </r>
        <r>
          <rPr>
            <sz val="9"/>
            <color indexed="81"/>
            <rFont val="Tahoma"/>
            <family val="2"/>
          </rPr>
          <t xml:space="preserve">
sensor maxed in one hour, but only 70mL of gas in trap.  Very strange.</t>
        </r>
      </text>
    </comment>
    <comment ref="T82" authorId="1" shapeId="0" xr:uid="{00000000-0006-0000-0100-000057000000}">
      <text>
        <r>
          <rPr>
            <b/>
            <sz val="9"/>
            <color indexed="81"/>
            <rFont val="Tahoma"/>
            <family val="2"/>
          </rPr>
          <t>Beaulieu, Jake:</t>
        </r>
        <r>
          <rPr>
            <sz val="9"/>
            <color indexed="81"/>
            <rFont val="Tahoma"/>
            <family val="2"/>
          </rPr>
          <t xml:space="preserve">
sensor maxed in one hour, but only 70mL of gas in trap.  Very strange.</t>
        </r>
      </text>
    </comment>
    <comment ref="U82" authorId="1" shapeId="0" xr:uid="{00000000-0006-0000-0100-000058000000}">
      <text>
        <r>
          <rPr>
            <b/>
            <sz val="9"/>
            <color indexed="81"/>
            <rFont val="Tahoma"/>
            <family val="2"/>
          </rPr>
          <t>Beaulieu, Jake:</t>
        </r>
        <r>
          <rPr>
            <sz val="9"/>
            <color indexed="81"/>
            <rFont val="Tahoma"/>
            <family val="2"/>
          </rPr>
          <t xml:space="preserve">
sensor maxed in one hour, but only 70mL of gas in trap.  Very strange.</t>
        </r>
      </text>
    </comment>
    <comment ref="E102" authorId="1" shapeId="0" xr:uid="{00000000-0006-0000-0100-000059000000}">
      <text>
        <r>
          <rPr>
            <b/>
            <sz val="9"/>
            <color indexed="81"/>
            <rFont val="Tahoma"/>
            <family val="2"/>
          </rPr>
          <t>Beaulieu, Jake:</t>
        </r>
        <r>
          <rPr>
            <sz val="9"/>
            <color indexed="81"/>
            <rFont val="Tahoma"/>
            <family val="2"/>
          </rPr>
          <t xml:space="preserve">
Battery was off upon retrieval</t>
        </r>
      </text>
    </comment>
    <comment ref="H102" authorId="1" shapeId="0" xr:uid="{00000000-0006-0000-0100-00005A000000}">
      <text>
        <r>
          <rPr>
            <b/>
            <sz val="9"/>
            <color indexed="81"/>
            <rFont val="Tahoma"/>
            <family val="2"/>
          </rPr>
          <t>Beaulieu, Jake:</t>
        </r>
        <r>
          <rPr>
            <sz val="9"/>
            <color indexed="81"/>
            <rFont val="Tahoma"/>
            <family val="2"/>
          </rPr>
          <t xml:space="preserve">
Battery was off upon retrieval</t>
        </r>
      </text>
    </comment>
    <comment ref="O102" authorId="1" shapeId="0" xr:uid="{00000000-0006-0000-0100-00005B000000}">
      <text>
        <r>
          <rPr>
            <b/>
            <sz val="9"/>
            <color indexed="81"/>
            <rFont val="Tahoma"/>
            <family val="2"/>
          </rPr>
          <t>Beaulieu, Jake:</t>
        </r>
        <r>
          <rPr>
            <sz val="9"/>
            <color indexed="81"/>
            <rFont val="Tahoma"/>
            <family val="2"/>
          </rPr>
          <t xml:space="preserve">
Battery was off upon retrieval</t>
        </r>
      </text>
    </comment>
    <comment ref="P102" authorId="1" shapeId="0" xr:uid="{00000000-0006-0000-0100-00005C000000}">
      <text>
        <r>
          <rPr>
            <b/>
            <sz val="9"/>
            <color indexed="81"/>
            <rFont val="Tahoma"/>
            <family val="2"/>
          </rPr>
          <t>Beaulieu, Jake:</t>
        </r>
        <r>
          <rPr>
            <sz val="9"/>
            <color indexed="81"/>
            <rFont val="Tahoma"/>
            <family val="2"/>
          </rPr>
          <t xml:space="preserve">
Battery was off upon retrieval</t>
        </r>
      </text>
    </comment>
    <comment ref="U102" authorId="1" shapeId="0" xr:uid="{00000000-0006-0000-0100-00005D000000}">
      <text>
        <r>
          <rPr>
            <b/>
            <sz val="9"/>
            <color indexed="81"/>
            <rFont val="Tahoma"/>
            <family val="2"/>
          </rPr>
          <t>Beaulieu, Jake:</t>
        </r>
        <r>
          <rPr>
            <sz val="9"/>
            <color indexed="81"/>
            <rFont val="Tahoma"/>
            <family val="2"/>
          </rPr>
          <t xml:space="preserve">
Battery was off upon retrieval</t>
        </r>
      </text>
    </comment>
    <comment ref="O108" authorId="1" shapeId="0" xr:uid="{00000000-0006-0000-0100-00005E000000}">
      <text>
        <r>
          <rPr>
            <b/>
            <sz val="9"/>
            <color indexed="81"/>
            <rFont val="Tahoma"/>
            <family val="2"/>
          </rPr>
          <t>Beaulieu, Jake:</t>
        </r>
        <r>
          <rPr>
            <sz val="9"/>
            <color indexed="81"/>
            <rFont val="Tahoma"/>
            <family val="2"/>
          </rPr>
          <t xml:space="preserve">
Funnel fell off trap</t>
        </r>
      </text>
    </comment>
    <comment ref="P108" authorId="1" shapeId="0" xr:uid="{00000000-0006-0000-0100-00005F000000}">
      <text>
        <r>
          <rPr>
            <b/>
            <sz val="9"/>
            <color indexed="81"/>
            <rFont val="Tahoma"/>
            <family val="2"/>
          </rPr>
          <t>Beaulieu, Jake:</t>
        </r>
        <r>
          <rPr>
            <sz val="9"/>
            <color indexed="81"/>
            <rFont val="Tahoma"/>
            <family val="2"/>
          </rPr>
          <t xml:space="preserve">
Funnel fell off trap</t>
        </r>
      </text>
    </comment>
    <comment ref="Q108" authorId="1" shapeId="0" xr:uid="{00000000-0006-0000-0100-000060000000}">
      <text>
        <r>
          <rPr>
            <b/>
            <sz val="9"/>
            <color indexed="81"/>
            <rFont val="Tahoma"/>
            <family val="2"/>
          </rPr>
          <t>Beaulieu, Jake:</t>
        </r>
        <r>
          <rPr>
            <sz val="9"/>
            <color indexed="81"/>
            <rFont val="Tahoma"/>
            <family val="2"/>
          </rPr>
          <t xml:space="preserve">
Funnel fell off trap</t>
        </r>
      </text>
    </comment>
    <comment ref="R108" authorId="1" shapeId="0" xr:uid="{00000000-0006-0000-0100-000061000000}">
      <text>
        <r>
          <rPr>
            <b/>
            <sz val="9"/>
            <color indexed="81"/>
            <rFont val="Tahoma"/>
            <family val="2"/>
          </rPr>
          <t>Beaulieu, Jake:</t>
        </r>
        <r>
          <rPr>
            <sz val="9"/>
            <color indexed="81"/>
            <rFont val="Tahoma"/>
            <family val="2"/>
          </rPr>
          <t xml:space="preserve">
Funnel fell off trap</t>
        </r>
      </text>
    </comment>
    <comment ref="S108" authorId="1" shapeId="0" xr:uid="{00000000-0006-0000-0100-000062000000}">
      <text>
        <r>
          <rPr>
            <b/>
            <sz val="9"/>
            <color indexed="81"/>
            <rFont val="Tahoma"/>
            <family val="2"/>
          </rPr>
          <t>Beaulieu, Jake:</t>
        </r>
        <r>
          <rPr>
            <sz val="9"/>
            <color indexed="81"/>
            <rFont val="Tahoma"/>
            <family val="2"/>
          </rPr>
          <t xml:space="preserve">
Funnel fell off trap</t>
        </r>
      </text>
    </comment>
    <comment ref="T108" authorId="1" shapeId="0" xr:uid="{00000000-0006-0000-0100-000063000000}">
      <text>
        <r>
          <rPr>
            <b/>
            <sz val="9"/>
            <color indexed="81"/>
            <rFont val="Tahoma"/>
            <family val="2"/>
          </rPr>
          <t>Beaulieu, Jake:</t>
        </r>
        <r>
          <rPr>
            <sz val="9"/>
            <color indexed="81"/>
            <rFont val="Tahoma"/>
            <family val="2"/>
          </rPr>
          <t xml:space="preserve">
Funnel fell off trap</t>
        </r>
      </text>
    </comment>
    <comment ref="U108" authorId="1" shapeId="0" xr:uid="{00000000-0006-0000-0100-000064000000}">
      <text>
        <r>
          <rPr>
            <b/>
            <sz val="9"/>
            <color indexed="81"/>
            <rFont val="Tahoma"/>
            <family val="2"/>
          </rPr>
          <t>Beaulieu, Jake:</t>
        </r>
        <r>
          <rPr>
            <sz val="9"/>
            <color indexed="81"/>
            <rFont val="Tahoma"/>
            <family val="2"/>
          </rPr>
          <t xml:space="preserve">
Funnel fell off trap</t>
        </r>
      </text>
    </comment>
    <comment ref="D111" authorId="1" shapeId="0" xr:uid="{00000000-0006-0000-0100-000065000000}">
      <text>
        <r>
          <rPr>
            <b/>
            <sz val="9"/>
            <color indexed="81"/>
            <rFont val="Tahoma"/>
            <family val="2"/>
          </rPr>
          <t>Beaulieu, Jake:</t>
        </r>
        <r>
          <rPr>
            <sz val="9"/>
            <color indexed="81"/>
            <rFont val="Tahoma"/>
            <family val="2"/>
          </rPr>
          <t xml:space="preserve">
not recorded in data sheet, used report from previous site visit</t>
        </r>
      </text>
    </comment>
    <comment ref="D115" authorId="1" shapeId="0" xr:uid="{00000000-0006-0000-0100-000066000000}">
      <text>
        <r>
          <rPr>
            <b/>
            <sz val="9"/>
            <color indexed="81"/>
            <rFont val="Tahoma"/>
            <family val="2"/>
          </rPr>
          <t>Beaulieu, Jake:</t>
        </r>
        <r>
          <rPr>
            <sz val="9"/>
            <color indexed="81"/>
            <rFont val="Tahoma"/>
            <family val="2"/>
          </rPr>
          <t xml:space="preserve">
not recorded in data sheet, used report from previous site visit</t>
        </r>
      </text>
    </comment>
    <comment ref="O115" authorId="1" shapeId="0" xr:uid="{00000000-0006-0000-0100-000067000000}">
      <text>
        <r>
          <rPr>
            <b/>
            <sz val="9"/>
            <color indexed="81"/>
            <rFont val="Tahoma"/>
            <family val="2"/>
          </rPr>
          <t>Beaulieu, Jake:</t>
        </r>
        <r>
          <rPr>
            <sz val="9"/>
            <color indexed="81"/>
            <rFont val="Tahoma"/>
            <family val="2"/>
          </rPr>
          <t xml:space="preserve">
Funnel fell off trap</t>
        </r>
      </text>
    </comment>
    <comment ref="P115" authorId="1" shapeId="0" xr:uid="{00000000-0006-0000-0100-000068000000}">
      <text>
        <r>
          <rPr>
            <b/>
            <sz val="9"/>
            <color indexed="81"/>
            <rFont val="Tahoma"/>
            <family val="2"/>
          </rPr>
          <t>Beaulieu, Jake:</t>
        </r>
        <r>
          <rPr>
            <sz val="9"/>
            <color indexed="81"/>
            <rFont val="Tahoma"/>
            <family val="2"/>
          </rPr>
          <t xml:space="preserve">
Funnel fell off trap</t>
        </r>
      </text>
    </comment>
    <comment ref="Q115" authorId="1" shapeId="0" xr:uid="{00000000-0006-0000-0100-000069000000}">
      <text>
        <r>
          <rPr>
            <b/>
            <sz val="9"/>
            <color indexed="81"/>
            <rFont val="Tahoma"/>
            <family val="2"/>
          </rPr>
          <t>Beaulieu, Jake:</t>
        </r>
        <r>
          <rPr>
            <sz val="9"/>
            <color indexed="81"/>
            <rFont val="Tahoma"/>
            <family val="2"/>
          </rPr>
          <t xml:space="preserve">
Funnel fell off trap</t>
        </r>
      </text>
    </comment>
    <comment ref="R115" authorId="1" shapeId="0" xr:uid="{00000000-0006-0000-0100-00006A000000}">
      <text>
        <r>
          <rPr>
            <b/>
            <sz val="9"/>
            <color indexed="81"/>
            <rFont val="Tahoma"/>
            <family val="2"/>
          </rPr>
          <t>Beaulieu, Jake:</t>
        </r>
        <r>
          <rPr>
            <sz val="9"/>
            <color indexed="81"/>
            <rFont val="Tahoma"/>
            <family val="2"/>
          </rPr>
          <t xml:space="preserve">
Funnel fell off trap</t>
        </r>
      </text>
    </comment>
    <comment ref="S115" authorId="1" shapeId="0" xr:uid="{00000000-0006-0000-0100-00006B000000}">
      <text>
        <r>
          <rPr>
            <b/>
            <sz val="9"/>
            <color indexed="81"/>
            <rFont val="Tahoma"/>
            <family val="2"/>
          </rPr>
          <t>Beaulieu, Jake:</t>
        </r>
        <r>
          <rPr>
            <sz val="9"/>
            <color indexed="81"/>
            <rFont val="Tahoma"/>
            <family val="2"/>
          </rPr>
          <t xml:space="preserve">
Funnel fell off trap</t>
        </r>
      </text>
    </comment>
    <comment ref="T115" authorId="1" shapeId="0" xr:uid="{00000000-0006-0000-0100-00006C000000}">
      <text>
        <r>
          <rPr>
            <b/>
            <sz val="9"/>
            <color indexed="81"/>
            <rFont val="Tahoma"/>
            <family val="2"/>
          </rPr>
          <t>Beaulieu, Jake:</t>
        </r>
        <r>
          <rPr>
            <sz val="9"/>
            <color indexed="81"/>
            <rFont val="Tahoma"/>
            <family val="2"/>
          </rPr>
          <t xml:space="preserve">
Funnel fell off trap</t>
        </r>
      </text>
    </comment>
    <comment ref="U115" authorId="1" shapeId="0" xr:uid="{00000000-0006-0000-0100-00006D000000}">
      <text>
        <r>
          <rPr>
            <b/>
            <sz val="9"/>
            <color indexed="81"/>
            <rFont val="Tahoma"/>
            <family val="2"/>
          </rPr>
          <t>Beaulieu, Jake:</t>
        </r>
        <r>
          <rPr>
            <sz val="9"/>
            <color indexed="81"/>
            <rFont val="Tahoma"/>
            <family val="2"/>
          </rPr>
          <t xml:space="preserve">
Funnel fell off trap</t>
        </r>
      </text>
    </comment>
    <comment ref="D119" authorId="2" shapeId="0" xr:uid="{00000000-0006-0000-0100-00006E000000}">
      <text>
        <r>
          <rPr>
            <b/>
            <sz val="9"/>
            <color indexed="81"/>
            <rFont val="Tahoma"/>
            <family val="2"/>
          </rPr>
          <t>U.S. EPA User or Contractor:</t>
        </r>
        <r>
          <rPr>
            <sz val="9"/>
            <color indexed="81"/>
            <rFont val="Tahoma"/>
            <family val="2"/>
          </rPr>
          <t xml:space="preserve">
not recorded in data sheet, used report from previous site visit</t>
        </r>
      </text>
    </comment>
    <comment ref="D120" authorId="2" shapeId="0" xr:uid="{00000000-0006-0000-0100-00006F000000}">
      <text>
        <r>
          <rPr>
            <b/>
            <sz val="9"/>
            <color indexed="81"/>
            <rFont val="Tahoma"/>
            <family val="2"/>
          </rPr>
          <t>U.S. EPA User or Contractor:</t>
        </r>
        <r>
          <rPr>
            <sz val="9"/>
            <color indexed="81"/>
            <rFont val="Tahoma"/>
            <family val="2"/>
          </rPr>
          <t xml:space="preserve">
not recorded in data sheet, used report from previous site visit</t>
        </r>
      </text>
    </comment>
    <comment ref="D121" authorId="2" shapeId="0" xr:uid="{00000000-0006-0000-0100-000070000000}">
      <text>
        <r>
          <rPr>
            <b/>
            <sz val="9"/>
            <color indexed="81"/>
            <rFont val="Tahoma"/>
            <family val="2"/>
          </rPr>
          <t>U.S. EPA User or Contractor:</t>
        </r>
        <r>
          <rPr>
            <sz val="9"/>
            <color indexed="81"/>
            <rFont val="Tahoma"/>
            <family val="2"/>
          </rPr>
          <t xml:space="preserve">
not recorded in data sheet, used report from previous site visit</t>
        </r>
      </text>
    </comment>
    <comment ref="D122" authorId="2" shapeId="0" xr:uid="{00000000-0006-0000-0100-000071000000}">
      <text>
        <r>
          <rPr>
            <b/>
            <sz val="9"/>
            <color indexed="81"/>
            <rFont val="Tahoma"/>
            <charset val="1"/>
          </rPr>
          <t>U.S. EPA User or Contractor:</t>
        </r>
        <r>
          <rPr>
            <sz val="9"/>
            <color indexed="81"/>
            <rFont val="Tahoma"/>
            <charset val="1"/>
          </rPr>
          <t xml:space="preserve">
not recorded in data sheet, used report from previous site visit</t>
        </r>
      </text>
    </comment>
    <comment ref="D123" authorId="2" shapeId="0" xr:uid="{00000000-0006-0000-0100-000072000000}">
      <text>
        <r>
          <rPr>
            <b/>
            <sz val="9"/>
            <color indexed="81"/>
            <rFont val="Tahoma"/>
            <family val="2"/>
          </rPr>
          <t>U.S. EPA User or Contractor:</t>
        </r>
        <r>
          <rPr>
            <sz val="9"/>
            <color indexed="81"/>
            <rFont val="Tahoma"/>
            <family val="2"/>
          </rPr>
          <t xml:space="preserve">
not recorded in data sheet, used report from previous site visit</t>
        </r>
      </text>
    </comment>
    <comment ref="D124" authorId="2" shapeId="0" xr:uid="{00000000-0006-0000-0100-000073000000}">
      <text>
        <r>
          <rPr>
            <b/>
            <sz val="9"/>
            <color indexed="81"/>
            <rFont val="Tahoma"/>
            <family val="2"/>
          </rPr>
          <t>U.S. EPA User or Contractor:</t>
        </r>
        <r>
          <rPr>
            <sz val="9"/>
            <color indexed="81"/>
            <rFont val="Tahoma"/>
            <family val="2"/>
          </rPr>
          <t xml:space="preserve">
not recorded in data sheet, used report from previous site visit</t>
        </r>
      </text>
    </comment>
    <comment ref="D125" authorId="2" shapeId="0" xr:uid="{00000000-0006-0000-0100-000074000000}">
      <text>
        <r>
          <rPr>
            <b/>
            <sz val="9"/>
            <color indexed="81"/>
            <rFont val="Tahoma"/>
            <family val="2"/>
          </rPr>
          <t>U.S. EPA User or Contractor:</t>
        </r>
        <r>
          <rPr>
            <sz val="9"/>
            <color indexed="81"/>
            <rFont val="Tahoma"/>
            <family val="2"/>
          </rPr>
          <t xml:space="preserve">
not recorded in data sheet, used report from previous site visit</t>
        </r>
      </text>
    </comment>
    <comment ref="D126" authorId="2" shapeId="0" xr:uid="{00000000-0006-0000-0100-000075000000}">
      <text>
        <r>
          <rPr>
            <b/>
            <sz val="9"/>
            <color indexed="81"/>
            <rFont val="Tahoma"/>
            <family val="2"/>
          </rPr>
          <t>U.S. EPA User or Contractor:</t>
        </r>
        <r>
          <rPr>
            <sz val="9"/>
            <color indexed="81"/>
            <rFont val="Tahoma"/>
            <family val="2"/>
          </rPr>
          <t xml:space="preserve">
not recorded in data sheet, used report from previous site visit</t>
        </r>
      </text>
    </comment>
    <comment ref="C130" authorId="1" shapeId="0" xr:uid="{00000000-0006-0000-0100-000076000000}">
      <text>
        <r>
          <rPr>
            <b/>
            <sz val="9"/>
            <color indexed="81"/>
            <rFont val="Tahoma"/>
            <charset val="1"/>
          </rPr>
          <t>Beaulieu, Jake:</t>
        </r>
        <r>
          <rPr>
            <sz val="9"/>
            <color indexed="81"/>
            <rFont val="Tahoma"/>
            <charset val="1"/>
          </rPr>
          <t xml:space="preserve">
Sensor wonky until 5 hours into deployment.  This date.time cannot be used to calculate manual bubbling rate.</t>
        </r>
      </text>
    </comment>
    <comment ref="D135" authorId="2" shapeId="0" xr:uid="{00000000-0006-0000-0100-000077000000}">
      <text>
        <r>
          <rPr>
            <b/>
            <sz val="9"/>
            <color indexed="81"/>
            <rFont val="Tahoma"/>
            <family val="2"/>
          </rPr>
          <t>U.S. EPA User or Contractor:</t>
        </r>
        <r>
          <rPr>
            <sz val="9"/>
            <color indexed="81"/>
            <rFont val="Tahoma"/>
            <family val="2"/>
          </rPr>
          <t xml:space="preserve">
not recorded in data sheet, used report from previous site visit</t>
        </r>
      </text>
    </comment>
    <comment ref="B136" authorId="2" shapeId="0" xr:uid="{00000000-0006-0000-0100-000078000000}">
      <text>
        <r>
          <rPr>
            <b/>
            <sz val="9"/>
            <color indexed="81"/>
            <rFont val="Tahoma"/>
            <family val="2"/>
          </rPr>
          <t>U.S. EPA User or Contractor:</t>
        </r>
        <r>
          <rPr>
            <sz val="9"/>
            <color indexed="81"/>
            <rFont val="Tahoma"/>
            <family val="2"/>
          </rPr>
          <t xml:space="preserve">
Circuitry #8 and logger #20 was wet. Has been in dessicator.  Circuit board corroded, cannot retrieve file.</t>
        </r>
      </text>
    </comment>
    <comment ref="E136" authorId="2" shapeId="0" xr:uid="{00000000-0006-0000-0100-000079000000}">
      <text>
        <r>
          <rPr>
            <b/>
            <sz val="9"/>
            <color indexed="81"/>
            <rFont val="Tahoma"/>
            <family val="2"/>
          </rPr>
          <t>U.S. EPA User or Contractor:</t>
        </r>
        <r>
          <rPr>
            <sz val="9"/>
            <color indexed="81"/>
            <rFont val="Tahoma"/>
            <family val="2"/>
          </rPr>
          <t xml:space="preserve">
Circuitry #8 and logger #20 was wet. Has been in dessicator.  Circuit board corroded, cannot retrieve file.</t>
        </r>
      </text>
    </comment>
    <comment ref="H136" authorId="2" shapeId="0" xr:uid="{00000000-0006-0000-0100-00007A000000}">
      <text>
        <r>
          <rPr>
            <b/>
            <sz val="9"/>
            <color indexed="81"/>
            <rFont val="Tahoma"/>
            <family val="2"/>
          </rPr>
          <t>U.S. EPA User or Contractor:</t>
        </r>
        <r>
          <rPr>
            <sz val="9"/>
            <color indexed="81"/>
            <rFont val="Tahoma"/>
            <family val="2"/>
          </rPr>
          <t xml:space="preserve">
Circuitry #8 and logger #20 was wet. Has been in dessicator.  Circuit board corroded, cannot retrieve file.</t>
        </r>
      </text>
    </comment>
    <comment ref="O136" authorId="2" shapeId="0" xr:uid="{00000000-0006-0000-0100-00007B000000}">
      <text>
        <r>
          <rPr>
            <b/>
            <sz val="9"/>
            <color indexed="81"/>
            <rFont val="Tahoma"/>
            <family val="2"/>
          </rPr>
          <t>U.S. EPA User or Contractor:</t>
        </r>
        <r>
          <rPr>
            <sz val="9"/>
            <color indexed="81"/>
            <rFont val="Tahoma"/>
            <family val="2"/>
          </rPr>
          <t xml:space="preserve">
Circuitry #8 and logger #20 was wet. Has been in dessicator.  Circuit board corroded, cannot retrieve file.</t>
        </r>
      </text>
    </comment>
    <comment ref="P136" authorId="2" shapeId="0" xr:uid="{00000000-0006-0000-0100-00007C000000}">
      <text>
        <r>
          <rPr>
            <b/>
            <sz val="9"/>
            <color indexed="81"/>
            <rFont val="Tahoma"/>
            <family val="2"/>
          </rPr>
          <t>U.S. EPA User or Contractor:</t>
        </r>
        <r>
          <rPr>
            <sz val="9"/>
            <color indexed="81"/>
            <rFont val="Tahoma"/>
            <family val="2"/>
          </rPr>
          <t xml:space="preserve">
Circuitry #8 and logger #20 was wet. Has been in dessicator.  Circuit board corroded, cannot retrieve file.</t>
        </r>
      </text>
    </comment>
    <comment ref="U136" authorId="2" shapeId="0" xr:uid="{00000000-0006-0000-0100-00007D000000}">
      <text>
        <r>
          <rPr>
            <b/>
            <sz val="9"/>
            <color indexed="81"/>
            <rFont val="Tahoma"/>
            <family val="2"/>
          </rPr>
          <t>U.S. EPA User or Contractor:</t>
        </r>
        <r>
          <rPr>
            <sz val="9"/>
            <color indexed="81"/>
            <rFont val="Tahoma"/>
            <family val="2"/>
          </rPr>
          <t xml:space="preserve">
Circuitry #8 and logger #20 was wet. Has been in dessicator.  Circuit board corroded, cannot retrieve file.</t>
        </r>
      </text>
    </comment>
    <comment ref="D138" authorId="2" shapeId="0" xr:uid="{00000000-0006-0000-0100-00007E000000}">
      <text>
        <r>
          <rPr>
            <b/>
            <sz val="9"/>
            <color indexed="81"/>
            <rFont val="Tahoma"/>
            <family val="2"/>
          </rPr>
          <t>U.S. EPA User or Contractor:</t>
        </r>
        <r>
          <rPr>
            <sz val="9"/>
            <color indexed="81"/>
            <rFont val="Tahoma"/>
            <family val="2"/>
          </rPr>
          <t xml:space="preserve">
not recorded in data sheet, used report from previous site visit</t>
        </r>
      </text>
    </comment>
    <comment ref="D140" authorId="2" shapeId="0" xr:uid="{00000000-0006-0000-0100-00007F000000}">
      <text>
        <r>
          <rPr>
            <b/>
            <sz val="9"/>
            <color indexed="81"/>
            <rFont val="Tahoma"/>
            <family val="2"/>
          </rPr>
          <t>U.S. EPA User or Contractor:</t>
        </r>
        <r>
          <rPr>
            <sz val="9"/>
            <color indexed="81"/>
            <rFont val="Tahoma"/>
            <family val="2"/>
          </rPr>
          <t xml:space="preserve">
not recorded in data sheet, used report from previous site visit</t>
        </r>
      </text>
    </comment>
    <comment ref="D141" authorId="2" shapeId="0" xr:uid="{00000000-0006-0000-0100-000080000000}">
      <text>
        <r>
          <rPr>
            <b/>
            <sz val="9"/>
            <color indexed="81"/>
            <rFont val="Tahoma"/>
            <family val="2"/>
          </rPr>
          <t>U.S. EPA User or Contractor:</t>
        </r>
        <r>
          <rPr>
            <sz val="9"/>
            <color indexed="81"/>
            <rFont val="Tahoma"/>
            <family val="2"/>
          </rPr>
          <t xml:space="preserve">
not recorded in data sheet, used report from previous site visit</t>
        </r>
      </text>
    </comment>
    <comment ref="B145" authorId="2" shapeId="0" xr:uid="{00000000-0006-0000-0100-000081000000}">
      <text>
        <r>
          <rPr>
            <b/>
            <sz val="9"/>
            <color indexed="81"/>
            <rFont val="Tahoma"/>
            <family val="2"/>
          </rPr>
          <t>U.S. EPA User or Contractor:</t>
        </r>
        <r>
          <rPr>
            <sz val="9"/>
            <color indexed="81"/>
            <rFont val="Tahoma"/>
            <family val="2"/>
          </rPr>
          <t xml:space="preserve">
Circuitry was wet, field notes indicate that file was not downloaded.  Logger put in dessicator.  Circuit board (#7) was badly corroded and given to Madhav.  Data was recorded on logger #9 (trap.09.23.2015.hl.enn.hobo).  This file is on share drive, but contains hardly any data.  I relocated logger #9, but it was badly corroded and I could not recover the data.  </t>
        </r>
      </text>
    </comment>
    <comment ref="D145" authorId="2" shapeId="0" xr:uid="{00000000-0006-0000-0100-000082000000}">
      <text>
        <r>
          <rPr>
            <b/>
            <sz val="9"/>
            <color indexed="81"/>
            <rFont val="Tahoma"/>
            <family val="2"/>
          </rPr>
          <t>U.S. EPA User or Contractor:</t>
        </r>
        <r>
          <rPr>
            <sz val="9"/>
            <color indexed="81"/>
            <rFont val="Tahoma"/>
            <family val="2"/>
          </rPr>
          <t xml:space="preserve">
Circuitry was wet, field notes indicate that file was not downloaded.  Logger put in dessicator.  Circuit board (#7) was badly corroded and given to Madhav.  Data was recorded on logger #9 (trap.09.23.2015.hl.enn.hobo).  This file is on share drive, but contains hardly any data.  I relocated logger #9, but it was badly corroded and I could not recover the data.  </t>
        </r>
      </text>
    </comment>
    <comment ref="E145" authorId="2" shapeId="0" xr:uid="{00000000-0006-0000-0100-000083000000}">
      <text>
        <r>
          <rPr>
            <b/>
            <sz val="9"/>
            <color indexed="81"/>
            <rFont val="Tahoma"/>
            <family val="2"/>
          </rPr>
          <t>U.S. EPA User or Contractor:</t>
        </r>
        <r>
          <rPr>
            <sz val="9"/>
            <color indexed="81"/>
            <rFont val="Tahoma"/>
            <family val="2"/>
          </rPr>
          <t xml:space="preserve">
Circuitry was wet, field notes indicate that file was not downloaded.  Logger put in dessicator.  Circuit board (#7) was badly corroded and given to Madhav.  Data was recorded on logger #9 (trap.09.23.2015.hl.enn.hobo).  This file is on share drive, but contains hardly any data.  I relocated logger #9, but it was badly corroded and I could not recover the data.  </t>
        </r>
      </text>
    </comment>
    <comment ref="F145" authorId="2" shapeId="0" xr:uid="{00000000-0006-0000-0100-000084000000}">
      <text>
        <r>
          <rPr>
            <b/>
            <sz val="9"/>
            <color indexed="81"/>
            <rFont val="Tahoma"/>
            <family val="2"/>
          </rPr>
          <t>U.S. EPA User or Contractor:</t>
        </r>
        <r>
          <rPr>
            <sz val="9"/>
            <color indexed="81"/>
            <rFont val="Tahoma"/>
            <family val="2"/>
          </rPr>
          <t xml:space="preserve">
Circuitry was wet, field notes indicate that file was not downloaded.  Logger put in dessicator.  Circuit board (#7) was badly corroded and given to Madhav.  Data was recorded on logger #9 (trap.09.23.2015.hl.enn.hobo).  This file is on share drive, but contains hardly any data.  I relocated logger #9, but it was badly corroded and I could not recover the data.  </t>
        </r>
      </text>
    </comment>
    <comment ref="G145" authorId="2" shapeId="0" xr:uid="{00000000-0006-0000-0100-000085000000}">
      <text>
        <r>
          <rPr>
            <b/>
            <sz val="9"/>
            <color indexed="81"/>
            <rFont val="Tahoma"/>
            <family val="2"/>
          </rPr>
          <t>U.S. EPA User or Contractor:</t>
        </r>
        <r>
          <rPr>
            <sz val="9"/>
            <color indexed="81"/>
            <rFont val="Tahoma"/>
            <family val="2"/>
          </rPr>
          <t xml:space="preserve">
Circuitry was wet, field notes indicate that file was not downloaded.  Logger put in dessicator.  Circuit board (#7) was badly corroded and given to Madhav.  Data was recorded on logger #9 (trap.09.23.2015.hl.enn.hobo).  This file is on share drive, but contains hardly any data.  I relocated logger #9, but it was badly corroded and I could not recover the data.  </t>
        </r>
      </text>
    </comment>
    <comment ref="H145" authorId="2" shapeId="0" xr:uid="{00000000-0006-0000-0100-000086000000}">
      <text>
        <r>
          <rPr>
            <b/>
            <sz val="9"/>
            <color indexed="81"/>
            <rFont val="Tahoma"/>
            <family val="2"/>
          </rPr>
          <t>U.S. EPA User or Contractor:</t>
        </r>
        <r>
          <rPr>
            <sz val="9"/>
            <color indexed="81"/>
            <rFont val="Tahoma"/>
            <family val="2"/>
          </rPr>
          <t xml:space="preserve">
Circuitry was wet, field notes indicate that file was not downloaded.  Logger put in dessicator.  Circuit board (#7) was badly corroded and given to Madhav.  Data was recorded on logger #9 (trap.09.23.2015.hl.enn.hobo).  This file is on share drive, but contains hardly any data.  I relocated logger #9, but it was badly corroded and I could not recover the data.  </t>
        </r>
      </text>
    </comment>
    <comment ref="I145" authorId="2" shapeId="0" xr:uid="{00000000-0006-0000-0100-000087000000}">
      <text>
        <r>
          <rPr>
            <b/>
            <sz val="9"/>
            <color indexed="81"/>
            <rFont val="Tahoma"/>
            <family val="2"/>
          </rPr>
          <t>U.S. EPA User or Contractor:</t>
        </r>
        <r>
          <rPr>
            <sz val="9"/>
            <color indexed="81"/>
            <rFont val="Tahoma"/>
            <family val="2"/>
          </rPr>
          <t xml:space="preserve">
Circuitry was wet, field notes indicate that file was not downloaded.  Logger put in dessicator.  Circuit board (#7) was badly corroded and given to Madhav.  Data was recorded on logger #9 (trap.09.23.2015.hl.enn.hobo).  This file is on share drive, but contains hardly any data.  I relocated logger #9, but it was badly corroded and I could not recover the data.  </t>
        </r>
      </text>
    </comment>
    <comment ref="J145" authorId="2" shapeId="0" xr:uid="{00000000-0006-0000-0100-000088000000}">
      <text>
        <r>
          <rPr>
            <b/>
            <sz val="9"/>
            <color indexed="81"/>
            <rFont val="Tahoma"/>
            <family val="2"/>
          </rPr>
          <t>U.S. EPA User or Contractor:</t>
        </r>
        <r>
          <rPr>
            <sz val="9"/>
            <color indexed="81"/>
            <rFont val="Tahoma"/>
            <family val="2"/>
          </rPr>
          <t xml:space="preserve">
Circuitry was wet, field notes indicate that file was not downloaded.  Logger put in dessicator.  Circuit board (#7) was badly corroded and given to Madhav.  Data was recorded on logger #9 (trap.09.23.2015.hl.enn.hobo).  This file is on share drive, but contains hardly any data.  I relocated logger #9, but it was badly corroded and I could not recover the data.  </t>
        </r>
      </text>
    </comment>
    <comment ref="K145" authorId="2" shapeId="0" xr:uid="{00000000-0006-0000-0100-000089000000}">
      <text>
        <r>
          <rPr>
            <b/>
            <sz val="9"/>
            <color indexed="81"/>
            <rFont val="Tahoma"/>
            <family val="2"/>
          </rPr>
          <t>U.S. EPA User or Contractor:</t>
        </r>
        <r>
          <rPr>
            <sz val="9"/>
            <color indexed="81"/>
            <rFont val="Tahoma"/>
            <family val="2"/>
          </rPr>
          <t xml:space="preserve">
Circuitry was wet, field notes indicate that file was not downloaded.  Logger put in dessicator.  Circuit board (#7) was badly corroded and given to Madhav.  Data was recorded on logger #9 (trap.09.23.2015.hl.enn.hobo).  This file is on share drive, but contains hardly any data.  I relocated logger #9, but it was badly corroded and I could not recover the data.  </t>
        </r>
      </text>
    </comment>
    <comment ref="L145" authorId="2" shapeId="0" xr:uid="{00000000-0006-0000-0100-00008A000000}">
      <text>
        <r>
          <rPr>
            <b/>
            <sz val="9"/>
            <color indexed="81"/>
            <rFont val="Tahoma"/>
            <family val="2"/>
          </rPr>
          <t>U.S. EPA User or Contractor:</t>
        </r>
        <r>
          <rPr>
            <sz val="9"/>
            <color indexed="81"/>
            <rFont val="Tahoma"/>
            <family val="2"/>
          </rPr>
          <t xml:space="preserve">
Circuitry was wet, field notes indicate that file was not downloaded.  Logger put in dessicator.  Circuit board (#7) was badly corroded and given to Madhav.  Data was recorded on logger #9 (trap.09.23.2015.hl.enn.hobo).  This file is on share drive, but contains hardly any data.  I relocated logger #9, but it was badly corroded and I could not recover the data.  </t>
        </r>
      </text>
    </comment>
    <comment ref="M145" authorId="2" shapeId="0" xr:uid="{00000000-0006-0000-0100-00008B000000}">
      <text>
        <r>
          <rPr>
            <b/>
            <sz val="9"/>
            <color indexed="81"/>
            <rFont val="Tahoma"/>
            <family val="2"/>
          </rPr>
          <t>U.S. EPA User or Contractor:</t>
        </r>
        <r>
          <rPr>
            <sz val="9"/>
            <color indexed="81"/>
            <rFont val="Tahoma"/>
            <family val="2"/>
          </rPr>
          <t xml:space="preserve">
Circuitry was wet, field notes indicate that file was not downloaded.  Logger put in dessicator.  Circuit board (#7) was badly corroded and given to Madhav.  Data was recorded on logger #9 (trap.09.23.2015.hl.enn.hobo).  This file is on share drive, but contains hardly any data.  I relocated logger #9, but it was badly corroded and I could not recover the data.  </t>
        </r>
      </text>
    </comment>
    <comment ref="N145" authorId="2" shapeId="0" xr:uid="{00000000-0006-0000-0100-00008C000000}">
      <text>
        <r>
          <rPr>
            <b/>
            <sz val="9"/>
            <color indexed="81"/>
            <rFont val="Tahoma"/>
            <family val="2"/>
          </rPr>
          <t>U.S. EPA User or Contractor:</t>
        </r>
        <r>
          <rPr>
            <sz val="9"/>
            <color indexed="81"/>
            <rFont val="Tahoma"/>
            <family val="2"/>
          </rPr>
          <t xml:space="preserve">
Circuitry was wet, field notes indicate that file was not downloaded.  Logger put in dessicator.  Circuit board (#7) was badly corroded and given to Madhav.  Data was recorded on logger #9 (trap.09.23.2015.hl.enn.hobo).  This file is on share drive, but contains hardly any data.  I relocated logger #9, but it was badly corroded and I could not recover the data.  </t>
        </r>
      </text>
    </comment>
    <comment ref="O145" authorId="2" shapeId="0" xr:uid="{00000000-0006-0000-0100-00008D000000}">
      <text>
        <r>
          <rPr>
            <b/>
            <sz val="9"/>
            <color indexed="81"/>
            <rFont val="Tahoma"/>
            <family val="2"/>
          </rPr>
          <t>U.S. EPA User or Contractor:</t>
        </r>
        <r>
          <rPr>
            <sz val="9"/>
            <color indexed="81"/>
            <rFont val="Tahoma"/>
            <family val="2"/>
          </rPr>
          <t xml:space="preserve">
Circuitry was wet, field notes indicate that file was not downloaded.  Logger put in dessicator.  Circuit board (#7) was badly corroded and given to Madhav.  Data was recorded on logger #9 (trap.09.23.2015.hl.enn.hobo).  This file is on share drive, but contains hardly any data.  I relocated logger #9, but it was badly corroded and I could not recover the data.  </t>
        </r>
      </text>
    </comment>
    <comment ref="P145" authorId="2" shapeId="0" xr:uid="{00000000-0006-0000-0100-00008E000000}">
      <text>
        <r>
          <rPr>
            <b/>
            <sz val="9"/>
            <color indexed="81"/>
            <rFont val="Tahoma"/>
            <family val="2"/>
          </rPr>
          <t>U.S. EPA User or Contractor:</t>
        </r>
        <r>
          <rPr>
            <sz val="9"/>
            <color indexed="81"/>
            <rFont val="Tahoma"/>
            <family val="2"/>
          </rPr>
          <t xml:space="preserve">
Circuitry was wet, field notes indicate that file was not downloaded.  Logger put in dessicator.  Circuit board (#7) was badly corroded and given to Madhav.  Data was recorded on logger #9 (trap.09.23.2015.hl.enn.hobo).  This file is on share drive, but contains hardly any data.  I relocated logger #9, but it was badly corroded and I could not recover the data.  </t>
        </r>
      </text>
    </comment>
    <comment ref="Q145" authorId="2" shapeId="0" xr:uid="{00000000-0006-0000-0100-00008F000000}">
      <text>
        <r>
          <rPr>
            <b/>
            <sz val="9"/>
            <color indexed="81"/>
            <rFont val="Tahoma"/>
            <family val="2"/>
          </rPr>
          <t>U.S. EPA User or Contractor:</t>
        </r>
        <r>
          <rPr>
            <sz val="9"/>
            <color indexed="81"/>
            <rFont val="Tahoma"/>
            <family val="2"/>
          </rPr>
          <t xml:space="preserve">
Circuitry was wet, field notes indicate that file was not downloaded.  Logger put in dessicator.  Circuit board (#7) was badly corroded and given to Madhav.  Data was recorded on logger #9 (trap.09.23.2015.hl.enn.hobo).  This file is on share drive, but contains hardly any data.  I relocated logger #9, but it was badly corroded and I could not recover the data.  </t>
        </r>
      </text>
    </comment>
    <comment ref="R145" authorId="2" shapeId="0" xr:uid="{00000000-0006-0000-0100-000090000000}">
      <text>
        <r>
          <rPr>
            <b/>
            <sz val="9"/>
            <color indexed="81"/>
            <rFont val="Tahoma"/>
            <family val="2"/>
          </rPr>
          <t>U.S. EPA User or Contractor:</t>
        </r>
        <r>
          <rPr>
            <sz val="9"/>
            <color indexed="81"/>
            <rFont val="Tahoma"/>
            <family val="2"/>
          </rPr>
          <t xml:space="preserve">
Circuitry was wet, field notes indicate that file was not downloaded.  Logger put in dessicator.  Circuit board (#7) was badly corroded and given to Madhav.  Data was recorded on logger #9 (trap.09.23.2015.hl.enn.hobo).  This file is on share drive, but contains hardly any data.  I relocated logger #9, but it was badly corroded and I could not recover the data.  </t>
        </r>
      </text>
    </comment>
    <comment ref="S145" authorId="2" shapeId="0" xr:uid="{00000000-0006-0000-0100-000091000000}">
      <text>
        <r>
          <rPr>
            <b/>
            <sz val="9"/>
            <color indexed="81"/>
            <rFont val="Tahoma"/>
            <family val="2"/>
          </rPr>
          <t>U.S. EPA User or Contractor:</t>
        </r>
        <r>
          <rPr>
            <sz val="9"/>
            <color indexed="81"/>
            <rFont val="Tahoma"/>
            <family val="2"/>
          </rPr>
          <t xml:space="preserve">
Circuitry was wet, field notes indicate that file was not downloaded.  Logger put in dessicator.  Circuit board (#7) was badly corroded and given to Madhav.  Data was recorded on logger #9 (trap.09.23.2015.hl.enn.hobo).  This file is on share drive, but contains hardly any data.  I relocated logger #9, but it was badly corroded and I could not recover the data.  </t>
        </r>
      </text>
    </comment>
    <comment ref="T145" authorId="2" shapeId="0" xr:uid="{00000000-0006-0000-0100-000092000000}">
      <text>
        <r>
          <rPr>
            <b/>
            <sz val="9"/>
            <color indexed="81"/>
            <rFont val="Tahoma"/>
            <family val="2"/>
          </rPr>
          <t>U.S. EPA User or Contractor:</t>
        </r>
        <r>
          <rPr>
            <sz val="9"/>
            <color indexed="81"/>
            <rFont val="Tahoma"/>
            <family val="2"/>
          </rPr>
          <t xml:space="preserve">
Circuitry was wet, field notes indicate that file was not downloaded.  Logger put in dessicator.  Circuit board (#7) was badly corroded and given to Madhav.  Data was recorded on logger #9 (trap.09.23.2015.hl.enn.hobo).  This file is on share drive, but contains hardly any data.  I relocated logger #9, but it was badly corroded and I could not recover the data.  </t>
        </r>
      </text>
    </comment>
    <comment ref="U145" authorId="2" shapeId="0" xr:uid="{00000000-0006-0000-0100-000093000000}">
      <text>
        <r>
          <rPr>
            <b/>
            <sz val="9"/>
            <color indexed="81"/>
            <rFont val="Tahoma"/>
            <family val="2"/>
          </rPr>
          <t>U.S. EPA User or Contractor:</t>
        </r>
        <r>
          <rPr>
            <sz val="9"/>
            <color indexed="81"/>
            <rFont val="Tahoma"/>
            <family val="2"/>
          </rPr>
          <t xml:space="preserve">
Circuitry was wet, field notes indicate that file was not downloaded.  Logger put in dessicator.  Circuit board (#7) was badly corroded and given to Madhav.  Data was recorded on logger #9 (trap.09.23.2015.hl.enn.hobo).  This file is on share drive, but contains hardly any data.  I relocated logger #9, but it was badly corroded and I could not recover the data.  </t>
        </r>
      </text>
    </comment>
    <comment ref="B151" authorId="2" shapeId="0" xr:uid="{00000000-0006-0000-0100-000094000000}">
      <text>
        <r>
          <rPr>
            <b/>
            <sz val="9"/>
            <color indexed="81"/>
            <rFont val="Tahoma"/>
            <charset val="1"/>
          </rPr>
          <t>U.S. EPA User or Contractor:</t>
        </r>
        <r>
          <rPr>
            <sz val="9"/>
            <color indexed="81"/>
            <rFont val="Tahoma"/>
            <charset val="1"/>
          </rPr>
          <t xml:space="preserve">
There are 3 ENN files
</t>
        </r>
      </text>
    </comment>
    <comment ref="B152" authorId="2" shapeId="0" xr:uid="{00000000-0006-0000-0100-000095000000}">
      <text>
        <r>
          <rPr>
            <b/>
            <sz val="9"/>
            <color indexed="81"/>
            <rFont val="Tahoma"/>
            <charset val="1"/>
          </rPr>
          <t>U.S. EPA User or Contractor:</t>
        </r>
        <r>
          <rPr>
            <sz val="9"/>
            <color indexed="81"/>
            <rFont val="Tahoma"/>
            <charset val="1"/>
          </rPr>
          <t xml:space="preserve">
Voltage maxed on 10/2, then dropped and stayed low</t>
        </r>
      </text>
    </comment>
    <comment ref="D165" authorId="2" shapeId="0" xr:uid="{00000000-0006-0000-0100-000096000000}">
      <text>
        <r>
          <rPr>
            <b/>
            <sz val="9"/>
            <color indexed="81"/>
            <rFont val="Tahoma"/>
            <family val="2"/>
          </rPr>
          <t>U.S. EPA User or Contractor:</t>
        </r>
        <r>
          <rPr>
            <sz val="9"/>
            <color indexed="81"/>
            <rFont val="Tahoma"/>
            <family val="2"/>
          </rPr>
          <t xml:space="preserve">
not recorded in data sheet, used report from previous site visit</t>
        </r>
      </text>
    </comment>
    <comment ref="D171" authorId="2" shapeId="0" xr:uid="{00000000-0006-0000-0100-000097000000}">
      <text>
        <r>
          <rPr>
            <b/>
            <sz val="9"/>
            <color indexed="81"/>
            <rFont val="Tahoma"/>
            <family val="2"/>
          </rPr>
          <t>U.S. EPA User or Contractor:</t>
        </r>
        <r>
          <rPr>
            <sz val="9"/>
            <color indexed="81"/>
            <rFont val="Tahoma"/>
            <family val="2"/>
          </rPr>
          <t xml:space="preserve">
not recorded in data sheet, used report from previous site visit</t>
        </r>
      </text>
    </comment>
    <comment ref="B179" authorId="2" shapeId="0" xr:uid="{00000000-0006-0000-0100-000098000000}">
      <text>
        <r>
          <rPr>
            <b/>
            <sz val="9"/>
            <color indexed="81"/>
            <rFont val="Tahoma"/>
            <charset val="1"/>
          </rPr>
          <t>U.S. EPA User or Contractor:</t>
        </r>
        <r>
          <rPr>
            <sz val="9"/>
            <color indexed="81"/>
            <rFont val="Tahoma"/>
            <charset val="1"/>
          </rPr>
          <t xml:space="preserve">
Logger 15 was bad. It was sent to Onset who recovered the data.</t>
        </r>
      </text>
    </comment>
    <comment ref="D179" authorId="2" shapeId="0" xr:uid="{00000000-0006-0000-0100-000099000000}">
      <text>
        <r>
          <rPr>
            <b/>
            <sz val="9"/>
            <color indexed="81"/>
            <rFont val="Tahoma"/>
            <family val="2"/>
          </rPr>
          <t>U.S. EPA User or Contractor:</t>
        </r>
        <r>
          <rPr>
            <sz val="9"/>
            <color indexed="81"/>
            <rFont val="Tahoma"/>
            <family val="2"/>
          </rPr>
          <t xml:space="preserve">
not recorded in data sheet, used report from previous site visit</t>
        </r>
      </text>
    </comment>
    <comment ref="D182" authorId="2" shapeId="0" xr:uid="{00000000-0006-0000-0100-00009A000000}">
      <text>
        <r>
          <rPr>
            <b/>
            <sz val="9"/>
            <color indexed="81"/>
            <rFont val="Tahoma"/>
            <family val="2"/>
          </rPr>
          <t>U.S. EPA User or Contractor:</t>
        </r>
        <r>
          <rPr>
            <sz val="9"/>
            <color indexed="81"/>
            <rFont val="Tahoma"/>
            <family val="2"/>
          </rPr>
          <t xml:space="preserve">
not recorded in data sheet, used report from previous site visit</t>
        </r>
      </text>
    </comment>
    <comment ref="C184" authorId="1" shapeId="0" xr:uid="{00000000-0006-0000-0100-00009B000000}">
      <text>
        <r>
          <rPr>
            <b/>
            <sz val="9"/>
            <color indexed="81"/>
            <rFont val="Tahoma"/>
            <charset val="1"/>
          </rPr>
          <t xml:space="preserve">Beaulieu, Jake:
11/4/15
</t>
        </r>
        <r>
          <rPr>
            <sz val="9"/>
            <color indexed="81"/>
            <rFont val="Tahoma"/>
            <charset val="1"/>
          </rPr>
          <t xml:space="preserve">
first ~7 hours of data were a bit noisy.  Deployment time chosen when signal fist stabilized.</t>
        </r>
      </text>
    </comment>
    <comment ref="I187" authorId="2" shapeId="0" xr:uid="{00000000-0006-0000-0100-00009C00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I188" authorId="2" shapeId="0" xr:uid="{00000000-0006-0000-0100-00009D00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189" authorId="2" shapeId="0" xr:uid="{00000000-0006-0000-0100-00009E000000}">
      <text>
        <r>
          <rPr>
            <b/>
            <sz val="9"/>
            <color indexed="81"/>
            <rFont val="Tahoma"/>
            <family val="2"/>
          </rPr>
          <t>U.S. EPA User or Contractor:</t>
        </r>
        <r>
          <rPr>
            <sz val="9"/>
            <color indexed="81"/>
            <rFont val="Tahoma"/>
            <family val="2"/>
          </rPr>
          <t xml:space="preserve">
A bit noisy, ideal start time not obvious.
</t>
        </r>
      </text>
    </comment>
    <comment ref="I189" authorId="2" shapeId="0" xr:uid="{00000000-0006-0000-0100-00009F00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190" authorId="2" shapeId="0" xr:uid="{00000000-0006-0000-0100-0000A0000000}">
      <text>
        <r>
          <rPr>
            <b/>
            <sz val="9"/>
            <color indexed="81"/>
            <rFont val="Tahoma"/>
            <family val="2"/>
          </rPr>
          <t>U.S. EPA User or Contractor:</t>
        </r>
        <r>
          <rPr>
            <sz val="9"/>
            <color indexed="81"/>
            <rFont val="Tahoma"/>
            <family val="2"/>
          </rPr>
          <t xml:space="preserve">
Omitted first ~3 hours of time series due to excessive noise.
</t>
        </r>
      </text>
    </comment>
    <comment ref="D190" authorId="2" shapeId="0" xr:uid="{00000000-0006-0000-0100-0000A1000000}">
      <text>
        <r>
          <rPr>
            <b/>
            <sz val="9"/>
            <color indexed="81"/>
            <rFont val="Tahoma"/>
            <family val="2"/>
          </rPr>
          <t>U.S. EPA User or Contractor:</t>
        </r>
        <r>
          <rPr>
            <sz val="9"/>
            <color indexed="81"/>
            <rFont val="Tahoma"/>
            <family val="2"/>
          </rPr>
          <t xml:space="preserve">
not recorded in data sheet, used report from previous site visit.  Confirmed using data from subsequent site visit.</t>
        </r>
      </text>
    </comment>
    <comment ref="I190" authorId="2" shapeId="0" xr:uid="{00000000-0006-0000-0100-0000A200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I191" authorId="2" shapeId="0" xr:uid="{00000000-0006-0000-0100-0000A300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I192" authorId="2" shapeId="0" xr:uid="{00000000-0006-0000-0100-0000A400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193" authorId="2" shapeId="0" xr:uid="{00000000-0006-0000-0100-0000A5000000}">
      <text>
        <r>
          <rPr>
            <b/>
            <sz val="9"/>
            <color indexed="81"/>
            <rFont val="Tahoma"/>
            <family val="2"/>
          </rPr>
          <t>U.S. EPA User or Contractor:</t>
        </r>
        <r>
          <rPr>
            <sz val="9"/>
            <color indexed="81"/>
            <rFont val="Tahoma"/>
            <family val="2"/>
          </rPr>
          <t xml:space="preserve">
A bit noisy, ideal start time not obvious.
</t>
        </r>
      </text>
    </comment>
    <comment ref="I193" authorId="2" shapeId="0" xr:uid="{00000000-0006-0000-0100-0000A600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I194" authorId="2" shapeId="0" xr:uid="{00000000-0006-0000-0100-0000A700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I195" authorId="2" shapeId="0" xr:uid="{00000000-0006-0000-0100-0000A800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196" authorId="2" shapeId="0" xr:uid="{00000000-0006-0000-0100-0000A9000000}">
      <text>
        <r>
          <rPr>
            <b/>
            <sz val="9"/>
            <color indexed="81"/>
            <rFont val="Tahoma"/>
            <charset val="1"/>
          </rPr>
          <t>U.S. EPA User or Contractor:</t>
        </r>
        <r>
          <rPr>
            <sz val="9"/>
            <color indexed="81"/>
            <rFont val="Tahoma"/>
            <charset val="1"/>
          </rPr>
          <t xml:space="preserve">
Times adjusted to represent an hour earlier than electronic file times to account for the end of daylight savings.
KB 11/24/2015</t>
        </r>
      </text>
    </comment>
    <comment ref="D196" authorId="2" shapeId="0" xr:uid="{00000000-0006-0000-0100-0000AA000000}">
      <text>
        <r>
          <rPr>
            <b/>
            <sz val="9"/>
            <color indexed="81"/>
            <rFont val="Tahoma"/>
            <family val="2"/>
          </rPr>
          <t>U.S. EPA User or Contractor:</t>
        </r>
        <r>
          <rPr>
            <sz val="9"/>
            <color indexed="81"/>
            <rFont val="Tahoma"/>
            <family val="2"/>
          </rPr>
          <t xml:space="preserve">
not recorded in data sheet, used report from previous site visit.  Confirmed using data from subsequent site visit.</t>
        </r>
      </text>
    </comment>
    <comment ref="I196" authorId="2" shapeId="0" xr:uid="{00000000-0006-0000-0100-0000AB00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197" authorId="2" shapeId="0" xr:uid="{00000000-0006-0000-0100-0000AC000000}">
      <text>
        <r>
          <rPr>
            <b/>
            <sz val="9"/>
            <color indexed="81"/>
            <rFont val="Tahoma"/>
            <charset val="1"/>
          </rPr>
          <t>U.S. EPA User or Contractor:</t>
        </r>
        <r>
          <rPr>
            <sz val="9"/>
            <color indexed="81"/>
            <rFont val="Tahoma"/>
            <charset val="1"/>
          </rPr>
          <t xml:space="preserve">
Times adjusted to represent an hour earlier than electronic file times to account for the end of daylight savings.
KB 11/24/2015</t>
        </r>
      </text>
    </comment>
    <comment ref="I197" authorId="2" shapeId="0" xr:uid="{00000000-0006-0000-0100-0000AD00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198" authorId="2" shapeId="0" xr:uid="{00000000-0006-0000-0100-0000AE000000}">
      <text>
        <r>
          <rPr>
            <b/>
            <sz val="9"/>
            <color indexed="81"/>
            <rFont val="Tahoma"/>
            <charset val="1"/>
          </rPr>
          <t>U.S. EPA User or Contractor:</t>
        </r>
        <r>
          <rPr>
            <sz val="9"/>
            <color indexed="81"/>
            <rFont val="Tahoma"/>
            <charset val="1"/>
          </rPr>
          <t xml:space="preserve">
Times adjusted to represent an hour earlier than electronic file times to account for the end of daylight savings.
KB 11/24/2015</t>
        </r>
      </text>
    </comment>
    <comment ref="I198" authorId="2" shapeId="0" xr:uid="{00000000-0006-0000-0100-0000AF00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199" authorId="2" shapeId="0" xr:uid="{00000000-0006-0000-0100-0000B0000000}">
      <text>
        <r>
          <rPr>
            <b/>
            <sz val="9"/>
            <color indexed="81"/>
            <rFont val="Tahoma"/>
            <charset val="1"/>
          </rPr>
          <t>U.S. EPA User or Contractor:</t>
        </r>
        <r>
          <rPr>
            <sz val="9"/>
            <color indexed="81"/>
            <rFont val="Tahoma"/>
            <charset val="1"/>
          </rPr>
          <t xml:space="preserve">
Times adjusted to represent an hour earlier than electronic file times to account for the end of daylight savings.
KB 11/24/2015</t>
        </r>
      </text>
    </comment>
    <comment ref="I199" authorId="2" shapeId="0" xr:uid="{00000000-0006-0000-0100-0000B100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200" authorId="2" shapeId="0" xr:uid="{00000000-0006-0000-0100-0000B2000000}">
      <text>
        <r>
          <rPr>
            <b/>
            <sz val="9"/>
            <color indexed="81"/>
            <rFont val="Tahoma"/>
            <charset val="1"/>
          </rPr>
          <t>U.S. EPA User or Contractor:</t>
        </r>
        <r>
          <rPr>
            <sz val="9"/>
            <color indexed="81"/>
            <rFont val="Tahoma"/>
            <charset val="1"/>
          </rPr>
          <t xml:space="preserve">
Times adjusted to represent an hour earlier than electronic file times to account for the end of daylight savings.
KB 11/24/2015</t>
        </r>
      </text>
    </comment>
    <comment ref="I200" authorId="2" shapeId="0" xr:uid="{00000000-0006-0000-0100-0000B300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201" authorId="2" shapeId="0" xr:uid="{00000000-0006-0000-0100-0000B4000000}">
      <text>
        <r>
          <rPr>
            <b/>
            <sz val="9"/>
            <color indexed="81"/>
            <rFont val="Tahoma"/>
            <charset val="1"/>
          </rPr>
          <t>U.S. EPA User or Contractor:</t>
        </r>
        <r>
          <rPr>
            <sz val="9"/>
            <color indexed="81"/>
            <rFont val="Tahoma"/>
            <charset val="1"/>
          </rPr>
          <t xml:space="preserve">
Times adjusted to represent an hour earlier than electronic file times to account for the end of daylight savings.
KB 11/24/2015</t>
        </r>
      </text>
    </comment>
    <comment ref="I201" authorId="2" shapeId="0" xr:uid="{00000000-0006-0000-0100-0000B500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202" authorId="2" shapeId="0" xr:uid="{00000000-0006-0000-0100-0000B6000000}">
      <text>
        <r>
          <rPr>
            <b/>
            <sz val="9"/>
            <color indexed="81"/>
            <rFont val="Tahoma"/>
            <charset val="1"/>
          </rPr>
          <t>U.S. EPA User or Contractor:</t>
        </r>
        <r>
          <rPr>
            <sz val="9"/>
            <color indexed="81"/>
            <rFont val="Tahoma"/>
            <charset val="1"/>
          </rPr>
          <t xml:space="preserve">
Times adjusted to represent an hour earlier than electronic file times to account for the end of daylight savings.
KB 11/24/2015</t>
        </r>
      </text>
    </comment>
    <comment ref="I202" authorId="2" shapeId="0" xr:uid="{00000000-0006-0000-0100-0000B700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203" authorId="2" shapeId="0" xr:uid="{00000000-0006-0000-0100-0000B8000000}">
      <text>
        <r>
          <rPr>
            <b/>
            <sz val="9"/>
            <color indexed="81"/>
            <rFont val="Tahoma"/>
            <charset val="1"/>
          </rPr>
          <t>U.S. EPA User or Contractor:</t>
        </r>
        <r>
          <rPr>
            <sz val="9"/>
            <color indexed="81"/>
            <rFont val="Tahoma"/>
            <charset val="1"/>
          </rPr>
          <t xml:space="preserve">
Times adjusted to represent an hour earlier than electronic file times to account for the end of daylight savings.
KB 11/24/2015</t>
        </r>
      </text>
    </comment>
    <comment ref="I203" authorId="2" shapeId="0" xr:uid="{00000000-0006-0000-0100-0000B900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204" authorId="2" shapeId="0" xr:uid="{00000000-0006-0000-0100-0000BA000000}">
      <text>
        <r>
          <rPr>
            <b/>
            <sz val="9"/>
            <color indexed="81"/>
            <rFont val="Tahoma"/>
            <charset val="1"/>
          </rPr>
          <t>U.S. EPA User or Contractor:</t>
        </r>
        <r>
          <rPr>
            <sz val="9"/>
            <color indexed="81"/>
            <rFont val="Tahoma"/>
            <charset val="1"/>
          </rPr>
          <t xml:space="preserve">
Times adjusted to represent an hour earlier than electronic file times to account for the end of daylight savings.
KB 11/24/2015</t>
        </r>
      </text>
    </comment>
    <comment ref="I204" authorId="2" shapeId="0" xr:uid="{00000000-0006-0000-0100-0000BB00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205" authorId="2" shapeId="0" xr:uid="{00000000-0006-0000-0100-0000BC000000}">
      <text>
        <r>
          <rPr>
            <b/>
            <sz val="9"/>
            <color indexed="81"/>
            <rFont val="Tahoma"/>
            <charset val="1"/>
          </rPr>
          <t>U.S. EPA User or Contractor:</t>
        </r>
        <r>
          <rPr>
            <sz val="9"/>
            <color indexed="81"/>
            <rFont val="Tahoma"/>
            <charset val="1"/>
          </rPr>
          <t xml:space="preserve">
Computer times were adjusted in accordance with daylight savings, however the times were accidentally set 12 hours fast. These present values represent the adjusted times.
KB 11/24/2015</t>
        </r>
      </text>
    </comment>
    <comment ref="D205" authorId="2" shapeId="0" xr:uid="{00000000-0006-0000-0100-0000BD000000}">
      <text>
        <r>
          <rPr>
            <b/>
            <sz val="9"/>
            <color indexed="81"/>
            <rFont val="Tahoma"/>
            <family val="2"/>
          </rPr>
          <t>U.S. EPA User or Contractor:</t>
        </r>
        <r>
          <rPr>
            <sz val="9"/>
            <color indexed="81"/>
            <rFont val="Tahoma"/>
            <family val="2"/>
          </rPr>
          <t xml:space="preserve">
not recorded in data sheet, used report from previous site visit.  Confirmed using data from subsequent site visit.</t>
        </r>
      </text>
    </comment>
    <comment ref="I205" authorId="2" shapeId="0" xr:uid="{00000000-0006-0000-0100-0000BE00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206" authorId="2" shapeId="0" xr:uid="{00000000-0006-0000-0100-0000BF000000}">
      <text>
        <r>
          <rPr>
            <b/>
            <sz val="9"/>
            <color indexed="81"/>
            <rFont val="Tahoma"/>
            <charset val="1"/>
          </rPr>
          <t>U.S. EPA User or Contractor:</t>
        </r>
        <r>
          <rPr>
            <sz val="9"/>
            <color indexed="81"/>
            <rFont val="Tahoma"/>
            <charset val="1"/>
          </rPr>
          <t xml:space="preserve">
Computer times were adjusted in accordance with daylight savings, however the times were accidentally set 12 hours fast. These present values represent the adjusted times.
KB 11/24/2015</t>
        </r>
      </text>
    </comment>
    <comment ref="D206" authorId="2" shapeId="0" xr:uid="{00000000-0006-0000-0100-0000C0000000}">
      <text>
        <r>
          <rPr>
            <b/>
            <sz val="9"/>
            <color indexed="81"/>
            <rFont val="Tahoma"/>
            <family val="2"/>
          </rPr>
          <t>U.S. EPA User or Contractor:</t>
        </r>
        <r>
          <rPr>
            <sz val="9"/>
            <color indexed="81"/>
            <rFont val="Tahoma"/>
            <family val="2"/>
          </rPr>
          <t xml:space="preserve">
not recorded in data sheet, used report from previous site visit.  Confirmed using data from subsequent site visit.</t>
        </r>
      </text>
    </comment>
    <comment ref="I206" authorId="2" shapeId="0" xr:uid="{00000000-0006-0000-0100-0000C100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207" authorId="2" shapeId="0" xr:uid="{00000000-0006-0000-0100-0000C2000000}">
      <text>
        <r>
          <rPr>
            <b/>
            <sz val="9"/>
            <color indexed="81"/>
            <rFont val="Tahoma"/>
            <charset val="1"/>
          </rPr>
          <t>U.S. EPA User or Contractor:</t>
        </r>
        <r>
          <rPr>
            <sz val="9"/>
            <color indexed="81"/>
            <rFont val="Tahoma"/>
            <charset val="1"/>
          </rPr>
          <t xml:space="preserve">
Computer times were adjusted in accordance with daylight savings, however the times were accidentally set 12 hours fast. These present values represent the adjusted times.
KB 11/24/2015</t>
        </r>
      </text>
    </comment>
    <comment ref="D207" authorId="2" shapeId="0" xr:uid="{00000000-0006-0000-0100-0000C3000000}">
      <text>
        <r>
          <rPr>
            <b/>
            <sz val="9"/>
            <color indexed="81"/>
            <rFont val="Tahoma"/>
            <family val="2"/>
          </rPr>
          <t>U.S. EPA User or Contractor:</t>
        </r>
        <r>
          <rPr>
            <sz val="9"/>
            <color indexed="81"/>
            <rFont val="Tahoma"/>
            <family val="2"/>
          </rPr>
          <t xml:space="preserve">
not recorded in data sheet, used report from previous site visit.  Confirmed using data from subsequent site visit.</t>
        </r>
      </text>
    </comment>
    <comment ref="I207" authorId="2" shapeId="0" xr:uid="{00000000-0006-0000-0100-0000C400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208" authorId="2" shapeId="0" xr:uid="{00000000-0006-0000-0100-0000C5000000}">
      <text>
        <r>
          <rPr>
            <b/>
            <sz val="9"/>
            <color indexed="81"/>
            <rFont val="Tahoma"/>
            <charset val="1"/>
          </rPr>
          <t>U.S. EPA User or Contractor:</t>
        </r>
        <r>
          <rPr>
            <sz val="9"/>
            <color indexed="81"/>
            <rFont val="Tahoma"/>
            <charset val="1"/>
          </rPr>
          <t xml:space="preserve">
Computer times were adjusted in accordance with daylight savings, however the times were accidentally set 12 hours fast. These present values represent the adjusted times.
KB 11/24/2015</t>
        </r>
      </text>
    </comment>
    <comment ref="D208" authorId="2" shapeId="0" xr:uid="{00000000-0006-0000-0100-0000C6000000}">
      <text>
        <r>
          <rPr>
            <b/>
            <sz val="9"/>
            <color indexed="81"/>
            <rFont val="Tahoma"/>
            <family val="2"/>
          </rPr>
          <t>U.S. EPA User or Contractor:</t>
        </r>
        <r>
          <rPr>
            <sz val="9"/>
            <color indexed="81"/>
            <rFont val="Tahoma"/>
            <family val="2"/>
          </rPr>
          <t xml:space="preserve">
not recorded in data sheet, used report from previous site visit.  Confirmed using data from subsequent site visit.</t>
        </r>
      </text>
    </comment>
    <comment ref="I208" authorId="2" shapeId="0" xr:uid="{00000000-0006-0000-0100-0000C700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209" authorId="2" shapeId="0" xr:uid="{00000000-0006-0000-0100-0000C8000000}">
      <text>
        <r>
          <rPr>
            <b/>
            <sz val="9"/>
            <color indexed="81"/>
            <rFont val="Tahoma"/>
            <charset val="1"/>
          </rPr>
          <t>U.S. EPA User or Contractor:</t>
        </r>
        <r>
          <rPr>
            <sz val="9"/>
            <color indexed="81"/>
            <rFont val="Tahoma"/>
            <charset val="1"/>
          </rPr>
          <t xml:space="preserve">
Computer times were adjusted in accordance with daylight savings, however the times were accidentally set 12 hours fast. These present values represent the adjusted times.
KB 11/24/2015</t>
        </r>
      </text>
    </comment>
    <comment ref="D209" authorId="2" shapeId="0" xr:uid="{00000000-0006-0000-0100-0000C9000000}">
      <text>
        <r>
          <rPr>
            <b/>
            <sz val="9"/>
            <color indexed="81"/>
            <rFont val="Tahoma"/>
            <family val="2"/>
          </rPr>
          <t>U.S. EPA User or Contractor:</t>
        </r>
        <r>
          <rPr>
            <sz val="9"/>
            <color indexed="81"/>
            <rFont val="Tahoma"/>
            <family val="2"/>
          </rPr>
          <t xml:space="preserve">
not recorded in data sheet, used report from previous site visit.  Confirmed using data from subsequent site visit.</t>
        </r>
      </text>
    </comment>
    <comment ref="I209" authorId="2" shapeId="0" xr:uid="{00000000-0006-0000-0100-0000CA00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210" authorId="2" shapeId="0" xr:uid="{00000000-0006-0000-0100-0000CB000000}">
      <text>
        <r>
          <rPr>
            <b/>
            <sz val="9"/>
            <color indexed="81"/>
            <rFont val="Tahoma"/>
            <charset val="1"/>
          </rPr>
          <t>U.S. EPA User or Contractor:</t>
        </r>
        <r>
          <rPr>
            <sz val="9"/>
            <color indexed="81"/>
            <rFont val="Tahoma"/>
            <charset val="1"/>
          </rPr>
          <t xml:space="preserve">
Computer times were adjusted in accordance with daylight savings, however the times were accidentally set 12 hours fast. These present values represent the adjusted times.
KB 11/24/2015</t>
        </r>
      </text>
    </comment>
    <comment ref="D210" authorId="2" shapeId="0" xr:uid="{00000000-0006-0000-0100-0000CC000000}">
      <text>
        <r>
          <rPr>
            <b/>
            <sz val="9"/>
            <color indexed="81"/>
            <rFont val="Tahoma"/>
            <family val="2"/>
          </rPr>
          <t>U.S. EPA User or Contractor:</t>
        </r>
        <r>
          <rPr>
            <sz val="9"/>
            <color indexed="81"/>
            <rFont val="Tahoma"/>
            <family val="2"/>
          </rPr>
          <t xml:space="preserve">
not recorded in data sheet, used report from previous site visit.  Confirmed using data from subsequent site visit.</t>
        </r>
      </text>
    </comment>
    <comment ref="I210" authorId="2" shapeId="0" xr:uid="{00000000-0006-0000-0100-0000CD00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211" authorId="2" shapeId="0" xr:uid="{00000000-0006-0000-0100-0000CE000000}">
      <text>
        <r>
          <rPr>
            <b/>
            <sz val="9"/>
            <color indexed="81"/>
            <rFont val="Tahoma"/>
            <charset val="1"/>
          </rPr>
          <t>U.S. EPA User or Contractor:</t>
        </r>
        <r>
          <rPr>
            <sz val="9"/>
            <color indexed="81"/>
            <rFont val="Tahoma"/>
            <charset val="1"/>
          </rPr>
          <t xml:space="preserve">
Computer times were adjusted in accordance with daylight savings, however the times were accidentally set 12 hours fast. These present values represent the adjusted times.
KB 11/24/2015</t>
        </r>
      </text>
    </comment>
    <comment ref="D211" authorId="2" shapeId="0" xr:uid="{00000000-0006-0000-0100-0000CF000000}">
      <text>
        <r>
          <rPr>
            <b/>
            <sz val="9"/>
            <color indexed="81"/>
            <rFont val="Tahoma"/>
            <family val="2"/>
          </rPr>
          <t>U.S. EPA User or Contractor:</t>
        </r>
        <r>
          <rPr>
            <sz val="9"/>
            <color indexed="81"/>
            <rFont val="Tahoma"/>
            <family val="2"/>
          </rPr>
          <t xml:space="preserve">
not recorded in data sheet, used report from previous site visit.  Confirmed using data from subsequent site visit.</t>
        </r>
      </text>
    </comment>
    <comment ref="C212" authorId="2" shapeId="0" xr:uid="{00000000-0006-0000-0100-0000D0000000}">
      <text>
        <r>
          <rPr>
            <b/>
            <sz val="9"/>
            <color indexed="81"/>
            <rFont val="Tahoma"/>
            <charset val="1"/>
          </rPr>
          <t>U.S. EPA User or Contractor:</t>
        </r>
        <r>
          <rPr>
            <sz val="9"/>
            <color indexed="81"/>
            <rFont val="Tahoma"/>
            <charset val="1"/>
          </rPr>
          <t xml:space="preserve">
Computer times were adjusted in accordance with daylight savings, however the times were accidentally set 12 hours fast. These present values represent the adjusted times.
KB 11/24/2015</t>
        </r>
      </text>
    </comment>
    <comment ref="D212" authorId="2" shapeId="0" xr:uid="{00000000-0006-0000-0100-0000D1000000}">
      <text>
        <r>
          <rPr>
            <b/>
            <sz val="9"/>
            <color indexed="81"/>
            <rFont val="Tahoma"/>
            <family val="2"/>
          </rPr>
          <t>U.S. EPA User or Contractor:</t>
        </r>
        <r>
          <rPr>
            <sz val="9"/>
            <color indexed="81"/>
            <rFont val="Tahoma"/>
            <family val="2"/>
          </rPr>
          <t xml:space="preserve">
not recorded in data sheet, used report from previous site visit.  Confirmed using data from subsequent site visit.</t>
        </r>
      </text>
    </comment>
    <comment ref="C213" authorId="2" shapeId="0" xr:uid="{00000000-0006-0000-0100-0000D2000000}">
      <text>
        <r>
          <rPr>
            <b/>
            <sz val="9"/>
            <color indexed="81"/>
            <rFont val="Tahoma"/>
            <charset val="1"/>
          </rPr>
          <t>U.S. EPA User or Contractor:</t>
        </r>
        <r>
          <rPr>
            <sz val="9"/>
            <color indexed="81"/>
            <rFont val="Tahoma"/>
            <charset val="1"/>
          </rPr>
          <t xml:space="preserve">
Computer times were adjusted in accordance with daylight savings, however the times were accidentally set 12 hours fast. These present values represent the adjusted times.
KB 11/24/2015</t>
        </r>
      </text>
    </comment>
    <comment ref="D213" authorId="2" shapeId="0" xr:uid="{00000000-0006-0000-0100-0000D3000000}">
      <text>
        <r>
          <rPr>
            <b/>
            <sz val="9"/>
            <color indexed="81"/>
            <rFont val="Tahoma"/>
            <family val="2"/>
          </rPr>
          <t>U.S. EPA User or Contractor:</t>
        </r>
        <r>
          <rPr>
            <sz val="9"/>
            <color indexed="81"/>
            <rFont val="Tahoma"/>
            <family val="2"/>
          </rPr>
          <t xml:space="preserve">
not recorded in data sheet, used report from previous site visit.  Confirmed using data from subsequent site visit.</t>
        </r>
      </text>
    </comment>
    <comment ref="C214" authorId="2" shapeId="0" xr:uid="{00000000-0006-0000-0100-0000D4000000}">
      <text>
        <r>
          <rPr>
            <b/>
            <sz val="9"/>
            <color indexed="81"/>
            <rFont val="Tahoma"/>
            <charset val="1"/>
          </rPr>
          <t>U.S. EPA User or Contractor:</t>
        </r>
        <r>
          <rPr>
            <sz val="9"/>
            <color indexed="81"/>
            <rFont val="Tahoma"/>
            <charset val="1"/>
          </rPr>
          <t xml:space="preserve">
Computer times were adjusted in accordance with daylight savings, however the times were accidentally set 12 hours fast. These present values represent the adjusted times.
KB 11/24/2015</t>
        </r>
      </text>
    </comment>
    <comment ref="D214" authorId="2" shapeId="0" xr:uid="{00000000-0006-0000-0100-0000D5000000}">
      <text>
        <r>
          <rPr>
            <b/>
            <sz val="9"/>
            <color indexed="81"/>
            <rFont val="Tahoma"/>
            <family val="2"/>
          </rPr>
          <t>U.S. EPA User or Contractor:</t>
        </r>
        <r>
          <rPr>
            <sz val="9"/>
            <color indexed="81"/>
            <rFont val="Tahoma"/>
            <family val="2"/>
          </rPr>
          <t xml:space="preserve">
not recorded in data sheet, used report from previous site visit.  Confirmed using data from subsequent site visit.</t>
        </r>
      </text>
    </comment>
    <comment ref="H214" authorId="1" shapeId="0" xr:uid="{00000000-0006-0000-0100-0000D6000000}">
      <text>
        <r>
          <rPr>
            <b/>
            <sz val="9"/>
            <color indexed="81"/>
            <rFont val="Tahoma"/>
            <charset val="1"/>
          </rPr>
          <t>Beaulieu, Jake:</t>
        </r>
        <r>
          <rPr>
            <sz val="9"/>
            <color indexed="81"/>
            <rFont val="Tahoma"/>
            <charset val="1"/>
          </rPr>
          <t xml:space="preserve">
wacky voltage time series.  Not comfortable using data.</t>
        </r>
      </text>
    </comment>
    <comment ref="O214" authorId="1" shapeId="0" xr:uid="{00000000-0006-0000-0100-0000D7000000}">
      <text>
        <r>
          <rPr>
            <b/>
            <sz val="9"/>
            <color indexed="81"/>
            <rFont val="Tahoma"/>
            <charset val="1"/>
          </rPr>
          <t>Beaulieu, Jake:</t>
        </r>
        <r>
          <rPr>
            <sz val="9"/>
            <color indexed="81"/>
            <rFont val="Tahoma"/>
            <charset val="1"/>
          </rPr>
          <t xml:space="preserve">
wacky voltage time series.  Not comfortable using data.</t>
        </r>
      </text>
    </comment>
    <comment ref="U214" authorId="1" shapeId="0" xr:uid="{00000000-0006-0000-0100-0000D8000000}">
      <text>
        <r>
          <rPr>
            <b/>
            <sz val="9"/>
            <color indexed="81"/>
            <rFont val="Tahoma"/>
            <charset val="1"/>
          </rPr>
          <t>Beaulieu, Jake:</t>
        </r>
        <r>
          <rPr>
            <sz val="9"/>
            <color indexed="81"/>
            <rFont val="Tahoma"/>
            <charset val="1"/>
          </rPr>
          <t xml:space="preserve">
wacky voltage time series.  Not comfortable using data.</t>
        </r>
      </text>
    </comment>
    <comment ref="C215" authorId="2" shapeId="0" xr:uid="{00000000-0006-0000-0100-0000D9000000}">
      <text>
        <r>
          <rPr>
            <b/>
            <sz val="9"/>
            <color indexed="81"/>
            <rFont val="Tahoma"/>
            <charset val="1"/>
          </rPr>
          <t>U.S. EPA User or Contractor:</t>
        </r>
        <r>
          <rPr>
            <sz val="9"/>
            <color indexed="81"/>
            <rFont val="Tahoma"/>
            <charset val="1"/>
          </rPr>
          <t xml:space="preserve">
Computer times were adjusted in accordance with daylight savings, however the times were accidentally set 12 hours fast. These present values represent the adjusted times.
KB 11/24/2015</t>
        </r>
      </text>
    </comment>
    <comment ref="D215" authorId="2" shapeId="0" xr:uid="{00000000-0006-0000-0100-0000DA000000}">
      <text>
        <r>
          <rPr>
            <b/>
            <sz val="9"/>
            <color indexed="81"/>
            <rFont val="Tahoma"/>
            <family val="2"/>
          </rPr>
          <t>U.S. EPA User or Contractor:</t>
        </r>
        <r>
          <rPr>
            <sz val="9"/>
            <color indexed="81"/>
            <rFont val="Tahoma"/>
            <family val="2"/>
          </rPr>
          <t xml:space="preserve">
not recorded in data sheet, used report from previous site visit.  Confirmed using data from subsequent site visit.</t>
        </r>
      </text>
    </comment>
    <comment ref="C216" authorId="2" shapeId="0" xr:uid="{00000000-0006-0000-0100-0000DB000000}">
      <text>
        <r>
          <rPr>
            <b/>
            <sz val="9"/>
            <color indexed="81"/>
            <rFont val="Tahoma"/>
            <charset val="1"/>
          </rPr>
          <t>U.S. EPA User or Contractor:</t>
        </r>
        <r>
          <rPr>
            <sz val="9"/>
            <color indexed="81"/>
            <rFont val="Tahoma"/>
            <charset val="1"/>
          </rPr>
          <t xml:space="preserve">
Computer times were adjusted in accordance with daylight savings, however the times were accidentally set 12 hours fast. These present values represent the adjusted times.
KB 11/24/2015</t>
        </r>
      </text>
    </comment>
    <comment ref="D216" authorId="2" shapeId="0" xr:uid="{00000000-0006-0000-0100-0000DC000000}">
      <text>
        <r>
          <rPr>
            <b/>
            <sz val="9"/>
            <color indexed="81"/>
            <rFont val="Tahoma"/>
            <family val="2"/>
          </rPr>
          <t>U.S. EPA User or Contractor:</t>
        </r>
        <r>
          <rPr>
            <sz val="9"/>
            <color indexed="81"/>
            <rFont val="Tahoma"/>
            <family val="2"/>
          </rPr>
          <t xml:space="preserve">
not recorded in data sheet, used report from previous site visit.  Confirmed using data from subsequent site visit.</t>
        </r>
      </text>
    </comment>
    <comment ref="H216" authorId="1" shapeId="0" xr:uid="{00000000-0006-0000-0100-0000DD000000}">
      <text>
        <r>
          <rPr>
            <b/>
            <sz val="9"/>
            <color indexed="81"/>
            <rFont val="Tahoma"/>
            <charset val="1"/>
          </rPr>
          <t>Beaulieu, Jake:</t>
        </r>
        <r>
          <rPr>
            <sz val="9"/>
            <color indexed="81"/>
            <rFont val="Tahoma"/>
            <charset val="1"/>
          </rPr>
          <t xml:space="preserve">
wacky voltage time series.  Not comfortable using data.</t>
        </r>
      </text>
    </comment>
    <comment ref="O216" authorId="1" shapeId="0" xr:uid="{00000000-0006-0000-0100-0000DE000000}">
      <text>
        <r>
          <rPr>
            <b/>
            <sz val="9"/>
            <color indexed="81"/>
            <rFont val="Tahoma"/>
            <charset val="1"/>
          </rPr>
          <t>Beaulieu, Jake:</t>
        </r>
        <r>
          <rPr>
            <sz val="9"/>
            <color indexed="81"/>
            <rFont val="Tahoma"/>
            <charset val="1"/>
          </rPr>
          <t xml:space="preserve">
wacky voltage time series.  Not comfortable using data.</t>
        </r>
      </text>
    </comment>
    <comment ref="U216" authorId="1" shapeId="0" xr:uid="{00000000-0006-0000-0100-0000DF000000}">
      <text>
        <r>
          <rPr>
            <b/>
            <sz val="9"/>
            <color indexed="81"/>
            <rFont val="Tahoma"/>
            <charset val="1"/>
          </rPr>
          <t>Beaulieu, Jake:</t>
        </r>
        <r>
          <rPr>
            <sz val="9"/>
            <color indexed="81"/>
            <rFont val="Tahoma"/>
            <charset val="1"/>
          </rPr>
          <t xml:space="preserve">
wacky voltage time series.  Not comfortable using data.</t>
        </r>
      </text>
    </comment>
    <comment ref="C217" authorId="2" shapeId="0" xr:uid="{00000000-0006-0000-0100-0000E0000000}">
      <text>
        <r>
          <rPr>
            <b/>
            <sz val="9"/>
            <color indexed="81"/>
            <rFont val="Tahoma"/>
            <charset val="1"/>
          </rPr>
          <t>U.S. EPA User or Contractor:</t>
        </r>
        <r>
          <rPr>
            <sz val="9"/>
            <color indexed="81"/>
            <rFont val="Tahoma"/>
            <charset val="1"/>
          </rPr>
          <t xml:space="preserve">
Computer times were adjusted in accordance with daylight savings, however the times were accidentally set 12 hours fast. These present values represent the adjusted times.
KB 11/24/2015</t>
        </r>
      </text>
    </comment>
    <comment ref="D217" authorId="2" shapeId="0" xr:uid="{00000000-0006-0000-0100-0000E1000000}">
      <text>
        <r>
          <rPr>
            <b/>
            <sz val="9"/>
            <color indexed="81"/>
            <rFont val="Tahoma"/>
            <family val="2"/>
          </rPr>
          <t>U.S. EPA User or Contractor:</t>
        </r>
        <r>
          <rPr>
            <sz val="9"/>
            <color indexed="81"/>
            <rFont val="Tahoma"/>
            <family val="2"/>
          </rPr>
          <t xml:space="preserve">
not recorded in data sheet, used report from previous site visit.  Confirmed using data from subsequent site visit.</t>
        </r>
      </text>
    </comment>
    <comment ref="C218" authorId="2" shapeId="0" xr:uid="{00000000-0006-0000-0100-0000E2000000}">
      <text>
        <r>
          <rPr>
            <b/>
            <sz val="9"/>
            <color indexed="81"/>
            <rFont val="Tahoma"/>
            <charset val="1"/>
          </rPr>
          <t>U.S. EPA User or Contractor:</t>
        </r>
        <r>
          <rPr>
            <sz val="9"/>
            <color indexed="81"/>
            <rFont val="Tahoma"/>
            <charset val="1"/>
          </rPr>
          <t xml:space="preserve">
Voltage is extremely strange.</t>
        </r>
      </text>
    </comment>
    <comment ref="D218" authorId="2" shapeId="0" xr:uid="{00000000-0006-0000-0100-0000E3000000}">
      <text>
        <r>
          <rPr>
            <b/>
            <sz val="9"/>
            <color indexed="81"/>
            <rFont val="Tahoma"/>
            <family val="2"/>
          </rPr>
          <t>U.S. EPA User or Contractor:</t>
        </r>
        <r>
          <rPr>
            <sz val="9"/>
            <color indexed="81"/>
            <rFont val="Tahoma"/>
            <family val="2"/>
          </rPr>
          <t xml:space="preserve">
not recorded in data sheet, used report from previous site visit.  Confirmed using data from subsequent site visit.</t>
        </r>
      </text>
    </comment>
    <comment ref="C219" authorId="1" shapeId="0" xr:uid="{00000000-0006-0000-0100-0000E4000000}">
      <text>
        <r>
          <rPr>
            <b/>
            <sz val="9"/>
            <color indexed="81"/>
            <rFont val="Tahoma"/>
            <charset val="1"/>
          </rPr>
          <t>Beaulieu, Jake:</t>
        </r>
        <r>
          <rPr>
            <sz val="9"/>
            <color indexed="81"/>
            <rFont val="Tahoma"/>
            <charset val="1"/>
          </rPr>
          <t xml:space="preserve">
wacky voltage time series.  Not comfortable using data.</t>
        </r>
      </text>
    </comment>
    <comment ref="D219" authorId="2" shapeId="0" xr:uid="{00000000-0006-0000-0100-0000E5000000}">
      <text>
        <r>
          <rPr>
            <b/>
            <sz val="9"/>
            <color indexed="81"/>
            <rFont val="Tahoma"/>
            <family val="2"/>
          </rPr>
          <t>U.S. EPA User or Contractor:</t>
        </r>
        <r>
          <rPr>
            <sz val="9"/>
            <color indexed="81"/>
            <rFont val="Tahoma"/>
            <family val="2"/>
          </rPr>
          <t xml:space="preserve">
not recorded in data sheet, used report from previous site visit.  Confirmed using data from subsequent site visit.</t>
        </r>
      </text>
    </comment>
    <comment ref="H219" authorId="2" shapeId="0" xr:uid="{00000000-0006-0000-0100-0000E6000000}">
      <text>
        <r>
          <rPr>
            <b/>
            <sz val="9"/>
            <color indexed="81"/>
            <rFont val="Tahoma"/>
            <charset val="1"/>
          </rPr>
          <t>U.S. EPA User or Contractor:</t>
        </r>
        <r>
          <rPr>
            <sz val="9"/>
            <color indexed="81"/>
            <rFont val="Tahoma"/>
            <charset val="1"/>
          </rPr>
          <t xml:space="preserve">
Voltage is extremely strange.</t>
        </r>
      </text>
    </comment>
    <comment ref="O219" authorId="1" shapeId="0" xr:uid="{00000000-0006-0000-0100-0000E7000000}">
      <text>
        <r>
          <rPr>
            <b/>
            <sz val="9"/>
            <color indexed="81"/>
            <rFont val="Tahoma"/>
            <charset val="1"/>
          </rPr>
          <t>Beaulieu, Jake:</t>
        </r>
        <r>
          <rPr>
            <sz val="9"/>
            <color indexed="81"/>
            <rFont val="Tahoma"/>
            <charset val="1"/>
          </rPr>
          <t xml:space="preserve">
wacky voltage time series.  Not comfortable using data.</t>
        </r>
      </text>
    </comment>
    <comment ref="U219" authorId="1" shapeId="0" xr:uid="{00000000-0006-0000-0100-0000E8000000}">
      <text>
        <r>
          <rPr>
            <b/>
            <sz val="9"/>
            <color indexed="81"/>
            <rFont val="Tahoma"/>
            <charset val="1"/>
          </rPr>
          <t>Beaulieu, Jake:</t>
        </r>
        <r>
          <rPr>
            <sz val="9"/>
            <color indexed="81"/>
            <rFont val="Tahoma"/>
            <charset val="1"/>
          </rPr>
          <t xml:space="preserve">
wacky voltage time series.  Not comfortable using data.</t>
        </r>
      </text>
    </comment>
    <comment ref="C220" authorId="2" shapeId="0" xr:uid="{00000000-0006-0000-0100-0000E9000000}">
      <text>
        <r>
          <rPr>
            <b/>
            <sz val="9"/>
            <color indexed="81"/>
            <rFont val="Tahoma"/>
            <charset val="1"/>
          </rPr>
          <t>U.S. EPA User or Contractor:</t>
        </r>
        <r>
          <rPr>
            <sz val="9"/>
            <color indexed="81"/>
            <rFont val="Tahoma"/>
            <charset val="1"/>
          </rPr>
          <t xml:space="preserve">
Voltage is extremely strange.</t>
        </r>
      </text>
    </comment>
    <comment ref="D220" authorId="2" shapeId="0" xr:uid="{00000000-0006-0000-0100-0000EA000000}">
      <text>
        <r>
          <rPr>
            <b/>
            <sz val="9"/>
            <color indexed="81"/>
            <rFont val="Tahoma"/>
            <family val="2"/>
          </rPr>
          <t>U.S. EPA User or Contractor:</t>
        </r>
        <r>
          <rPr>
            <sz val="9"/>
            <color indexed="81"/>
            <rFont val="Tahoma"/>
            <family val="2"/>
          </rPr>
          <t xml:space="preserve">
not recorded in data sheet, used report from previous site visit.  Confirmed using data from subsequent site visit.</t>
        </r>
      </text>
    </comment>
    <comment ref="C221" authorId="2" shapeId="0" xr:uid="{00000000-0006-0000-0100-0000EB000000}">
      <text>
        <r>
          <rPr>
            <b/>
            <sz val="9"/>
            <color indexed="81"/>
            <rFont val="Tahoma"/>
            <charset val="1"/>
          </rPr>
          <t>U.S. EPA User or Contractor:</t>
        </r>
        <r>
          <rPr>
            <sz val="9"/>
            <color indexed="81"/>
            <rFont val="Tahoma"/>
            <charset val="1"/>
          </rPr>
          <t xml:space="preserve">
Voltage is extremely strange.</t>
        </r>
      </text>
    </comment>
    <comment ref="D221" authorId="2" shapeId="0" xr:uid="{00000000-0006-0000-0100-0000EC000000}">
      <text>
        <r>
          <rPr>
            <b/>
            <sz val="9"/>
            <color indexed="81"/>
            <rFont val="Tahoma"/>
            <family val="2"/>
          </rPr>
          <t>U.S. EPA User or Contractor:</t>
        </r>
        <r>
          <rPr>
            <sz val="9"/>
            <color indexed="81"/>
            <rFont val="Tahoma"/>
            <family val="2"/>
          </rPr>
          <t xml:space="preserve">
not recorded in data sheet, used report from previous site visit.  Confirmed using data from subsequent site visit.</t>
        </r>
      </text>
    </comment>
    <comment ref="D222" authorId="2" shapeId="0" xr:uid="{00000000-0006-0000-0100-0000ED000000}">
      <text>
        <r>
          <rPr>
            <b/>
            <sz val="9"/>
            <color indexed="81"/>
            <rFont val="Tahoma"/>
            <family val="2"/>
          </rPr>
          <t>U.S. EPA User or Contractor:</t>
        </r>
        <r>
          <rPr>
            <sz val="9"/>
            <color indexed="81"/>
            <rFont val="Tahoma"/>
            <family val="2"/>
          </rPr>
          <t xml:space="preserve">
not recorded in data sheet, used report from previous site visit.  Confirmed using data from subsequent site visit.</t>
        </r>
      </text>
    </comment>
    <comment ref="D223" authorId="2" shapeId="0" xr:uid="{00000000-0006-0000-0100-0000EE000000}">
      <text>
        <r>
          <rPr>
            <b/>
            <sz val="9"/>
            <color indexed="81"/>
            <rFont val="Tahoma"/>
            <family val="2"/>
          </rPr>
          <t>U.S. EPA User or Contractor:</t>
        </r>
        <r>
          <rPr>
            <sz val="9"/>
            <color indexed="81"/>
            <rFont val="Tahoma"/>
            <family val="2"/>
          </rPr>
          <t xml:space="preserve">
not recorded in data sheet, used report from previous site visit.  Confirmed using data from subsequent site visit.</t>
        </r>
      </text>
    </comment>
    <comment ref="H223" authorId="2" shapeId="0" xr:uid="{00000000-0006-0000-0100-0000EF000000}">
      <text>
        <r>
          <rPr>
            <b/>
            <sz val="9"/>
            <color indexed="81"/>
            <rFont val="Tahoma"/>
            <charset val="1"/>
          </rPr>
          <t>U.S. EPA User or Contractor:</t>
        </r>
        <r>
          <rPr>
            <sz val="9"/>
            <color indexed="81"/>
            <rFont val="Tahoma"/>
            <charset val="1"/>
          </rPr>
          <t xml:space="preserve">
Voltage is extremely strange.</t>
        </r>
      </text>
    </comment>
    <comment ref="O223" authorId="1" shapeId="0" xr:uid="{00000000-0006-0000-0100-0000F0000000}">
      <text>
        <r>
          <rPr>
            <b/>
            <sz val="9"/>
            <color indexed="81"/>
            <rFont val="Tahoma"/>
            <charset val="1"/>
          </rPr>
          <t>Beaulieu, Jake:</t>
        </r>
        <r>
          <rPr>
            <sz val="9"/>
            <color indexed="81"/>
            <rFont val="Tahoma"/>
            <charset val="1"/>
          </rPr>
          <t xml:space="preserve">
wacky voltage time series.  Not comfortable using data.</t>
        </r>
      </text>
    </comment>
    <comment ref="U223" authorId="1" shapeId="0" xr:uid="{00000000-0006-0000-0100-0000F1000000}">
      <text>
        <r>
          <rPr>
            <b/>
            <sz val="9"/>
            <color indexed="81"/>
            <rFont val="Tahoma"/>
            <charset val="1"/>
          </rPr>
          <t>Beaulieu, Jake:</t>
        </r>
        <r>
          <rPr>
            <sz val="9"/>
            <color indexed="81"/>
            <rFont val="Tahoma"/>
            <charset val="1"/>
          </rPr>
          <t xml:space="preserve">
wacky voltage time series.  Not comfortable using data.</t>
        </r>
      </text>
    </comment>
    <comment ref="D224" authorId="2" shapeId="0" xr:uid="{00000000-0006-0000-0100-0000F2000000}">
      <text>
        <r>
          <rPr>
            <b/>
            <sz val="9"/>
            <color indexed="81"/>
            <rFont val="Tahoma"/>
            <family val="2"/>
          </rPr>
          <t>U.S. EPA User or Contractor:</t>
        </r>
        <r>
          <rPr>
            <sz val="9"/>
            <color indexed="81"/>
            <rFont val="Tahoma"/>
            <family val="2"/>
          </rPr>
          <t xml:space="preserve">
not recorded in data sheet, used report from previous site visit.  Confirmed using data from subsequent site visit.</t>
        </r>
      </text>
    </comment>
    <comment ref="D225" authorId="2" shapeId="0" xr:uid="{00000000-0006-0000-0100-0000F3000000}">
      <text>
        <r>
          <rPr>
            <b/>
            <sz val="9"/>
            <color indexed="81"/>
            <rFont val="Tahoma"/>
            <family val="2"/>
          </rPr>
          <t>U.S. EPA User or Contractor:</t>
        </r>
        <r>
          <rPr>
            <sz val="9"/>
            <color indexed="81"/>
            <rFont val="Tahoma"/>
            <family val="2"/>
          </rPr>
          <t xml:space="preserve">
not recorded in data sheet, used report from previous site visit.  Confirmed using data from subsequent site visit.</t>
        </r>
      </text>
    </comment>
    <comment ref="H225" authorId="2" shapeId="0" xr:uid="{00000000-0006-0000-0100-0000F4000000}">
      <text>
        <r>
          <rPr>
            <b/>
            <sz val="9"/>
            <color indexed="81"/>
            <rFont val="Tahoma"/>
            <charset val="1"/>
          </rPr>
          <t>U.S. EPA User or Contractor:</t>
        </r>
        <r>
          <rPr>
            <sz val="9"/>
            <color indexed="81"/>
            <rFont val="Tahoma"/>
            <charset val="1"/>
          </rPr>
          <t xml:space="preserve">
Voltage is extremely strange.</t>
        </r>
      </text>
    </comment>
    <comment ref="O225" authorId="1" shapeId="0" xr:uid="{00000000-0006-0000-0100-0000F5000000}">
      <text>
        <r>
          <rPr>
            <b/>
            <sz val="9"/>
            <color indexed="81"/>
            <rFont val="Tahoma"/>
            <charset val="1"/>
          </rPr>
          <t>Beaulieu, Jake:</t>
        </r>
        <r>
          <rPr>
            <sz val="9"/>
            <color indexed="81"/>
            <rFont val="Tahoma"/>
            <charset val="1"/>
          </rPr>
          <t xml:space="preserve">
wacky voltage time series.  Not comfortable using data.</t>
        </r>
      </text>
    </comment>
    <comment ref="U225" authorId="1" shapeId="0" xr:uid="{00000000-0006-0000-0100-0000F6000000}">
      <text>
        <r>
          <rPr>
            <b/>
            <sz val="9"/>
            <color indexed="81"/>
            <rFont val="Tahoma"/>
            <charset val="1"/>
          </rPr>
          <t>Beaulieu, Jake:</t>
        </r>
        <r>
          <rPr>
            <sz val="9"/>
            <color indexed="81"/>
            <rFont val="Tahoma"/>
            <charset val="1"/>
          </rPr>
          <t xml:space="preserve">
wacky voltage time series.  Not comfortable using data.</t>
        </r>
      </text>
    </comment>
    <comment ref="D226" authorId="2" shapeId="0" xr:uid="{00000000-0006-0000-0100-0000F7000000}">
      <text>
        <r>
          <rPr>
            <b/>
            <sz val="9"/>
            <color indexed="81"/>
            <rFont val="Tahoma"/>
            <family val="2"/>
          </rPr>
          <t>U.S. EPA User or Contractor:</t>
        </r>
        <r>
          <rPr>
            <sz val="9"/>
            <color indexed="81"/>
            <rFont val="Tahoma"/>
            <family val="2"/>
          </rPr>
          <t xml:space="preserve">
not recorded in data sheet, used report from previous site visit.  Confirmed using data from subsequent site visit.</t>
        </r>
      </text>
    </comment>
    <comment ref="D227" authorId="2" shapeId="0" xr:uid="{00000000-0006-0000-0100-0000F8000000}">
      <text>
        <r>
          <rPr>
            <b/>
            <sz val="9"/>
            <color indexed="81"/>
            <rFont val="Tahoma"/>
            <family val="2"/>
          </rPr>
          <t>U.S. EPA User or Contractor:</t>
        </r>
        <r>
          <rPr>
            <sz val="9"/>
            <color indexed="81"/>
            <rFont val="Tahoma"/>
            <family val="2"/>
          </rPr>
          <t xml:space="preserve">
not recorded in data sheet, used report from previous site visit.  Confirmed using data from subsequent site visit.</t>
        </r>
      </text>
    </comment>
    <comment ref="D228" authorId="2" shapeId="0" xr:uid="{00000000-0006-0000-0100-0000F9000000}">
      <text>
        <r>
          <rPr>
            <b/>
            <sz val="9"/>
            <color indexed="81"/>
            <rFont val="Tahoma"/>
            <family val="2"/>
          </rPr>
          <t>U.S. EPA User or Contractor:</t>
        </r>
        <r>
          <rPr>
            <sz val="9"/>
            <color indexed="81"/>
            <rFont val="Tahoma"/>
            <family val="2"/>
          </rPr>
          <t xml:space="preserve">
not recorded in data sheet, used report from previous site visit.  Confirmed using data from subsequent site visit.</t>
        </r>
      </text>
    </comment>
    <comment ref="D229" authorId="2" shapeId="0" xr:uid="{00000000-0006-0000-0100-0000FA000000}">
      <text>
        <r>
          <rPr>
            <b/>
            <sz val="9"/>
            <color indexed="81"/>
            <rFont val="Tahoma"/>
            <family val="2"/>
          </rPr>
          <t>U.S. EPA User or Contractor:</t>
        </r>
        <r>
          <rPr>
            <sz val="9"/>
            <color indexed="81"/>
            <rFont val="Tahoma"/>
            <family val="2"/>
          </rPr>
          <t xml:space="preserve">
not recorded in data sheet, used report from previous site visit.  Confirmed using data from subsequent site visit.</t>
        </r>
      </text>
    </comment>
    <comment ref="H229" authorId="2" shapeId="0" xr:uid="{00000000-0006-0000-0100-0000FB000000}">
      <text>
        <r>
          <rPr>
            <b/>
            <sz val="9"/>
            <color indexed="81"/>
            <rFont val="Tahoma"/>
            <charset val="1"/>
          </rPr>
          <t>U.S. EPA User or Contractor:</t>
        </r>
        <r>
          <rPr>
            <sz val="9"/>
            <color indexed="81"/>
            <rFont val="Tahoma"/>
            <charset val="1"/>
          </rPr>
          <t xml:space="preserve">
Voltage is extremely strange.</t>
        </r>
      </text>
    </comment>
    <comment ref="O229" authorId="1" shapeId="0" xr:uid="{00000000-0006-0000-0100-0000FC000000}">
      <text>
        <r>
          <rPr>
            <b/>
            <sz val="9"/>
            <color indexed="81"/>
            <rFont val="Tahoma"/>
            <charset val="1"/>
          </rPr>
          <t>Beaulieu, Jake:</t>
        </r>
        <r>
          <rPr>
            <sz val="9"/>
            <color indexed="81"/>
            <rFont val="Tahoma"/>
            <charset val="1"/>
          </rPr>
          <t xml:space="preserve">
wacky voltage time series.  Not comfortable using data.</t>
        </r>
      </text>
    </comment>
    <comment ref="U229" authorId="1" shapeId="0" xr:uid="{00000000-0006-0000-0100-0000FD000000}">
      <text>
        <r>
          <rPr>
            <b/>
            <sz val="9"/>
            <color indexed="81"/>
            <rFont val="Tahoma"/>
            <charset val="1"/>
          </rPr>
          <t>Beaulieu, Jake:</t>
        </r>
        <r>
          <rPr>
            <sz val="9"/>
            <color indexed="81"/>
            <rFont val="Tahoma"/>
            <charset val="1"/>
          </rPr>
          <t xml:space="preserve">
wacky voltage time series.  Not comfortable using data.</t>
        </r>
      </text>
    </comment>
    <comment ref="D230" authorId="2" shapeId="0" xr:uid="{00000000-0006-0000-0100-0000FE000000}">
      <text>
        <r>
          <rPr>
            <b/>
            <sz val="9"/>
            <color indexed="81"/>
            <rFont val="Tahoma"/>
            <family val="2"/>
          </rPr>
          <t>U.S. EPA User or Contractor:</t>
        </r>
        <r>
          <rPr>
            <sz val="9"/>
            <color indexed="81"/>
            <rFont val="Tahoma"/>
            <family val="2"/>
          </rPr>
          <t xml:space="preserve">
not recorded in data sheet, used report from previous site visit.  Confirmed using data from subsequent site visit.</t>
        </r>
      </text>
    </comment>
    <comment ref="H230" authorId="2" shapeId="0" xr:uid="{00000000-0006-0000-0100-0000FF000000}">
      <text>
        <r>
          <rPr>
            <b/>
            <sz val="9"/>
            <color indexed="81"/>
            <rFont val="Tahoma"/>
            <charset val="1"/>
          </rPr>
          <t>U.S. EPA User or Contractor:</t>
        </r>
        <r>
          <rPr>
            <sz val="9"/>
            <color indexed="81"/>
            <rFont val="Tahoma"/>
            <charset val="1"/>
          </rPr>
          <t xml:space="preserve">
Voltage is extremely strange.</t>
        </r>
      </text>
    </comment>
    <comment ref="O230" authorId="1" shapeId="0" xr:uid="{00000000-0006-0000-0100-000000010000}">
      <text>
        <r>
          <rPr>
            <b/>
            <sz val="9"/>
            <color indexed="81"/>
            <rFont val="Tahoma"/>
            <charset val="1"/>
          </rPr>
          <t>Beaulieu, Jake:</t>
        </r>
        <r>
          <rPr>
            <sz val="9"/>
            <color indexed="81"/>
            <rFont val="Tahoma"/>
            <charset val="1"/>
          </rPr>
          <t xml:space="preserve">
wacky voltage time series.  Not comfortable using data.</t>
        </r>
      </text>
    </comment>
    <comment ref="U230" authorId="1" shapeId="0" xr:uid="{00000000-0006-0000-0100-000001010000}">
      <text>
        <r>
          <rPr>
            <b/>
            <sz val="9"/>
            <color indexed="81"/>
            <rFont val="Tahoma"/>
            <charset val="1"/>
          </rPr>
          <t>Beaulieu, Jake:</t>
        </r>
        <r>
          <rPr>
            <sz val="9"/>
            <color indexed="81"/>
            <rFont val="Tahoma"/>
            <charset val="1"/>
          </rPr>
          <t xml:space="preserve">
wacky voltage time series.  Not comfortable using data.</t>
        </r>
      </text>
    </comment>
    <comment ref="D231" authorId="2" shapeId="0" xr:uid="{00000000-0006-0000-0100-000002010000}">
      <text>
        <r>
          <rPr>
            <b/>
            <sz val="9"/>
            <color indexed="81"/>
            <rFont val="Tahoma"/>
            <family val="2"/>
          </rPr>
          <t>U.S. EPA User or Contractor:</t>
        </r>
        <r>
          <rPr>
            <sz val="9"/>
            <color indexed="81"/>
            <rFont val="Tahoma"/>
            <family val="2"/>
          </rPr>
          <t xml:space="preserve">
not recorded in data sheet, used report from previous site visit.  Confirmed using data from subsequent site visit.</t>
        </r>
      </text>
    </comment>
    <comment ref="H231" authorId="1" shapeId="0" xr:uid="{00000000-0006-0000-0100-000003010000}">
      <text>
        <r>
          <rPr>
            <b/>
            <sz val="9"/>
            <color indexed="81"/>
            <rFont val="Tahoma"/>
            <charset val="1"/>
          </rPr>
          <t>Beaulieu, Jake:</t>
        </r>
        <r>
          <rPr>
            <sz val="9"/>
            <color indexed="81"/>
            <rFont val="Tahoma"/>
            <charset val="1"/>
          </rPr>
          <t xml:space="preserve">
wacky voltage time series.  Not comfortable using data.</t>
        </r>
      </text>
    </comment>
    <comment ref="I231" authorId="2" shapeId="0" xr:uid="{00000000-0006-0000-0100-000004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O231" authorId="1" shapeId="0" xr:uid="{00000000-0006-0000-0100-000005010000}">
      <text>
        <r>
          <rPr>
            <b/>
            <sz val="9"/>
            <color indexed="81"/>
            <rFont val="Tahoma"/>
            <charset val="1"/>
          </rPr>
          <t>Beaulieu, Jake:</t>
        </r>
        <r>
          <rPr>
            <sz val="9"/>
            <color indexed="81"/>
            <rFont val="Tahoma"/>
            <charset val="1"/>
          </rPr>
          <t xml:space="preserve">
wacky voltage time series.  Not comfortable using data.</t>
        </r>
      </text>
    </comment>
    <comment ref="U231" authorId="1" shapeId="0" xr:uid="{00000000-0006-0000-0100-000006010000}">
      <text>
        <r>
          <rPr>
            <b/>
            <sz val="9"/>
            <color indexed="81"/>
            <rFont val="Tahoma"/>
            <charset val="1"/>
          </rPr>
          <t>Beaulieu, Jake:</t>
        </r>
        <r>
          <rPr>
            <sz val="9"/>
            <color indexed="81"/>
            <rFont val="Tahoma"/>
            <charset val="1"/>
          </rPr>
          <t xml:space="preserve">
wacky voltage time series.  Not comfortable using data.</t>
        </r>
      </text>
    </comment>
    <comment ref="D232" authorId="2" shapeId="0" xr:uid="{00000000-0006-0000-0100-000007010000}">
      <text>
        <r>
          <rPr>
            <b/>
            <sz val="9"/>
            <color indexed="81"/>
            <rFont val="Tahoma"/>
            <family val="2"/>
          </rPr>
          <t>U.S. EPA User or Contractor:</t>
        </r>
        <r>
          <rPr>
            <sz val="9"/>
            <color indexed="81"/>
            <rFont val="Tahoma"/>
            <family val="2"/>
          </rPr>
          <t xml:space="preserve">
not recorded in data sheet, used report from previous site visit.  Confirmed using data from subsequent site visit.</t>
        </r>
      </text>
    </comment>
    <comment ref="H232" authorId="1" shapeId="0" xr:uid="{00000000-0006-0000-0100-000008010000}">
      <text>
        <r>
          <rPr>
            <b/>
            <sz val="9"/>
            <color indexed="81"/>
            <rFont val="Tahoma"/>
            <charset val="1"/>
          </rPr>
          <t>Beaulieu, Jake:</t>
        </r>
        <r>
          <rPr>
            <sz val="9"/>
            <color indexed="81"/>
            <rFont val="Tahoma"/>
            <charset val="1"/>
          </rPr>
          <t xml:space="preserve">
wacky voltage time series.  Not comfortable using data.</t>
        </r>
      </text>
    </comment>
    <comment ref="I232" authorId="2" shapeId="0" xr:uid="{00000000-0006-0000-0100-000009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O232" authorId="1" shapeId="0" xr:uid="{00000000-0006-0000-0100-00000A010000}">
      <text>
        <r>
          <rPr>
            <b/>
            <sz val="9"/>
            <color indexed="81"/>
            <rFont val="Tahoma"/>
            <charset val="1"/>
          </rPr>
          <t>Beaulieu, Jake:</t>
        </r>
        <r>
          <rPr>
            <sz val="9"/>
            <color indexed="81"/>
            <rFont val="Tahoma"/>
            <charset val="1"/>
          </rPr>
          <t xml:space="preserve">
wacky voltage time series.  Not comfortable using data.</t>
        </r>
      </text>
    </comment>
    <comment ref="U232" authorId="1" shapeId="0" xr:uid="{00000000-0006-0000-0100-00000B010000}">
      <text>
        <r>
          <rPr>
            <b/>
            <sz val="9"/>
            <color indexed="81"/>
            <rFont val="Tahoma"/>
            <charset val="1"/>
          </rPr>
          <t>Beaulieu, Jake:</t>
        </r>
        <r>
          <rPr>
            <sz val="9"/>
            <color indexed="81"/>
            <rFont val="Tahoma"/>
            <charset val="1"/>
          </rPr>
          <t xml:space="preserve">
wacky voltage time series.  Not comfortable using data.</t>
        </r>
      </text>
    </comment>
    <comment ref="D233" authorId="2" shapeId="0" xr:uid="{00000000-0006-0000-0100-00000C010000}">
      <text>
        <r>
          <rPr>
            <b/>
            <sz val="9"/>
            <color indexed="81"/>
            <rFont val="Tahoma"/>
            <family val="2"/>
          </rPr>
          <t>U.S. EPA User or Contractor:</t>
        </r>
        <r>
          <rPr>
            <sz val="9"/>
            <color indexed="81"/>
            <rFont val="Tahoma"/>
            <family val="2"/>
          </rPr>
          <t xml:space="preserve">
not recorded in data sheet, used report from previous site visit.  Confirmed using data from subsequent site visit.</t>
        </r>
      </text>
    </comment>
    <comment ref="I233" authorId="2" shapeId="0" xr:uid="{00000000-0006-0000-0100-00000D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D234" authorId="2" shapeId="0" xr:uid="{00000000-0006-0000-0100-00000E010000}">
      <text>
        <r>
          <rPr>
            <b/>
            <sz val="9"/>
            <color indexed="81"/>
            <rFont val="Tahoma"/>
            <family val="2"/>
          </rPr>
          <t>U.S. EPA User or Contractor:</t>
        </r>
        <r>
          <rPr>
            <sz val="9"/>
            <color indexed="81"/>
            <rFont val="Tahoma"/>
            <family val="2"/>
          </rPr>
          <t xml:space="preserve">
not recorded in data sheet, used report from previous site visit.  Confirmed using data from subsequent site visit.</t>
        </r>
      </text>
    </comment>
    <comment ref="E234" authorId="2" shapeId="0" xr:uid="{00000000-0006-0000-0100-00000F010000}">
      <text>
        <r>
          <rPr>
            <b/>
            <sz val="9"/>
            <color indexed="81"/>
            <rFont val="Tahoma"/>
            <charset val="1"/>
          </rPr>
          <t>U.S. EPA User or Contractor:</t>
        </r>
        <r>
          <rPr>
            <sz val="9"/>
            <color indexed="81"/>
            <rFont val="Tahoma"/>
            <charset val="1"/>
          </rPr>
          <t xml:space="preserve">
Appears to be mechanical issues with the trap. Voltage started at 0 and remained at zero until retrieval on 12/11/15, even though 64 mL of gas were collected manually.
-KB 12/15/15</t>
        </r>
      </text>
    </comment>
    <comment ref="I234" authorId="2" shapeId="0" xr:uid="{00000000-0006-0000-0100-000010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O234" authorId="1" shapeId="0" xr:uid="{00000000-0006-0000-0100-000011010000}">
      <text>
        <r>
          <rPr>
            <b/>
            <sz val="9"/>
            <color indexed="81"/>
            <rFont val="Tahoma"/>
            <charset val="1"/>
          </rPr>
          <t>Beaulieu, Jake:</t>
        </r>
        <r>
          <rPr>
            <sz val="9"/>
            <color indexed="81"/>
            <rFont val="Tahoma"/>
            <charset val="1"/>
          </rPr>
          <t xml:space="preserve">
wacky voltage time series.  Not comfortable using data.</t>
        </r>
      </text>
    </comment>
    <comment ref="U234" authorId="1" shapeId="0" xr:uid="{00000000-0006-0000-0100-000012010000}">
      <text>
        <r>
          <rPr>
            <b/>
            <sz val="9"/>
            <color indexed="81"/>
            <rFont val="Tahoma"/>
            <charset val="1"/>
          </rPr>
          <t>Beaulieu, Jake:</t>
        </r>
        <r>
          <rPr>
            <sz val="9"/>
            <color indexed="81"/>
            <rFont val="Tahoma"/>
            <charset val="1"/>
          </rPr>
          <t xml:space="preserve">
wacky voltage time series.  Not comfortable using data.</t>
        </r>
      </text>
    </comment>
    <comment ref="D235" authorId="2" shapeId="0" xr:uid="{00000000-0006-0000-0100-000013010000}">
      <text>
        <r>
          <rPr>
            <b/>
            <sz val="9"/>
            <color indexed="81"/>
            <rFont val="Tahoma"/>
            <family val="2"/>
          </rPr>
          <t>U.S. EPA User or Contractor:</t>
        </r>
        <r>
          <rPr>
            <sz val="9"/>
            <color indexed="81"/>
            <rFont val="Tahoma"/>
            <family val="2"/>
          </rPr>
          <t xml:space="preserve">
not recorded in data sheet, used report from previous site visit.  Confirmed using data from subsequent site visit.</t>
        </r>
      </text>
    </comment>
    <comment ref="H235" authorId="1" shapeId="0" xr:uid="{00000000-0006-0000-0100-000014010000}">
      <text>
        <r>
          <rPr>
            <b/>
            <sz val="9"/>
            <color indexed="81"/>
            <rFont val="Tahoma"/>
            <charset val="1"/>
          </rPr>
          <t>Beaulieu, Jake:</t>
        </r>
        <r>
          <rPr>
            <sz val="9"/>
            <color indexed="81"/>
            <rFont val="Tahoma"/>
            <charset val="1"/>
          </rPr>
          <t xml:space="preserve">
wacky voltage time series.  Not comfortable using data.</t>
        </r>
      </text>
    </comment>
    <comment ref="I235" authorId="2" shapeId="0" xr:uid="{00000000-0006-0000-0100-000015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O235" authorId="1" shapeId="0" xr:uid="{00000000-0006-0000-0100-000016010000}">
      <text>
        <r>
          <rPr>
            <b/>
            <sz val="9"/>
            <color indexed="81"/>
            <rFont val="Tahoma"/>
            <charset val="1"/>
          </rPr>
          <t>Beaulieu, Jake:</t>
        </r>
        <r>
          <rPr>
            <sz val="9"/>
            <color indexed="81"/>
            <rFont val="Tahoma"/>
            <charset val="1"/>
          </rPr>
          <t xml:space="preserve">
wacky voltage time series.  Not comfortable using data.</t>
        </r>
      </text>
    </comment>
    <comment ref="U235" authorId="1" shapeId="0" xr:uid="{00000000-0006-0000-0100-000017010000}">
      <text>
        <r>
          <rPr>
            <b/>
            <sz val="9"/>
            <color indexed="81"/>
            <rFont val="Tahoma"/>
            <charset val="1"/>
          </rPr>
          <t>Beaulieu, Jake:</t>
        </r>
        <r>
          <rPr>
            <sz val="9"/>
            <color indexed="81"/>
            <rFont val="Tahoma"/>
            <charset val="1"/>
          </rPr>
          <t xml:space="preserve">
wacky voltage time series.  Not comfortable using data.</t>
        </r>
      </text>
    </comment>
    <comment ref="C236" authorId="1" shapeId="0" xr:uid="{00000000-0006-0000-0100-000018010000}">
      <text>
        <r>
          <rPr>
            <b/>
            <sz val="9"/>
            <color indexed="81"/>
            <rFont val="Tahoma"/>
            <charset val="1"/>
          </rPr>
          <t>Beaulieu, Jake: 1/22/16</t>
        </r>
        <r>
          <rPr>
            <sz val="9"/>
            <color indexed="81"/>
            <rFont val="Tahoma"/>
            <charset val="1"/>
          </rPr>
          <t xml:space="preserve">
not recorded.  Best guess.  </t>
        </r>
      </text>
    </comment>
    <comment ref="D236" authorId="1" shapeId="0" xr:uid="{00000000-0006-0000-0100-000019010000}">
      <text>
        <r>
          <rPr>
            <b/>
            <sz val="9"/>
            <color indexed="81"/>
            <rFont val="Tahoma"/>
            <charset val="1"/>
          </rPr>
          <t>Beaulieu, Jake:</t>
        </r>
        <r>
          <rPr>
            <sz val="9"/>
            <color indexed="81"/>
            <rFont val="Tahoma"/>
            <charset val="1"/>
          </rPr>
          <t xml:space="preserve">
no logger file?</t>
        </r>
      </text>
    </comment>
    <comment ref="E236" authorId="1" shapeId="0" xr:uid="{00000000-0006-0000-0100-00001A010000}">
      <text>
        <r>
          <rPr>
            <b/>
            <sz val="9"/>
            <color indexed="81"/>
            <rFont val="Tahoma"/>
            <family val="2"/>
          </rPr>
          <t>Beaulieu, Jake, 1/22/16:</t>
        </r>
        <r>
          <rPr>
            <sz val="9"/>
            <color indexed="81"/>
            <rFont val="Tahoma"/>
            <family val="2"/>
          </rPr>
          <t xml:space="preserve">
No logger file?
</t>
        </r>
      </text>
    </comment>
    <comment ref="F236" authorId="1" shapeId="0" xr:uid="{00000000-0006-0000-0100-00001B010000}">
      <text>
        <r>
          <rPr>
            <b/>
            <sz val="9"/>
            <color indexed="81"/>
            <rFont val="Tahoma"/>
            <charset val="1"/>
          </rPr>
          <t>Beaulieu, Jake, 1/22/16.</t>
        </r>
        <r>
          <rPr>
            <sz val="9"/>
            <color indexed="81"/>
            <rFont val="Tahoma"/>
            <family val="2"/>
          </rPr>
          <t xml:space="preserve">
not recorded, assume average of ENN and EEB</t>
        </r>
      </text>
    </comment>
    <comment ref="H236" authorId="1" shapeId="0" xr:uid="{00000000-0006-0000-0100-00001C010000}">
      <text>
        <r>
          <rPr>
            <b/>
            <sz val="9"/>
            <color indexed="81"/>
            <rFont val="Tahoma"/>
            <family val="2"/>
          </rPr>
          <t>Beaulieu, Jake, 1/22/16:</t>
        </r>
        <r>
          <rPr>
            <sz val="9"/>
            <color indexed="81"/>
            <rFont val="Tahoma"/>
            <family val="2"/>
          </rPr>
          <t xml:space="preserve">
No logger file?
</t>
        </r>
      </text>
    </comment>
    <comment ref="I236" authorId="2" shapeId="0" xr:uid="{00000000-0006-0000-0100-00001D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O236" authorId="1" shapeId="0" xr:uid="{00000000-0006-0000-0100-00001E010000}">
      <text>
        <r>
          <rPr>
            <b/>
            <sz val="9"/>
            <color indexed="81"/>
            <rFont val="Tahoma"/>
            <family val="2"/>
          </rPr>
          <t>Beaulieu, Jake, 1/22/16:</t>
        </r>
        <r>
          <rPr>
            <sz val="9"/>
            <color indexed="81"/>
            <rFont val="Tahoma"/>
            <family val="2"/>
          </rPr>
          <t xml:space="preserve">
No logger file?
</t>
        </r>
      </text>
    </comment>
    <comment ref="P236" authorId="1" shapeId="0" xr:uid="{00000000-0006-0000-0100-00001F010000}">
      <text>
        <r>
          <rPr>
            <b/>
            <sz val="9"/>
            <color indexed="81"/>
            <rFont val="Tahoma"/>
            <family val="2"/>
          </rPr>
          <t>Beaulieu, Jake, 1/22/16:</t>
        </r>
        <r>
          <rPr>
            <sz val="9"/>
            <color indexed="81"/>
            <rFont val="Tahoma"/>
            <family val="2"/>
          </rPr>
          <t xml:space="preserve">
No logger file?
</t>
        </r>
      </text>
    </comment>
    <comment ref="Q236" authorId="1" shapeId="0" xr:uid="{00000000-0006-0000-0100-000020010000}">
      <text>
        <r>
          <rPr>
            <b/>
            <sz val="9"/>
            <color indexed="81"/>
            <rFont val="Tahoma"/>
            <family val="2"/>
          </rPr>
          <t>Beaulieu, Jake, 1/22/16:</t>
        </r>
        <r>
          <rPr>
            <sz val="9"/>
            <color indexed="81"/>
            <rFont val="Tahoma"/>
            <family val="2"/>
          </rPr>
          <t xml:space="preserve">
No logger file?
</t>
        </r>
      </text>
    </comment>
    <comment ref="R236" authorId="1" shapeId="0" xr:uid="{00000000-0006-0000-0100-000021010000}">
      <text>
        <r>
          <rPr>
            <b/>
            <sz val="9"/>
            <color indexed="81"/>
            <rFont val="Tahoma"/>
            <family val="2"/>
          </rPr>
          <t>Beaulieu, Jake, 1/22/16:</t>
        </r>
        <r>
          <rPr>
            <sz val="9"/>
            <color indexed="81"/>
            <rFont val="Tahoma"/>
            <family val="2"/>
          </rPr>
          <t xml:space="preserve">
No logger file?
</t>
        </r>
      </text>
    </comment>
    <comment ref="S236" authorId="1" shapeId="0" xr:uid="{00000000-0006-0000-0100-000022010000}">
      <text>
        <r>
          <rPr>
            <b/>
            <sz val="9"/>
            <color indexed="81"/>
            <rFont val="Tahoma"/>
            <family val="2"/>
          </rPr>
          <t>Beaulieu, Jake, 1/22/16:</t>
        </r>
        <r>
          <rPr>
            <sz val="9"/>
            <color indexed="81"/>
            <rFont val="Tahoma"/>
            <family val="2"/>
          </rPr>
          <t xml:space="preserve">
No logger file?
</t>
        </r>
      </text>
    </comment>
    <comment ref="T236" authorId="1" shapeId="0" xr:uid="{00000000-0006-0000-0100-000023010000}">
      <text>
        <r>
          <rPr>
            <b/>
            <sz val="9"/>
            <color indexed="81"/>
            <rFont val="Tahoma"/>
            <family val="2"/>
          </rPr>
          <t>Beaulieu, Jake, 1/22/16:</t>
        </r>
        <r>
          <rPr>
            <sz val="9"/>
            <color indexed="81"/>
            <rFont val="Tahoma"/>
            <family val="2"/>
          </rPr>
          <t xml:space="preserve">
No logger file?
</t>
        </r>
      </text>
    </comment>
    <comment ref="U236" authorId="1" shapeId="0" xr:uid="{00000000-0006-0000-0100-000024010000}">
      <text>
        <r>
          <rPr>
            <b/>
            <sz val="9"/>
            <color indexed="81"/>
            <rFont val="Tahoma"/>
            <family val="2"/>
          </rPr>
          <t>Beaulieu, Jake, 1/22/16:</t>
        </r>
        <r>
          <rPr>
            <sz val="9"/>
            <color indexed="81"/>
            <rFont val="Tahoma"/>
            <family val="2"/>
          </rPr>
          <t xml:space="preserve">
No logger file?
</t>
        </r>
      </text>
    </comment>
    <comment ref="D237" authorId="2" shapeId="0" xr:uid="{00000000-0006-0000-0100-000025010000}">
      <text>
        <r>
          <rPr>
            <b/>
            <sz val="9"/>
            <color indexed="81"/>
            <rFont val="Tahoma"/>
            <family val="2"/>
          </rPr>
          <t>U.S. EPA User or Contractor:</t>
        </r>
        <r>
          <rPr>
            <sz val="9"/>
            <color indexed="81"/>
            <rFont val="Tahoma"/>
            <family val="2"/>
          </rPr>
          <t xml:space="preserve">
not recorded in data sheet, used report from previous site visit.  Confirmed using data from subsequent site visit.</t>
        </r>
      </text>
    </comment>
    <comment ref="I237" authorId="2" shapeId="0" xr:uid="{00000000-0006-0000-0100-000026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 ref="C238" authorId="1" shapeId="0" xr:uid="{00000000-0006-0000-0100-000027010000}">
      <text>
        <r>
          <rPr>
            <sz val="9"/>
            <color indexed="81"/>
            <rFont val="Tahoma"/>
            <family val="2"/>
          </rPr>
          <t xml:space="preserve">1/22/16, JB:
No logger file?  Taken from 12/02 deployment sheet.
</t>
        </r>
      </text>
    </comment>
    <comment ref="D238" authorId="2" shapeId="0" xr:uid="{00000000-0006-0000-0100-000028010000}">
      <text>
        <r>
          <rPr>
            <b/>
            <sz val="9"/>
            <color indexed="81"/>
            <rFont val="Tahoma"/>
            <family val="2"/>
          </rPr>
          <t>U.S. EPA User or Contractor:</t>
        </r>
        <r>
          <rPr>
            <sz val="9"/>
            <color indexed="81"/>
            <rFont val="Tahoma"/>
            <family val="2"/>
          </rPr>
          <t xml:space="preserve">
not recorded in data sheet, used report from previous site visit.  Confirmed using data from subsequent site visit.</t>
        </r>
      </text>
    </comment>
    <comment ref="E238" authorId="1" shapeId="0" xr:uid="{00000000-0006-0000-0100-000029010000}">
      <text>
        <r>
          <rPr>
            <sz val="9"/>
            <color indexed="81"/>
            <rFont val="Tahoma"/>
            <family val="2"/>
          </rPr>
          <t xml:space="preserve">1/22/16, JB:
No logger file?  
</t>
        </r>
      </text>
    </comment>
    <comment ref="F238" authorId="1" shapeId="0" xr:uid="{00000000-0006-0000-0100-00002A010000}">
      <text>
        <r>
          <rPr>
            <sz val="9"/>
            <color indexed="81"/>
            <rFont val="Tahoma"/>
            <family val="2"/>
          </rPr>
          <t xml:space="preserve">1/22/16, JB:
No logger file?  Taken from EOF on same day.
</t>
        </r>
      </text>
    </comment>
    <comment ref="H238" authorId="1" shapeId="0" xr:uid="{00000000-0006-0000-0100-00002B010000}">
      <text>
        <r>
          <rPr>
            <sz val="9"/>
            <color indexed="81"/>
            <rFont val="Tahoma"/>
            <family val="2"/>
          </rPr>
          <t xml:space="preserve">1/22/16, JB:
No logger file?  
</t>
        </r>
      </text>
    </comment>
    <comment ref="I238" authorId="2" shapeId="0" xr:uid="{00000000-0006-0000-0100-00002C010000}">
      <text>
        <r>
          <rPr>
            <b/>
            <sz val="9"/>
            <color indexed="81"/>
            <rFont val="Tahoma"/>
            <family val="2"/>
          </rPr>
          <t>U.S. EPA User or Contractor:</t>
        </r>
        <r>
          <rPr>
            <sz val="9"/>
            <color indexed="81"/>
            <rFont val="Tahoma"/>
            <family val="2"/>
          </rPr>
          <t xml:space="preserve">
Barometric Pressure data was extracted from http://www.wunderground.com/ recorded at Lunken Airport.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Beaulieu, Jake</author>
    <author>U.S. EPA User or Contractor</author>
  </authors>
  <commentList>
    <comment ref="J2" authorId="0" shapeId="0" xr:uid="{00000000-0006-0000-0200-000001000000}">
      <text>
        <r>
          <rPr>
            <b/>
            <sz val="9"/>
            <color indexed="81"/>
            <rFont val="Tahoma"/>
            <family val="2"/>
          </rPr>
          <t>Beaulieu, Jake:</t>
        </r>
        <r>
          <rPr>
            <sz val="9"/>
            <color indexed="81"/>
            <rFont val="Tahoma"/>
            <family val="2"/>
          </rPr>
          <t xml:space="preserve">
ORP probe bad</t>
        </r>
      </text>
    </comment>
    <comment ref="J3" authorId="0" shapeId="0" xr:uid="{00000000-0006-0000-0200-000002000000}">
      <text>
        <r>
          <rPr>
            <b/>
            <sz val="9"/>
            <color indexed="81"/>
            <rFont val="Tahoma"/>
            <family val="2"/>
          </rPr>
          <t>Beaulieu, Jake:</t>
        </r>
        <r>
          <rPr>
            <sz val="9"/>
            <color indexed="81"/>
            <rFont val="Tahoma"/>
            <family val="2"/>
          </rPr>
          <t xml:space="preserve">
ORP probe bad</t>
        </r>
      </text>
    </comment>
    <comment ref="J4" authorId="0" shapeId="0" xr:uid="{00000000-0006-0000-0200-000003000000}">
      <text>
        <r>
          <rPr>
            <b/>
            <sz val="9"/>
            <color indexed="81"/>
            <rFont val="Tahoma"/>
            <family val="2"/>
          </rPr>
          <t>Beaulieu, Jake:</t>
        </r>
        <r>
          <rPr>
            <sz val="9"/>
            <color indexed="81"/>
            <rFont val="Tahoma"/>
            <family val="2"/>
          </rPr>
          <t xml:space="preserve">
ORP probe bad</t>
        </r>
      </text>
    </comment>
    <comment ref="J5" authorId="0" shapeId="0" xr:uid="{00000000-0006-0000-0200-000004000000}">
      <text>
        <r>
          <rPr>
            <b/>
            <sz val="9"/>
            <color indexed="81"/>
            <rFont val="Tahoma"/>
            <family val="2"/>
          </rPr>
          <t>Beaulieu, Jake:</t>
        </r>
        <r>
          <rPr>
            <sz val="9"/>
            <color indexed="81"/>
            <rFont val="Tahoma"/>
            <family val="2"/>
          </rPr>
          <t xml:space="preserve">
ORP probe bad</t>
        </r>
      </text>
    </comment>
    <comment ref="J6" authorId="0" shapeId="0" xr:uid="{00000000-0006-0000-0200-000005000000}">
      <text>
        <r>
          <rPr>
            <b/>
            <sz val="9"/>
            <color indexed="81"/>
            <rFont val="Tahoma"/>
            <family val="2"/>
          </rPr>
          <t>Beaulieu, Jake:</t>
        </r>
        <r>
          <rPr>
            <sz val="9"/>
            <color indexed="81"/>
            <rFont val="Tahoma"/>
            <family val="2"/>
          </rPr>
          <t xml:space="preserve">
ORP probe bad</t>
        </r>
      </text>
    </comment>
    <comment ref="J7" authorId="0" shapeId="0" xr:uid="{00000000-0006-0000-0200-000006000000}">
      <text>
        <r>
          <rPr>
            <b/>
            <sz val="9"/>
            <color indexed="81"/>
            <rFont val="Tahoma"/>
            <family val="2"/>
          </rPr>
          <t>Beaulieu, Jake:</t>
        </r>
        <r>
          <rPr>
            <sz val="9"/>
            <color indexed="81"/>
            <rFont val="Tahoma"/>
            <family val="2"/>
          </rPr>
          <t xml:space="preserve">
ORP probe bad</t>
        </r>
      </text>
    </comment>
    <comment ref="J8" authorId="0" shapeId="0" xr:uid="{00000000-0006-0000-0200-000007000000}">
      <text>
        <r>
          <rPr>
            <b/>
            <sz val="9"/>
            <color indexed="81"/>
            <rFont val="Tahoma"/>
            <family val="2"/>
          </rPr>
          <t>Beaulieu, Jake:</t>
        </r>
        <r>
          <rPr>
            <sz val="9"/>
            <color indexed="81"/>
            <rFont val="Tahoma"/>
            <family val="2"/>
          </rPr>
          <t xml:space="preserve">
ORP probe bad</t>
        </r>
      </text>
    </comment>
    <comment ref="J9" authorId="0" shapeId="0" xr:uid="{00000000-0006-0000-0200-000008000000}">
      <text>
        <r>
          <rPr>
            <b/>
            <sz val="9"/>
            <color indexed="81"/>
            <rFont val="Tahoma"/>
            <family val="2"/>
          </rPr>
          <t>Beaulieu, Jake:</t>
        </r>
        <r>
          <rPr>
            <sz val="9"/>
            <color indexed="81"/>
            <rFont val="Tahoma"/>
            <family val="2"/>
          </rPr>
          <t xml:space="preserve">
ORP probe bad</t>
        </r>
      </text>
    </comment>
    <comment ref="J10" authorId="0" shapeId="0" xr:uid="{00000000-0006-0000-0200-000009000000}">
      <text>
        <r>
          <rPr>
            <b/>
            <sz val="9"/>
            <color indexed="81"/>
            <rFont val="Tahoma"/>
            <family val="2"/>
          </rPr>
          <t>Beaulieu, Jake:</t>
        </r>
        <r>
          <rPr>
            <sz val="9"/>
            <color indexed="81"/>
            <rFont val="Tahoma"/>
            <family val="2"/>
          </rPr>
          <t xml:space="preserve">
ORP probe bad</t>
        </r>
      </text>
    </comment>
    <comment ref="J11" authorId="0" shapeId="0" xr:uid="{00000000-0006-0000-0200-00000A000000}">
      <text>
        <r>
          <rPr>
            <b/>
            <sz val="9"/>
            <color indexed="81"/>
            <rFont val="Tahoma"/>
            <family val="2"/>
          </rPr>
          <t>Beaulieu, Jake:</t>
        </r>
        <r>
          <rPr>
            <sz val="9"/>
            <color indexed="81"/>
            <rFont val="Tahoma"/>
            <family val="2"/>
          </rPr>
          <t xml:space="preserve">
ORP probe bad</t>
        </r>
      </text>
    </comment>
    <comment ref="J12" authorId="0" shapeId="0" xr:uid="{00000000-0006-0000-0200-00000B000000}">
      <text>
        <r>
          <rPr>
            <b/>
            <sz val="9"/>
            <color indexed="81"/>
            <rFont val="Tahoma"/>
            <family val="2"/>
          </rPr>
          <t>Beaulieu, Jake:</t>
        </r>
        <r>
          <rPr>
            <sz val="9"/>
            <color indexed="81"/>
            <rFont val="Tahoma"/>
            <family val="2"/>
          </rPr>
          <t xml:space="preserve">
ORP probe bad</t>
        </r>
      </text>
    </comment>
    <comment ref="J13" authorId="0" shapeId="0" xr:uid="{00000000-0006-0000-0200-00000C000000}">
      <text>
        <r>
          <rPr>
            <b/>
            <sz val="9"/>
            <color indexed="81"/>
            <rFont val="Tahoma"/>
            <family val="2"/>
          </rPr>
          <t>Beaulieu, Jake:</t>
        </r>
        <r>
          <rPr>
            <sz val="9"/>
            <color indexed="81"/>
            <rFont val="Tahoma"/>
            <family val="2"/>
          </rPr>
          <t xml:space="preserve">
ORP probe bad</t>
        </r>
      </text>
    </comment>
    <comment ref="J14" authorId="0" shapeId="0" xr:uid="{00000000-0006-0000-0200-00000D000000}">
      <text>
        <r>
          <rPr>
            <b/>
            <sz val="9"/>
            <color indexed="81"/>
            <rFont val="Tahoma"/>
            <family val="2"/>
          </rPr>
          <t>Beaulieu, Jake:</t>
        </r>
        <r>
          <rPr>
            <sz val="9"/>
            <color indexed="81"/>
            <rFont val="Tahoma"/>
            <family val="2"/>
          </rPr>
          <t xml:space="preserve">
ORP probe bad</t>
        </r>
      </text>
    </comment>
    <comment ref="J15" authorId="0" shapeId="0" xr:uid="{00000000-0006-0000-0200-00000E000000}">
      <text>
        <r>
          <rPr>
            <b/>
            <sz val="9"/>
            <color indexed="81"/>
            <rFont val="Tahoma"/>
            <family val="2"/>
          </rPr>
          <t>Beaulieu, Jake:</t>
        </r>
        <r>
          <rPr>
            <sz val="9"/>
            <color indexed="81"/>
            <rFont val="Tahoma"/>
            <family val="2"/>
          </rPr>
          <t xml:space="preserve">
ORP probe bad</t>
        </r>
      </text>
    </comment>
    <comment ref="J16" authorId="0" shapeId="0" xr:uid="{00000000-0006-0000-0200-00000F000000}">
      <text>
        <r>
          <rPr>
            <b/>
            <sz val="9"/>
            <color indexed="81"/>
            <rFont val="Tahoma"/>
            <family val="2"/>
          </rPr>
          <t>Beaulieu, Jake:</t>
        </r>
        <r>
          <rPr>
            <sz val="9"/>
            <color indexed="81"/>
            <rFont val="Tahoma"/>
            <family val="2"/>
          </rPr>
          <t xml:space="preserve">
ORP probe bad</t>
        </r>
      </text>
    </comment>
    <comment ref="J17" authorId="0" shapeId="0" xr:uid="{00000000-0006-0000-0200-000010000000}">
      <text>
        <r>
          <rPr>
            <b/>
            <sz val="9"/>
            <color indexed="81"/>
            <rFont val="Tahoma"/>
            <family val="2"/>
          </rPr>
          <t>Beaulieu, Jake:</t>
        </r>
        <r>
          <rPr>
            <sz val="9"/>
            <color indexed="81"/>
            <rFont val="Tahoma"/>
            <family val="2"/>
          </rPr>
          <t xml:space="preserve">
ORP probe bad</t>
        </r>
      </text>
    </comment>
    <comment ref="J18" authorId="0" shapeId="0" xr:uid="{00000000-0006-0000-0200-000011000000}">
      <text>
        <r>
          <rPr>
            <b/>
            <sz val="9"/>
            <color indexed="81"/>
            <rFont val="Tahoma"/>
            <family val="2"/>
          </rPr>
          <t>Beaulieu, Jake:</t>
        </r>
        <r>
          <rPr>
            <sz val="9"/>
            <color indexed="81"/>
            <rFont val="Tahoma"/>
            <family val="2"/>
          </rPr>
          <t xml:space="preserve">
ORP probe bad</t>
        </r>
      </text>
    </comment>
    <comment ref="J19" authorId="0" shapeId="0" xr:uid="{00000000-0006-0000-0200-000012000000}">
      <text>
        <r>
          <rPr>
            <b/>
            <sz val="9"/>
            <color indexed="81"/>
            <rFont val="Tahoma"/>
            <family val="2"/>
          </rPr>
          <t>Beaulieu, Jake:</t>
        </r>
        <r>
          <rPr>
            <sz val="9"/>
            <color indexed="81"/>
            <rFont val="Tahoma"/>
            <family val="2"/>
          </rPr>
          <t xml:space="preserve">
ORP probe bad</t>
        </r>
      </text>
    </comment>
    <comment ref="J20" authorId="0" shapeId="0" xr:uid="{00000000-0006-0000-0200-000013000000}">
      <text>
        <r>
          <rPr>
            <b/>
            <sz val="9"/>
            <color indexed="81"/>
            <rFont val="Tahoma"/>
            <family val="2"/>
          </rPr>
          <t>Beaulieu, Jake:</t>
        </r>
        <r>
          <rPr>
            <sz val="9"/>
            <color indexed="81"/>
            <rFont val="Tahoma"/>
            <family val="2"/>
          </rPr>
          <t xml:space="preserve">
ORP probe bad</t>
        </r>
      </text>
    </comment>
    <comment ref="J21" authorId="0" shapeId="0" xr:uid="{00000000-0006-0000-0200-000014000000}">
      <text>
        <r>
          <rPr>
            <b/>
            <sz val="9"/>
            <color indexed="81"/>
            <rFont val="Tahoma"/>
            <family val="2"/>
          </rPr>
          <t>Beaulieu, Jake:</t>
        </r>
        <r>
          <rPr>
            <sz val="9"/>
            <color indexed="81"/>
            <rFont val="Tahoma"/>
            <family val="2"/>
          </rPr>
          <t xml:space="preserve">
ORP probe bad</t>
        </r>
      </text>
    </comment>
    <comment ref="J22" authorId="0" shapeId="0" xr:uid="{00000000-0006-0000-0200-000015000000}">
      <text>
        <r>
          <rPr>
            <b/>
            <sz val="9"/>
            <color indexed="81"/>
            <rFont val="Tahoma"/>
            <family val="2"/>
          </rPr>
          <t>Beaulieu, Jake:</t>
        </r>
        <r>
          <rPr>
            <sz val="9"/>
            <color indexed="81"/>
            <rFont val="Tahoma"/>
            <family val="2"/>
          </rPr>
          <t xml:space="preserve">
ORP probe bad</t>
        </r>
      </text>
    </comment>
    <comment ref="J23" authorId="0" shapeId="0" xr:uid="{00000000-0006-0000-0200-000016000000}">
      <text>
        <r>
          <rPr>
            <b/>
            <sz val="9"/>
            <color indexed="81"/>
            <rFont val="Tahoma"/>
            <family val="2"/>
          </rPr>
          <t>Beaulieu, Jake:</t>
        </r>
        <r>
          <rPr>
            <sz val="9"/>
            <color indexed="81"/>
            <rFont val="Tahoma"/>
            <family val="2"/>
          </rPr>
          <t xml:space="preserve">
ORP probe bad</t>
        </r>
      </text>
    </comment>
    <comment ref="J24" authorId="0" shapeId="0" xr:uid="{00000000-0006-0000-0200-000017000000}">
      <text>
        <r>
          <rPr>
            <b/>
            <sz val="9"/>
            <color indexed="81"/>
            <rFont val="Tahoma"/>
            <family val="2"/>
          </rPr>
          <t>Beaulieu, Jake:</t>
        </r>
        <r>
          <rPr>
            <sz val="9"/>
            <color indexed="81"/>
            <rFont val="Tahoma"/>
            <family val="2"/>
          </rPr>
          <t xml:space="preserve">
ORP probe bad</t>
        </r>
      </text>
    </comment>
    <comment ref="J25" authorId="0" shapeId="0" xr:uid="{00000000-0006-0000-0200-000018000000}">
      <text>
        <r>
          <rPr>
            <b/>
            <sz val="9"/>
            <color indexed="81"/>
            <rFont val="Tahoma"/>
            <family val="2"/>
          </rPr>
          <t>Beaulieu, Jake:</t>
        </r>
        <r>
          <rPr>
            <sz val="9"/>
            <color indexed="81"/>
            <rFont val="Tahoma"/>
            <family val="2"/>
          </rPr>
          <t xml:space="preserve">
ORP probe bad</t>
        </r>
      </text>
    </comment>
    <comment ref="J26" authorId="0" shapeId="0" xr:uid="{00000000-0006-0000-0200-000019000000}">
      <text>
        <r>
          <rPr>
            <b/>
            <sz val="9"/>
            <color indexed="81"/>
            <rFont val="Tahoma"/>
            <family val="2"/>
          </rPr>
          <t>Beaulieu, Jake:</t>
        </r>
        <r>
          <rPr>
            <sz val="9"/>
            <color indexed="81"/>
            <rFont val="Tahoma"/>
            <family val="2"/>
          </rPr>
          <t xml:space="preserve">
ORP probe bad</t>
        </r>
      </text>
    </comment>
    <comment ref="J27" authorId="0" shapeId="0" xr:uid="{00000000-0006-0000-0200-00001A000000}">
      <text>
        <r>
          <rPr>
            <b/>
            <sz val="9"/>
            <color indexed="81"/>
            <rFont val="Tahoma"/>
            <family val="2"/>
          </rPr>
          <t>Beaulieu, Jake:</t>
        </r>
        <r>
          <rPr>
            <sz val="9"/>
            <color indexed="81"/>
            <rFont val="Tahoma"/>
            <family val="2"/>
          </rPr>
          <t xml:space="preserve">
ORP probe bad</t>
        </r>
      </text>
    </comment>
    <comment ref="J28" authorId="0" shapeId="0" xr:uid="{00000000-0006-0000-0200-00001B000000}">
      <text>
        <r>
          <rPr>
            <b/>
            <sz val="9"/>
            <color indexed="81"/>
            <rFont val="Tahoma"/>
            <family val="2"/>
          </rPr>
          <t>Beaulieu, Jake:</t>
        </r>
        <r>
          <rPr>
            <sz val="9"/>
            <color indexed="81"/>
            <rFont val="Tahoma"/>
            <family val="2"/>
          </rPr>
          <t xml:space="preserve">
ORP probe bad</t>
        </r>
      </text>
    </comment>
    <comment ref="J29" authorId="0" shapeId="0" xr:uid="{00000000-0006-0000-0200-00001C000000}">
      <text>
        <r>
          <rPr>
            <b/>
            <sz val="9"/>
            <color indexed="81"/>
            <rFont val="Tahoma"/>
            <family val="2"/>
          </rPr>
          <t>Beaulieu, Jake:</t>
        </r>
        <r>
          <rPr>
            <sz val="9"/>
            <color indexed="81"/>
            <rFont val="Tahoma"/>
            <family val="2"/>
          </rPr>
          <t xml:space="preserve">
ORP probe bad</t>
        </r>
      </text>
    </comment>
    <comment ref="J30" authorId="0" shapeId="0" xr:uid="{00000000-0006-0000-0200-00001D000000}">
      <text>
        <r>
          <rPr>
            <b/>
            <sz val="9"/>
            <color indexed="81"/>
            <rFont val="Tahoma"/>
            <family val="2"/>
          </rPr>
          <t>Beaulieu, Jake:</t>
        </r>
        <r>
          <rPr>
            <sz val="9"/>
            <color indexed="81"/>
            <rFont val="Tahoma"/>
            <family val="2"/>
          </rPr>
          <t xml:space="preserve">
ORP probe bad</t>
        </r>
      </text>
    </comment>
    <comment ref="J31" authorId="0" shapeId="0" xr:uid="{00000000-0006-0000-0200-00001E000000}">
      <text>
        <r>
          <rPr>
            <b/>
            <sz val="9"/>
            <color indexed="81"/>
            <rFont val="Tahoma"/>
            <family val="2"/>
          </rPr>
          <t>Beaulieu, Jake:</t>
        </r>
        <r>
          <rPr>
            <sz val="9"/>
            <color indexed="81"/>
            <rFont val="Tahoma"/>
            <family val="2"/>
          </rPr>
          <t xml:space="preserve">
ORP probe bad</t>
        </r>
      </text>
    </comment>
    <comment ref="A32" authorId="0" shapeId="0" xr:uid="{00000000-0006-0000-0200-00001F000000}">
      <text>
        <r>
          <rPr>
            <b/>
            <sz val="9"/>
            <color indexed="81"/>
            <rFont val="Tahoma"/>
            <family val="2"/>
          </rPr>
          <t>Beaulieu, Jake: 1/8/16</t>
        </r>
        <r>
          <rPr>
            <sz val="9"/>
            <color indexed="81"/>
            <rFont val="Tahoma"/>
            <family val="2"/>
          </rPr>
          <t xml:space="preserve">
Needed a temp estimate from this depth for dissolved gas calc.  Simply set equal to shallowest sonde measurement.</t>
        </r>
      </text>
    </comment>
    <comment ref="B32" authorId="0" shapeId="0" xr:uid="{00000000-0006-0000-0200-000020000000}">
      <text>
        <r>
          <rPr>
            <b/>
            <sz val="9"/>
            <color indexed="81"/>
            <rFont val="Tahoma"/>
            <family val="2"/>
          </rPr>
          <t>Beaulieu, Jake: 1/8/16</t>
        </r>
        <r>
          <rPr>
            <sz val="9"/>
            <color indexed="81"/>
            <rFont val="Tahoma"/>
            <family val="2"/>
          </rPr>
          <t xml:space="preserve">
Needed a temp estimate from this depth for dissolved gas calc.  Simply set equal to shallowest sonde measurement.</t>
        </r>
      </text>
    </comment>
    <comment ref="C32" authorId="0" shapeId="0" xr:uid="{00000000-0006-0000-0200-000021000000}">
      <text>
        <r>
          <rPr>
            <b/>
            <sz val="9"/>
            <color indexed="81"/>
            <rFont val="Tahoma"/>
            <family val="2"/>
          </rPr>
          <t>Beaulieu, Jake: 1/8/16</t>
        </r>
        <r>
          <rPr>
            <sz val="9"/>
            <color indexed="81"/>
            <rFont val="Tahoma"/>
            <family val="2"/>
          </rPr>
          <t xml:space="preserve">
Needed a temp estimate from this depth for dissolved gas calc.  Simply set equal to shallowest sonde measurement.</t>
        </r>
      </text>
    </comment>
    <comment ref="D32" authorId="0" shapeId="0" xr:uid="{00000000-0006-0000-0200-000022000000}">
      <text>
        <r>
          <rPr>
            <b/>
            <sz val="9"/>
            <color indexed="81"/>
            <rFont val="Tahoma"/>
            <family val="2"/>
          </rPr>
          <t>Beaulieu, Jake: 1/8/16</t>
        </r>
        <r>
          <rPr>
            <sz val="9"/>
            <color indexed="81"/>
            <rFont val="Tahoma"/>
            <family val="2"/>
          </rPr>
          <t xml:space="preserve">
Needed a temp estimate from this depth for dissolved gas calc.  Simply set equal to shallowest sonde measurement.</t>
        </r>
      </text>
    </comment>
    <comment ref="E32" authorId="0" shapeId="0" xr:uid="{00000000-0006-0000-0200-000023000000}">
      <text>
        <r>
          <rPr>
            <b/>
            <sz val="9"/>
            <color indexed="81"/>
            <rFont val="Tahoma"/>
            <family val="2"/>
          </rPr>
          <t>Beaulieu, Jake: 1/8/16</t>
        </r>
        <r>
          <rPr>
            <sz val="9"/>
            <color indexed="81"/>
            <rFont val="Tahoma"/>
            <family val="2"/>
          </rPr>
          <t xml:space="preserve">
Needed a temp estimate from this depth for dissolved gas calc.  Simply set equal to shallowest sonde measurement.</t>
        </r>
      </text>
    </comment>
    <comment ref="F32" authorId="0" shapeId="0" xr:uid="{00000000-0006-0000-0200-000024000000}">
      <text>
        <r>
          <rPr>
            <b/>
            <sz val="9"/>
            <color indexed="81"/>
            <rFont val="Tahoma"/>
            <family val="2"/>
          </rPr>
          <t>Beaulieu, Jake: 1/8/16</t>
        </r>
        <r>
          <rPr>
            <sz val="9"/>
            <color indexed="81"/>
            <rFont val="Tahoma"/>
            <family val="2"/>
          </rPr>
          <t xml:space="preserve">
Needed a temp estimate from this depth for dissolved gas calc.  Simply set equal to shallowest sonde measurement.</t>
        </r>
      </text>
    </comment>
    <comment ref="G32" authorId="0" shapeId="0" xr:uid="{00000000-0006-0000-0200-000025000000}">
      <text>
        <r>
          <rPr>
            <b/>
            <sz val="9"/>
            <color indexed="81"/>
            <rFont val="Tahoma"/>
            <family val="2"/>
          </rPr>
          <t>Beaulieu, Jake: 1/8/16</t>
        </r>
        <r>
          <rPr>
            <sz val="9"/>
            <color indexed="81"/>
            <rFont val="Tahoma"/>
            <family val="2"/>
          </rPr>
          <t xml:space="preserve">
Needed a temp estimate from this depth for dissolved gas calc.  Simply set equal to shallowest sonde measurement.</t>
        </r>
      </text>
    </comment>
    <comment ref="H32" authorId="0" shapeId="0" xr:uid="{00000000-0006-0000-0200-000026000000}">
      <text>
        <r>
          <rPr>
            <b/>
            <sz val="9"/>
            <color indexed="81"/>
            <rFont val="Tahoma"/>
            <family val="2"/>
          </rPr>
          <t>Beaulieu, Jake: 1/8/16</t>
        </r>
        <r>
          <rPr>
            <sz val="9"/>
            <color indexed="81"/>
            <rFont val="Tahoma"/>
            <family val="2"/>
          </rPr>
          <t xml:space="preserve">
Needed a temp estimate from this depth for dissolved gas calc.  Simply set equal to shallowest sonde measurement.</t>
        </r>
      </text>
    </comment>
    <comment ref="I32" authorId="0" shapeId="0" xr:uid="{00000000-0006-0000-0200-000027000000}">
      <text>
        <r>
          <rPr>
            <b/>
            <sz val="9"/>
            <color indexed="81"/>
            <rFont val="Tahoma"/>
            <family val="2"/>
          </rPr>
          <t>Beaulieu, Jake: 1/8/16</t>
        </r>
        <r>
          <rPr>
            <sz val="9"/>
            <color indexed="81"/>
            <rFont val="Tahoma"/>
            <family val="2"/>
          </rPr>
          <t xml:space="preserve">
Needed a temp estimate from this depth for dissolved gas calc.  Simply set equal to shallowest sonde measurement.</t>
        </r>
      </text>
    </comment>
    <comment ref="J32" authorId="0" shapeId="0" xr:uid="{00000000-0006-0000-0200-000028000000}">
      <text>
        <r>
          <rPr>
            <b/>
            <sz val="9"/>
            <color indexed="81"/>
            <rFont val="Tahoma"/>
            <family val="2"/>
          </rPr>
          <t>Beaulieu, Jake: 1/8/16</t>
        </r>
        <r>
          <rPr>
            <sz val="9"/>
            <color indexed="81"/>
            <rFont val="Tahoma"/>
            <family val="2"/>
          </rPr>
          <t xml:space="preserve">
Needed a temp estimate from this depth for dissolved gas calc.  Simply set equal to shallowest sonde measurement.</t>
        </r>
      </text>
    </comment>
    <comment ref="K32" authorId="0" shapeId="0" xr:uid="{00000000-0006-0000-0200-000029000000}">
      <text>
        <r>
          <rPr>
            <b/>
            <sz val="9"/>
            <color indexed="81"/>
            <rFont val="Tahoma"/>
            <family val="2"/>
          </rPr>
          <t>Beaulieu, Jake: 1/8/16</t>
        </r>
        <r>
          <rPr>
            <sz val="9"/>
            <color indexed="81"/>
            <rFont val="Tahoma"/>
            <family val="2"/>
          </rPr>
          <t xml:space="preserve">
Needed a temp estimate from this depth for dissolved gas calc.  Simply set equal to shallowest sonde measurement.</t>
        </r>
      </text>
    </comment>
    <comment ref="J33" authorId="0" shapeId="0" xr:uid="{00000000-0006-0000-0200-00002A000000}">
      <text>
        <r>
          <rPr>
            <b/>
            <sz val="9"/>
            <color indexed="81"/>
            <rFont val="Tahoma"/>
            <family val="2"/>
          </rPr>
          <t>Beaulieu, Jake:</t>
        </r>
        <r>
          <rPr>
            <sz val="9"/>
            <color indexed="81"/>
            <rFont val="Tahoma"/>
            <family val="2"/>
          </rPr>
          <t xml:space="preserve">
ORP probe bad</t>
        </r>
      </text>
    </comment>
    <comment ref="J34" authorId="0" shapeId="0" xr:uid="{00000000-0006-0000-0200-00002B000000}">
      <text>
        <r>
          <rPr>
            <b/>
            <sz val="9"/>
            <color indexed="81"/>
            <rFont val="Tahoma"/>
            <family val="2"/>
          </rPr>
          <t>Beaulieu, Jake:</t>
        </r>
        <r>
          <rPr>
            <sz val="9"/>
            <color indexed="81"/>
            <rFont val="Tahoma"/>
            <family val="2"/>
          </rPr>
          <t xml:space="preserve">
ORP probe bad</t>
        </r>
      </text>
    </comment>
    <comment ref="J35" authorId="0" shapeId="0" xr:uid="{00000000-0006-0000-0200-00002C000000}">
      <text>
        <r>
          <rPr>
            <b/>
            <sz val="9"/>
            <color indexed="81"/>
            <rFont val="Tahoma"/>
            <family val="2"/>
          </rPr>
          <t>Beaulieu, Jake:</t>
        </r>
        <r>
          <rPr>
            <sz val="9"/>
            <color indexed="81"/>
            <rFont val="Tahoma"/>
            <family val="2"/>
          </rPr>
          <t xml:space="preserve">
ORP probe bad</t>
        </r>
      </text>
    </comment>
    <comment ref="J36" authorId="0" shapeId="0" xr:uid="{00000000-0006-0000-0200-00002D000000}">
      <text>
        <r>
          <rPr>
            <b/>
            <sz val="9"/>
            <color indexed="81"/>
            <rFont val="Tahoma"/>
            <family val="2"/>
          </rPr>
          <t>Beaulieu, Jake:</t>
        </r>
        <r>
          <rPr>
            <sz val="9"/>
            <color indexed="81"/>
            <rFont val="Tahoma"/>
            <family val="2"/>
          </rPr>
          <t xml:space="preserve">
ORP probe bad</t>
        </r>
      </text>
    </comment>
    <comment ref="J37" authorId="0" shapeId="0" xr:uid="{00000000-0006-0000-0200-00002E000000}">
      <text>
        <r>
          <rPr>
            <b/>
            <sz val="9"/>
            <color indexed="81"/>
            <rFont val="Tahoma"/>
            <family val="2"/>
          </rPr>
          <t>Beaulieu, Jake:</t>
        </r>
        <r>
          <rPr>
            <sz val="9"/>
            <color indexed="81"/>
            <rFont val="Tahoma"/>
            <family val="2"/>
          </rPr>
          <t xml:space="preserve">
ORP probe bad</t>
        </r>
      </text>
    </comment>
    <comment ref="J38" authorId="0" shapeId="0" xr:uid="{00000000-0006-0000-0200-00002F000000}">
      <text>
        <r>
          <rPr>
            <b/>
            <sz val="9"/>
            <color indexed="81"/>
            <rFont val="Tahoma"/>
            <family val="2"/>
          </rPr>
          <t>Beaulieu, Jake:</t>
        </r>
        <r>
          <rPr>
            <sz val="9"/>
            <color indexed="81"/>
            <rFont val="Tahoma"/>
            <family val="2"/>
          </rPr>
          <t xml:space="preserve">
ORP probe bad</t>
        </r>
      </text>
    </comment>
    <comment ref="J39" authorId="0" shapeId="0" xr:uid="{00000000-0006-0000-0200-000030000000}">
      <text>
        <r>
          <rPr>
            <b/>
            <sz val="9"/>
            <color indexed="81"/>
            <rFont val="Tahoma"/>
            <family val="2"/>
          </rPr>
          <t>Beaulieu, Jake:</t>
        </r>
        <r>
          <rPr>
            <sz val="9"/>
            <color indexed="81"/>
            <rFont val="Tahoma"/>
            <family val="2"/>
          </rPr>
          <t xml:space="preserve">
ORP probe bad</t>
        </r>
      </text>
    </comment>
    <comment ref="J40" authorId="0" shapeId="0" xr:uid="{00000000-0006-0000-0200-000031000000}">
      <text>
        <r>
          <rPr>
            <b/>
            <sz val="9"/>
            <color indexed="81"/>
            <rFont val="Tahoma"/>
            <family val="2"/>
          </rPr>
          <t>Beaulieu, Jake:</t>
        </r>
        <r>
          <rPr>
            <sz val="9"/>
            <color indexed="81"/>
            <rFont val="Tahoma"/>
            <family val="2"/>
          </rPr>
          <t xml:space="preserve">
ORP probe bad</t>
        </r>
      </text>
    </comment>
    <comment ref="J41" authorId="0" shapeId="0" xr:uid="{00000000-0006-0000-0200-000032000000}">
      <text>
        <r>
          <rPr>
            <b/>
            <sz val="9"/>
            <color indexed="81"/>
            <rFont val="Tahoma"/>
            <family val="2"/>
          </rPr>
          <t>Beaulieu, Jake:</t>
        </r>
        <r>
          <rPr>
            <sz val="9"/>
            <color indexed="81"/>
            <rFont val="Tahoma"/>
            <family val="2"/>
          </rPr>
          <t xml:space="preserve">
ORP probe bad</t>
        </r>
      </text>
    </comment>
    <comment ref="J42" authorId="0" shapeId="0" xr:uid="{00000000-0006-0000-0200-000033000000}">
      <text>
        <r>
          <rPr>
            <b/>
            <sz val="9"/>
            <color indexed="81"/>
            <rFont val="Tahoma"/>
            <family val="2"/>
          </rPr>
          <t>Beaulieu, Jake:</t>
        </r>
        <r>
          <rPr>
            <sz val="9"/>
            <color indexed="81"/>
            <rFont val="Tahoma"/>
            <family val="2"/>
          </rPr>
          <t xml:space="preserve">
ORP probe bad</t>
        </r>
      </text>
    </comment>
    <comment ref="K209" authorId="0" shapeId="0" xr:uid="{00000000-0006-0000-0200-000034000000}">
      <text>
        <r>
          <rPr>
            <b/>
            <sz val="9"/>
            <color indexed="81"/>
            <rFont val="Tahoma"/>
            <charset val="1"/>
          </rPr>
          <t>Beaulieu, Jake:</t>
        </r>
        <r>
          <rPr>
            <sz val="9"/>
            <color indexed="81"/>
            <rFont val="Tahoma"/>
            <charset val="1"/>
          </rPr>
          <t xml:space="preserve">
no values recoreded on this date</t>
        </r>
      </text>
    </comment>
    <comment ref="K210" authorId="0" shapeId="0" xr:uid="{00000000-0006-0000-0200-000035000000}">
      <text>
        <r>
          <rPr>
            <b/>
            <sz val="9"/>
            <color indexed="81"/>
            <rFont val="Tahoma"/>
            <charset val="1"/>
          </rPr>
          <t>Beaulieu, Jake:</t>
        </r>
        <r>
          <rPr>
            <sz val="9"/>
            <color indexed="81"/>
            <rFont val="Tahoma"/>
            <charset val="1"/>
          </rPr>
          <t xml:space="preserve">
no values recoreded on this date</t>
        </r>
      </text>
    </comment>
    <comment ref="K211" authorId="0" shapeId="0" xr:uid="{00000000-0006-0000-0200-000036000000}">
      <text>
        <r>
          <rPr>
            <b/>
            <sz val="9"/>
            <color indexed="81"/>
            <rFont val="Tahoma"/>
            <charset val="1"/>
          </rPr>
          <t>Beaulieu, Jake:</t>
        </r>
        <r>
          <rPr>
            <sz val="9"/>
            <color indexed="81"/>
            <rFont val="Tahoma"/>
            <charset val="1"/>
          </rPr>
          <t xml:space="preserve">
no values recoreded on this date</t>
        </r>
      </text>
    </comment>
    <comment ref="K212" authorId="0" shapeId="0" xr:uid="{00000000-0006-0000-0200-000037000000}">
      <text>
        <r>
          <rPr>
            <b/>
            <sz val="9"/>
            <color indexed="81"/>
            <rFont val="Tahoma"/>
            <charset val="1"/>
          </rPr>
          <t>Beaulieu, Jake:</t>
        </r>
        <r>
          <rPr>
            <sz val="9"/>
            <color indexed="81"/>
            <rFont val="Tahoma"/>
            <charset val="1"/>
          </rPr>
          <t xml:space="preserve">
no values recoreded on this date</t>
        </r>
      </text>
    </comment>
    <comment ref="K213" authorId="0" shapeId="0" xr:uid="{00000000-0006-0000-0200-000038000000}">
      <text>
        <r>
          <rPr>
            <b/>
            <sz val="9"/>
            <color indexed="81"/>
            <rFont val="Tahoma"/>
            <charset val="1"/>
          </rPr>
          <t>Beaulieu, Jake:</t>
        </r>
        <r>
          <rPr>
            <sz val="9"/>
            <color indexed="81"/>
            <rFont val="Tahoma"/>
            <charset val="1"/>
          </rPr>
          <t xml:space="preserve">
no values recoreded on this date</t>
        </r>
      </text>
    </comment>
    <comment ref="K214" authorId="0" shapeId="0" xr:uid="{00000000-0006-0000-0200-000039000000}">
      <text>
        <r>
          <rPr>
            <b/>
            <sz val="9"/>
            <color indexed="81"/>
            <rFont val="Tahoma"/>
            <charset val="1"/>
          </rPr>
          <t>Beaulieu, Jake:</t>
        </r>
        <r>
          <rPr>
            <sz val="9"/>
            <color indexed="81"/>
            <rFont val="Tahoma"/>
            <charset val="1"/>
          </rPr>
          <t xml:space="preserve">
no values recoreded on this date</t>
        </r>
      </text>
    </comment>
    <comment ref="D215" authorId="0" shapeId="0" xr:uid="{00000000-0006-0000-0200-00003A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E215" authorId="0" shapeId="0" xr:uid="{00000000-0006-0000-0200-00003B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F215" authorId="0" shapeId="0" xr:uid="{00000000-0006-0000-0200-00003C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G215" authorId="0" shapeId="0" xr:uid="{00000000-0006-0000-0200-00003D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H215" authorId="0" shapeId="0" xr:uid="{00000000-0006-0000-0200-00003E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I215" authorId="0" shapeId="0" xr:uid="{00000000-0006-0000-0200-00003F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J215" authorId="0" shapeId="0" xr:uid="{00000000-0006-0000-0200-000040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K215" authorId="0" shapeId="0" xr:uid="{00000000-0006-0000-0200-000041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D216" authorId="0" shapeId="0" xr:uid="{00000000-0006-0000-0200-000042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E216" authorId="0" shapeId="0" xr:uid="{00000000-0006-0000-0200-000043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F216" authorId="0" shapeId="0" xr:uid="{00000000-0006-0000-0200-000044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G216" authorId="0" shapeId="0" xr:uid="{00000000-0006-0000-0200-000045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H216" authorId="0" shapeId="0" xr:uid="{00000000-0006-0000-0200-000046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I216" authorId="0" shapeId="0" xr:uid="{00000000-0006-0000-0200-000047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J216" authorId="0" shapeId="0" xr:uid="{00000000-0006-0000-0200-000048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K216" authorId="0" shapeId="0" xr:uid="{00000000-0006-0000-0200-000049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D217" authorId="0" shapeId="0" xr:uid="{00000000-0006-0000-0200-00004A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E217" authorId="0" shapeId="0" xr:uid="{00000000-0006-0000-0200-00004B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F217" authorId="0" shapeId="0" xr:uid="{00000000-0006-0000-0200-00004C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G217" authorId="0" shapeId="0" xr:uid="{00000000-0006-0000-0200-00004D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H217" authorId="0" shapeId="0" xr:uid="{00000000-0006-0000-0200-00004E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I217" authorId="0" shapeId="0" xr:uid="{00000000-0006-0000-0200-00004F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J217" authorId="0" shapeId="0" xr:uid="{00000000-0006-0000-0200-000050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K217" authorId="0" shapeId="0" xr:uid="{00000000-0006-0000-0200-000051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D218" authorId="0" shapeId="0" xr:uid="{00000000-0006-0000-0200-000052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E218" authorId="0" shapeId="0" xr:uid="{00000000-0006-0000-0200-000053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F218" authorId="0" shapeId="0" xr:uid="{00000000-0006-0000-0200-000054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G218" authorId="0" shapeId="0" xr:uid="{00000000-0006-0000-0200-000055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H218" authorId="0" shapeId="0" xr:uid="{00000000-0006-0000-0200-000056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I218" authorId="0" shapeId="0" xr:uid="{00000000-0006-0000-0200-000057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J218" authorId="0" shapeId="0" xr:uid="{00000000-0006-0000-0200-000058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K218" authorId="0" shapeId="0" xr:uid="{00000000-0006-0000-0200-000059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D219" authorId="0" shapeId="0" xr:uid="{00000000-0006-0000-0200-00005A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E219" authorId="0" shapeId="0" xr:uid="{00000000-0006-0000-0200-00005B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F219" authorId="0" shapeId="0" xr:uid="{00000000-0006-0000-0200-00005C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G219" authorId="0" shapeId="0" xr:uid="{00000000-0006-0000-0200-00005D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H219" authorId="0" shapeId="0" xr:uid="{00000000-0006-0000-0200-00005E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I219" authorId="0" shapeId="0" xr:uid="{00000000-0006-0000-0200-00005F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J219" authorId="0" shapeId="0" xr:uid="{00000000-0006-0000-0200-000060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K219" authorId="0" shapeId="0" xr:uid="{00000000-0006-0000-0200-000061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D220" authorId="0" shapeId="0" xr:uid="{00000000-0006-0000-0200-000062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E220" authorId="0" shapeId="0" xr:uid="{00000000-0006-0000-0200-000063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F220" authorId="0" shapeId="0" xr:uid="{00000000-0006-0000-0200-000064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G220" authorId="0" shapeId="0" xr:uid="{00000000-0006-0000-0200-000065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H220" authorId="0" shapeId="0" xr:uid="{00000000-0006-0000-0200-000066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I220" authorId="0" shapeId="0" xr:uid="{00000000-0006-0000-0200-000067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J220" authorId="0" shapeId="0" xr:uid="{00000000-0006-0000-0200-000068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K220" authorId="0" shapeId="0" xr:uid="{00000000-0006-0000-0200-000069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D221" authorId="0" shapeId="0" xr:uid="{00000000-0006-0000-0200-00006A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E221" authorId="0" shapeId="0" xr:uid="{00000000-0006-0000-0200-00006B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F221" authorId="0" shapeId="0" xr:uid="{00000000-0006-0000-0200-00006C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G221" authorId="0" shapeId="0" xr:uid="{00000000-0006-0000-0200-00006D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H221" authorId="0" shapeId="0" xr:uid="{00000000-0006-0000-0200-00006E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I221" authorId="0" shapeId="0" xr:uid="{00000000-0006-0000-0200-00006F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J221" authorId="0" shapeId="0" xr:uid="{00000000-0006-0000-0200-000070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K221" authorId="0" shapeId="0" xr:uid="{00000000-0006-0000-0200-000071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D222" authorId="0" shapeId="0" xr:uid="{00000000-0006-0000-0200-000072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E222" authorId="0" shapeId="0" xr:uid="{00000000-0006-0000-0200-000073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F222" authorId="0" shapeId="0" xr:uid="{00000000-0006-0000-0200-000074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G222" authorId="0" shapeId="0" xr:uid="{00000000-0006-0000-0200-000075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H222" authorId="0" shapeId="0" xr:uid="{00000000-0006-0000-0200-000076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I222" authorId="0" shapeId="0" xr:uid="{00000000-0006-0000-0200-000077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J222" authorId="0" shapeId="0" xr:uid="{00000000-0006-0000-0200-000078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K222" authorId="0" shapeId="0" xr:uid="{00000000-0006-0000-0200-000079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D223" authorId="0" shapeId="0" xr:uid="{00000000-0006-0000-0200-00007A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E223" authorId="0" shapeId="0" xr:uid="{00000000-0006-0000-0200-00007B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F223" authorId="0" shapeId="0" xr:uid="{00000000-0006-0000-0200-00007C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G223" authorId="0" shapeId="0" xr:uid="{00000000-0006-0000-0200-00007D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H223" authorId="0" shapeId="0" xr:uid="{00000000-0006-0000-0200-00007E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I223" authorId="0" shapeId="0" xr:uid="{00000000-0006-0000-0200-00007F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J223" authorId="0" shapeId="0" xr:uid="{00000000-0006-0000-0200-000080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K223" authorId="0" shapeId="0" xr:uid="{00000000-0006-0000-0200-000081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D224" authorId="0" shapeId="0" xr:uid="{00000000-0006-0000-0200-000082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E224" authorId="0" shapeId="0" xr:uid="{00000000-0006-0000-0200-000083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F224" authorId="0" shapeId="0" xr:uid="{00000000-0006-0000-0200-000084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G224" authorId="0" shapeId="0" xr:uid="{00000000-0006-0000-0200-000085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H224" authorId="0" shapeId="0" xr:uid="{00000000-0006-0000-0200-000086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I224" authorId="0" shapeId="0" xr:uid="{00000000-0006-0000-0200-000087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J224" authorId="0" shapeId="0" xr:uid="{00000000-0006-0000-0200-000088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K224" authorId="0" shapeId="0" xr:uid="{00000000-0006-0000-0200-000089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D225" authorId="0" shapeId="0" xr:uid="{00000000-0006-0000-0200-00008A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E225" authorId="0" shapeId="0" xr:uid="{00000000-0006-0000-0200-00008B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F225" authorId="0" shapeId="0" xr:uid="{00000000-0006-0000-0200-00008C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G225" authorId="0" shapeId="0" xr:uid="{00000000-0006-0000-0200-00008D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H225" authorId="0" shapeId="0" xr:uid="{00000000-0006-0000-0200-00008E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I225" authorId="0" shapeId="0" xr:uid="{00000000-0006-0000-0200-00008F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J225" authorId="0" shapeId="0" xr:uid="{00000000-0006-0000-0200-000090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K225" authorId="0" shapeId="0" xr:uid="{00000000-0006-0000-0200-000091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D226" authorId="0" shapeId="0" xr:uid="{00000000-0006-0000-0200-000092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E226" authorId="0" shapeId="0" xr:uid="{00000000-0006-0000-0200-000093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F226" authorId="0" shapeId="0" xr:uid="{00000000-0006-0000-0200-000094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G226" authorId="0" shapeId="0" xr:uid="{00000000-0006-0000-0200-000095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H226" authorId="0" shapeId="0" xr:uid="{00000000-0006-0000-0200-000096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I226" authorId="0" shapeId="0" xr:uid="{00000000-0006-0000-0200-000097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J226" authorId="0" shapeId="0" xr:uid="{00000000-0006-0000-0200-000098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K226" authorId="0" shapeId="0" xr:uid="{00000000-0006-0000-0200-000099000000}">
      <text>
        <r>
          <rPr>
            <b/>
            <sz val="9"/>
            <color indexed="81"/>
            <rFont val="Tahoma"/>
            <charset val="1"/>
          </rPr>
          <t>Beaulieu, Jake:</t>
        </r>
        <r>
          <rPr>
            <sz val="9"/>
            <color indexed="81"/>
            <rFont val="Tahoma"/>
            <charset val="1"/>
          </rPr>
          <t xml:space="preserve">
no sonde on this date.  Estimating depths from previous sampling trips.  Will estimate temp (needed for dissolved gas calcs) from recent trips.</t>
        </r>
      </text>
    </comment>
    <comment ref="B349" authorId="1" shapeId="0" xr:uid="{00000000-0006-0000-0200-00009A000000}">
      <text>
        <r>
          <rPr>
            <b/>
            <sz val="9"/>
            <color indexed="81"/>
            <rFont val="Tahoma"/>
            <family val="2"/>
          </rPr>
          <t>U.S. EPA User or Contractor:</t>
        </r>
        <r>
          <rPr>
            <sz val="9"/>
            <color indexed="81"/>
            <rFont val="Tahoma"/>
            <family val="2"/>
          </rPr>
          <t xml:space="preserve">
No deep readings, only surface readings</t>
        </r>
      </text>
    </comment>
    <comment ref="B350" authorId="1" shapeId="0" xr:uid="{00000000-0006-0000-0200-00009B000000}">
      <text>
        <r>
          <rPr>
            <b/>
            <sz val="9"/>
            <color indexed="81"/>
            <rFont val="Tahoma"/>
            <family val="2"/>
          </rPr>
          <t>U.S. EPA User or Contractor:</t>
        </r>
        <r>
          <rPr>
            <sz val="9"/>
            <color indexed="81"/>
            <rFont val="Tahoma"/>
            <family val="2"/>
          </rPr>
          <t xml:space="preserve">
No deep readings, only surface readings</t>
        </r>
      </text>
    </comment>
    <comment ref="B351" authorId="1" shapeId="0" xr:uid="{00000000-0006-0000-0200-00009C000000}">
      <text>
        <r>
          <rPr>
            <b/>
            <sz val="9"/>
            <color indexed="81"/>
            <rFont val="Tahoma"/>
            <family val="2"/>
          </rPr>
          <t>U.S. EPA User or Contractor:</t>
        </r>
        <r>
          <rPr>
            <sz val="9"/>
            <color indexed="81"/>
            <rFont val="Tahoma"/>
            <family val="2"/>
          </rPr>
          <t xml:space="preserve">
No deep readings, only surface readings</t>
        </r>
      </text>
    </comment>
    <comment ref="B352" authorId="1" shapeId="0" xr:uid="{00000000-0006-0000-0200-00009D000000}">
      <text>
        <r>
          <rPr>
            <b/>
            <sz val="9"/>
            <color indexed="81"/>
            <rFont val="Tahoma"/>
            <family val="2"/>
          </rPr>
          <t>U.S. EPA User or Contractor:</t>
        </r>
        <r>
          <rPr>
            <sz val="9"/>
            <color indexed="81"/>
            <rFont val="Tahoma"/>
            <family val="2"/>
          </rPr>
          <t xml:space="preserve">
No deep readings, only surface readings</t>
        </r>
      </text>
    </comment>
    <comment ref="B353" authorId="1" shapeId="0" xr:uid="{00000000-0006-0000-0200-00009E000000}">
      <text>
        <r>
          <rPr>
            <b/>
            <sz val="9"/>
            <color indexed="81"/>
            <rFont val="Tahoma"/>
            <family val="2"/>
          </rPr>
          <t>U.S. EPA User or Contractor:</t>
        </r>
        <r>
          <rPr>
            <sz val="9"/>
            <color indexed="81"/>
            <rFont val="Tahoma"/>
            <family val="2"/>
          </rPr>
          <t xml:space="preserve">
No deep readings, only surface readings</t>
        </r>
      </text>
    </comment>
    <comment ref="B354" authorId="1" shapeId="0" xr:uid="{00000000-0006-0000-0200-00009F000000}">
      <text>
        <r>
          <rPr>
            <b/>
            <sz val="9"/>
            <color indexed="81"/>
            <rFont val="Tahoma"/>
            <family val="2"/>
          </rPr>
          <t>U.S. EPA User or Contractor:</t>
        </r>
        <r>
          <rPr>
            <sz val="9"/>
            <color indexed="81"/>
            <rFont val="Tahoma"/>
            <family val="2"/>
          </rPr>
          <t xml:space="preserve">
No deep readings, only surface readings</t>
        </r>
      </text>
    </comment>
    <comment ref="B355" authorId="1" shapeId="0" xr:uid="{00000000-0006-0000-0200-0000A0000000}">
      <text>
        <r>
          <rPr>
            <b/>
            <sz val="9"/>
            <color indexed="81"/>
            <rFont val="Tahoma"/>
            <family val="2"/>
          </rPr>
          <t>U.S. EPA User or Contractor:</t>
        </r>
        <r>
          <rPr>
            <sz val="9"/>
            <color indexed="81"/>
            <rFont val="Tahoma"/>
            <family val="2"/>
          </rPr>
          <t xml:space="preserve">
No deep readings, only surface readings</t>
        </r>
      </text>
    </comment>
    <comment ref="B356" authorId="1" shapeId="0" xr:uid="{00000000-0006-0000-0200-0000A1000000}">
      <text>
        <r>
          <rPr>
            <b/>
            <sz val="9"/>
            <color indexed="81"/>
            <rFont val="Tahoma"/>
            <family val="2"/>
          </rPr>
          <t>U.S. EPA User or Contractor:</t>
        </r>
        <r>
          <rPr>
            <sz val="9"/>
            <color indexed="81"/>
            <rFont val="Tahoma"/>
            <family val="2"/>
          </rPr>
          <t xml:space="preserve">
No deep readings, only surface readings</t>
        </r>
      </text>
    </comment>
    <comment ref="B357" authorId="1" shapeId="0" xr:uid="{00000000-0006-0000-0200-0000A2000000}">
      <text>
        <r>
          <rPr>
            <b/>
            <sz val="9"/>
            <color indexed="81"/>
            <rFont val="Tahoma"/>
            <family val="2"/>
          </rPr>
          <t>U.S. EPA User or Contractor:</t>
        </r>
        <r>
          <rPr>
            <sz val="9"/>
            <color indexed="81"/>
            <rFont val="Tahoma"/>
            <family val="2"/>
          </rPr>
          <t xml:space="preserve">
No deep readings, only surface readings</t>
        </r>
      </text>
    </comment>
    <comment ref="G370" authorId="1" shapeId="0" xr:uid="{00000000-0006-0000-0200-0000A3000000}">
      <text>
        <r>
          <rPr>
            <b/>
            <sz val="9"/>
            <color indexed="81"/>
            <rFont val="Tahoma"/>
            <family val="2"/>
          </rPr>
          <t>U.S. EPA User or Contractor:</t>
        </r>
        <r>
          <rPr>
            <sz val="9"/>
            <color indexed="81"/>
            <rFont val="Tahoma"/>
            <family val="2"/>
          </rPr>
          <t xml:space="preserve">
No value recorded on raw data sheet</t>
        </r>
      </text>
    </comment>
    <comment ref="K370" authorId="1" shapeId="0" xr:uid="{00000000-0006-0000-0200-0000A4000000}">
      <text>
        <r>
          <rPr>
            <b/>
            <sz val="9"/>
            <color indexed="81"/>
            <rFont val="Tahoma"/>
            <family val="2"/>
          </rPr>
          <t>U.S. EPA User or Contractor:</t>
        </r>
        <r>
          <rPr>
            <sz val="9"/>
            <color indexed="81"/>
            <rFont val="Tahoma"/>
            <family val="2"/>
          </rPr>
          <t xml:space="preserve">
No value recorded on raw data sheet</t>
        </r>
      </text>
    </comment>
    <comment ref="K371" authorId="1" shapeId="0" xr:uid="{00000000-0006-0000-0200-0000A5000000}">
      <text>
        <r>
          <rPr>
            <b/>
            <sz val="9"/>
            <color indexed="81"/>
            <rFont val="Tahoma"/>
            <family val="2"/>
          </rPr>
          <t>U.S. EPA User or Contractor:</t>
        </r>
        <r>
          <rPr>
            <sz val="9"/>
            <color indexed="81"/>
            <rFont val="Tahoma"/>
            <family val="2"/>
          </rPr>
          <t xml:space="preserve">
No value recorded on raw data sheet</t>
        </r>
      </text>
    </comment>
    <comment ref="D372" authorId="1" shapeId="0" xr:uid="{00000000-0006-0000-0200-0000A6000000}">
      <text>
        <r>
          <rPr>
            <b/>
            <sz val="9"/>
            <color indexed="81"/>
            <rFont val="Tahoma"/>
            <family val="2"/>
          </rPr>
          <t>U.S. EPA User or Contractor:</t>
        </r>
        <r>
          <rPr>
            <sz val="9"/>
            <color indexed="81"/>
            <rFont val="Tahoma"/>
            <family val="2"/>
          </rPr>
          <t xml:space="preserve">
Not recorded in field, usually ~0 ft</t>
        </r>
      </text>
    </comment>
    <comment ref="D373" authorId="1" shapeId="0" xr:uid="{00000000-0006-0000-0200-0000A7000000}">
      <text>
        <r>
          <rPr>
            <b/>
            <sz val="9"/>
            <color indexed="81"/>
            <rFont val="Tahoma"/>
            <family val="2"/>
          </rPr>
          <t>U.S. EPA User or Contractor:</t>
        </r>
        <r>
          <rPr>
            <sz val="9"/>
            <color indexed="81"/>
            <rFont val="Tahoma"/>
            <family val="2"/>
          </rPr>
          <t xml:space="preserve">
Not recorded in field, usually ~60 ft</t>
        </r>
      </text>
    </comment>
    <comment ref="D374" authorId="1" shapeId="0" xr:uid="{00000000-0006-0000-0200-0000A8000000}">
      <text>
        <r>
          <rPr>
            <b/>
            <sz val="9"/>
            <color indexed="81"/>
            <rFont val="Tahoma"/>
            <family val="2"/>
          </rPr>
          <t>U.S. EPA User or Contractor:</t>
        </r>
        <r>
          <rPr>
            <sz val="9"/>
            <color indexed="81"/>
            <rFont val="Tahoma"/>
            <family val="2"/>
          </rPr>
          <t xml:space="preserve">
Not recorded in field, usually ~0 ft</t>
        </r>
      </text>
    </comment>
    <comment ref="D375" authorId="1" shapeId="0" xr:uid="{00000000-0006-0000-0200-0000A9000000}">
      <text>
        <r>
          <rPr>
            <b/>
            <sz val="9"/>
            <color indexed="81"/>
            <rFont val="Tahoma"/>
            <family val="2"/>
          </rPr>
          <t>U.S. EPA User or Contractor:</t>
        </r>
        <r>
          <rPr>
            <sz val="9"/>
            <color indexed="81"/>
            <rFont val="Tahoma"/>
            <family val="2"/>
          </rPr>
          <t xml:space="preserve">
Not recorded in field, usually ~95 ft</t>
        </r>
      </text>
    </comment>
    <comment ref="K377" authorId="1" shapeId="0" xr:uid="{00000000-0006-0000-0200-0000AA000000}">
      <text>
        <r>
          <rPr>
            <b/>
            <sz val="9"/>
            <color indexed="81"/>
            <rFont val="Tahoma"/>
            <family val="2"/>
          </rPr>
          <t>U.S. EPA User or Contractor:</t>
        </r>
        <r>
          <rPr>
            <sz val="9"/>
            <color indexed="81"/>
            <rFont val="Tahoma"/>
            <family val="2"/>
          </rPr>
          <t xml:space="preserve">
Not sure why sonde read negative value</t>
        </r>
      </text>
    </comment>
    <comment ref="K381" authorId="1" shapeId="0" xr:uid="{00000000-0006-0000-0200-0000AB000000}">
      <text>
        <r>
          <rPr>
            <b/>
            <sz val="9"/>
            <color indexed="81"/>
            <rFont val="Tahoma"/>
            <family val="2"/>
          </rPr>
          <t>U.S. EPA User or Contractor:</t>
        </r>
        <r>
          <rPr>
            <sz val="9"/>
            <color indexed="81"/>
            <rFont val="Tahoma"/>
            <family val="2"/>
          </rPr>
          <t xml:space="preserve">
Not sure why sonde read negative value</t>
        </r>
      </text>
    </comment>
    <comment ref="D389" authorId="1" shapeId="0" xr:uid="{00000000-0006-0000-0200-0000AC000000}">
      <text>
        <r>
          <rPr>
            <b/>
            <sz val="9"/>
            <color indexed="81"/>
            <rFont val="Tahoma"/>
            <family val="2"/>
          </rPr>
          <t>U.S. EPA User or Contractor:</t>
        </r>
        <r>
          <rPr>
            <sz val="9"/>
            <color indexed="81"/>
            <rFont val="Tahoma"/>
            <family val="2"/>
          </rPr>
          <t xml:space="preserve">
Not recorded in field, usually ~60 ft</t>
        </r>
      </text>
    </comment>
    <comment ref="D393" authorId="1" shapeId="0" xr:uid="{00000000-0006-0000-0200-0000AD000000}">
      <text>
        <r>
          <rPr>
            <b/>
            <sz val="9"/>
            <color indexed="81"/>
            <rFont val="Tahoma"/>
            <family val="2"/>
          </rPr>
          <t>U.S. EPA User or Contractor:</t>
        </r>
        <r>
          <rPr>
            <sz val="9"/>
            <color indexed="81"/>
            <rFont val="Tahoma"/>
            <family val="2"/>
          </rPr>
          <t xml:space="preserve">
Not recorded in field, usually ~95 ft</t>
        </r>
      </text>
    </comment>
    <comment ref="D397" authorId="0" shapeId="0" xr:uid="{00000000-0006-0000-0200-0000AE000000}">
      <text>
        <r>
          <rPr>
            <b/>
            <sz val="9"/>
            <color indexed="81"/>
            <rFont val="Tahoma"/>
            <charset val="1"/>
          </rPr>
          <t>Beaulieu, Jake, 1/21/16</t>
        </r>
        <r>
          <rPr>
            <sz val="9"/>
            <color indexed="81"/>
            <rFont val="Tahoma"/>
            <charset val="1"/>
          </rPr>
          <t xml:space="preserve">
reported as 3.2 in data sheets, but this complicates depth formatting in 'readSonde.R'.  Changed to 4 to simplify things.</t>
        </r>
      </text>
    </comment>
    <comment ref="K421" authorId="1" shapeId="0" xr:uid="{00000000-0006-0000-0200-0000AF000000}">
      <text>
        <r>
          <rPr>
            <b/>
            <sz val="9"/>
            <color indexed="81"/>
            <rFont val="Tahoma"/>
            <family val="2"/>
          </rPr>
          <t>U.S. EPA User or Contractor:</t>
        </r>
        <r>
          <rPr>
            <sz val="9"/>
            <color indexed="81"/>
            <rFont val="Tahoma"/>
            <family val="2"/>
          </rPr>
          <t xml:space="preserve">
Not sure why sonde read negative value</t>
        </r>
      </text>
    </comment>
    <comment ref="K424" authorId="1" shapeId="0" xr:uid="{00000000-0006-0000-0200-0000B0000000}">
      <text>
        <r>
          <rPr>
            <b/>
            <sz val="9"/>
            <color indexed="81"/>
            <rFont val="Tahoma"/>
            <family val="2"/>
          </rPr>
          <t>U.S. EPA User or Contractor:</t>
        </r>
        <r>
          <rPr>
            <sz val="9"/>
            <color indexed="81"/>
            <rFont val="Tahoma"/>
            <family val="2"/>
          </rPr>
          <t xml:space="preserve">
Not sure why sonde read negative value</t>
        </r>
      </text>
    </comment>
    <comment ref="K426" authorId="1" shapeId="0" xr:uid="{00000000-0006-0000-0200-0000B1000000}">
      <text>
        <r>
          <rPr>
            <b/>
            <sz val="9"/>
            <color indexed="81"/>
            <rFont val="Tahoma"/>
            <family val="2"/>
          </rPr>
          <t>U.S. EPA User or Contractor:</t>
        </r>
        <r>
          <rPr>
            <sz val="9"/>
            <color indexed="81"/>
            <rFont val="Tahoma"/>
            <family val="2"/>
          </rPr>
          <t xml:space="preserve">
Not sure why sonde read negative value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U.S. EPA User or Contractor</author>
  </authors>
  <commentList>
    <comment ref="B2" authorId="0" shapeId="0" xr:uid="{00000000-0006-0000-0300-000001000000}">
      <text>
        <r>
          <rPr>
            <b/>
            <sz val="9"/>
            <color indexed="81"/>
            <rFont val="Tahoma"/>
            <family val="2"/>
          </rPr>
          <t>U.S. EPA User or Contractor:</t>
        </r>
        <r>
          <rPr>
            <sz val="9"/>
            <color indexed="81"/>
            <rFont val="Tahoma"/>
            <family val="2"/>
          </rPr>
          <t xml:space="preserve">
This column is only relevant for days where the same trap was sampled more than once, i.e. the reservoir draw down.
-KB 9/30/2015</t>
        </r>
      </text>
    </comment>
    <comment ref="G705" authorId="0" shapeId="0" xr:uid="{00000000-0006-0000-0300-000002000000}">
      <text>
        <r>
          <rPr>
            <b/>
            <sz val="9"/>
            <color indexed="81"/>
            <rFont val="Tahoma"/>
            <family val="2"/>
          </rPr>
          <t>U.S. EPA User or Contractor:</t>
        </r>
        <r>
          <rPr>
            <sz val="9"/>
            <color indexed="81"/>
            <rFont val="Tahoma"/>
            <family val="2"/>
          </rPr>
          <t xml:space="preserve">
Exetainer code repeated on 2015-09-16 15:30 EEB.  Can't resolve conflict.  Might be best to omit this rep from analyis.
-JB 12/03/15</t>
        </r>
      </text>
    </comment>
    <comment ref="G706" authorId="0" shapeId="0" xr:uid="{00000000-0006-0000-0300-000003000000}">
      <text>
        <r>
          <rPr>
            <b/>
            <sz val="9"/>
            <color indexed="81"/>
            <rFont val="Tahoma"/>
            <family val="2"/>
          </rPr>
          <t>U.S. EPA User or Contractor:</t>
        </r>
        <r>
          <rPr>
            <sz val="9"/>
            <color indexed="81"/>
            <rFont val="Tahoma"/>
            <family val="2"/>
          </rPr>
          <t xml:space="preserve">
Exetainer code repeated on 2015-09-16 15:40 ENN.  Can't resolve conflict.  Might be best to omit this rep from analysis.
-JB 12/03/15</t>
        </r>
      </text>
    </comment>
    <comment ref="G707" authorId="0" shapeId="0" xr:uid="{00000000-0006-0000-0300-000004000000}">
      <text>
        <r>
          <rPr>
            <b/>
            <sz val="9"/>
            <color indexed="81"/>
            <rFont val="Tahoma"/>
            <family val="2"/>
          </rPr>
          <t>U.S. EPA User or Contractor:</t>
        </r>
        <r>
          <rPr>
            <sz val="9"/>
            <color indexed="81"/>
            <rFont val="Tahoma"/>
            <family val="2"/>
          </rPr>
          <t xml:space="preserve">
Exetainer code repeated on 2015-09-16 15:40 ENN.  Can't resolve conflict.  Might be best to omit this rep from analysis.
-JB 12/03/15</t>
        </r>
      </text>
    </comment>
    <comment ref="G717" authorId="0" shapeId="0" xr:uid="{00000000-0006-0000-0300-000005000000}">
      <text>
        <r>
          <rPr>
            <b/>
            <sz val="9"/>
            <color indexed="81"/>
            <rFont val="Tahoma"/>
            <charset val="1"/>
          </rPr>
          <t>U.S. EPA User or Contractor:</t>
        </r>
        <r>
          <rPr>
            <sz val="9"/>
            <color indexed="81"/>
            <rFont val="Tahoma"/>
            <charset val="1"/>
          </rPr>
          <t xml:space="preserve">
While the field sheet says a 27 mL and a 12 mL sample were collected, Karen's green book appears to have 3 samples collected from this site at this time, with exetainer codes 859, 860, and 861
-KB 10/30/15</t>
        </r>
      </text>
    </comment>
    <comment ref="B775" authorId="0" shapeId="0" xr:uid="{00000000-0006-0000-0300-000006000000}">
      <text>
        <r>
          <rPr>
            <b/>
            <sz val="9"/>
            <color indexed="81"/>
            <rFont val="Tahoma"/>
            <family val="2"/>
          </rPr>
          <t>U.S. EPA User or Contractor:</t>
        </r>
        <r>
          <rPr>
            <sz val="9"/>
            <color indexed="81"/>
            <rFont val="Tahoma"/>
            <family val="2"/>
          </rPr>
          <t xml:space="preserve">
10:23 estimated
-KB 10/2/2015</t>
        </r>
      </text>
    </comment>
    <comment ref="B776" authorId="0" shapeId="0" xr:uid="{00000000-0006-0000-0300-000007000000}">
      <text>
        <r>
          <rPr>
            <b/>
            <sz val="9"/>
            <color indexed="81"/>
            <rFont val="Tahoma"/>
            <family val="2"/>
          </rPr>
          <t>U.S. EPA User or Contractor:</t>
        </r>
        <r>
          <rPr>
            <sz val="9"/>
            <color indexed="81"/>
            <rFont val="Tahoma"/>
            <family val="2"/>
          </rPr>
          <t xml:space="preserve">
10:23 estimated
-KB 10/2/2015</t>
        </r>
      </text>
    </comment>
    <comment ref="B777" authorId="0" shapeId="0" xr:uid="{00000000-0006-0000-0300-000008000000}">
      <text>
        <r>
          <rPr>
            <b/>
            <sz val="9"/>
            <color indexed="81"/>
            <rFont val="Tahoma"/>
            <family val="2"/>
          </rPr>
          <t>U.S. EPA User or Contractor:</t>
        </r>
        <r>
          <rPr>
            <sz val="9"/>
            <color indexed="81"/>
            <rFont val="Tahoma"/>
            <family val="2"/>
          </rPr>
          <t xml:space="preserve">
10:23 estimated
-KB 10/2/2015</t>
        </r>
      </text>
    </comment>
    <comment ref="B838" authorId="0" shapeId="0" xr:uid="{00000000-0006-0000-0300-000009000000}">
      <text>
        <r>
          <rPr>
            <b/>
            <sz val="9"/>
            <color indexed="81"/>
            <rFont val="Tahoma"/>
            <family val="2"/>
          </rPr>
          <t>U.S. EPA User or Contractor:</t>
        </r>
        <r>
          <rPr>
            <sz val="9"/>
            <color indexed="81"/>
            <rFont val="Tahoma"/>
            <family val="2"/>
          </rPr>
          <t xml:space="preserve">
Sample was collected from passive trap and was immediately replaced with active trap. Sample time was not recorded, so in place, 15 minutes were subtracted off of logger time to estimate start time.
-KB 10/2/2015</t>
        </r>
      </text>
    </comment>
    <comment ref="G841" authorId="0" shapeId="0" xr:uid="{00000000-0006-0000-0300-00000A000000}">
      <text>
        <r>
          <rPr>
            <b/>
            <sz val="9"/>
            <color indexed="81"/>
            <rFont val="Tahoma"/>
            <family val="2"/>
          </rPr>
          <t>U.S. EPA User or Contractor:</t>
        </r>
        <r>
          <rPr>
            <sz val="9"/>
            <color indexed="81"/>
            <rFont val="Tahoma"/>
            <family val="2"/>
          </rPr>
          <t xml:space="preserve">
Exetainer code repeated on 2015-09-13 EEB.  Can't resolved conflict.  Might be best to omit this rep from analyis.
-JB 12/03/15</t>
        </r>
      </text>
    </comment>
    <comment ref="G842" authorId="0" shapeId="0" xr:uid="{00000000-0006-0000-0300-00000B000000}">
      <text>
        <r>
          <rPr>
            <b/>
            <sz val="9"/>
            <color indexed="81"/>
            <rFont val="Tahoma"/>
            <family val="2"/>
          </rPr>
          <t>U.S. EPA User or Contractor:</t>
        </r>
        <r>
          <rPr>
            <sz val="9"/>
            <color indexed="81"/>
            <rFont val="Tahoma"/>
            <family val="2"/>
          </rPr>
          <t xml:space="preserve">
Exetainer code repeated on 2015-09-13 EEB.  Can't resolve conflict.  Might be best to omit this rep from analysis.
-JB 12/03/15</t>
        </r>
      </text>
    </comment>
    <comment ref="G843" authorId="0" shapeId="0" xr:uid="{00000000-0006-0000-0300-00000C000000}">
      <text>
        <r>
          <rPr>
            <b/>
            <sz val="9"/>
            <color indexed="81"/>
            <rFont val="Tahoma"/>
            <family val="2"/>
          </rPr>
          <t>U.S. EPA User or Contractor:</t>
        </r>
        <r>
          <rPr>
            <sz val="9"/>
            <color indexed="81"/>
            <rFont val="Tahoma"/>
            <family val="2"/>
          </rPr>
          <t xml:space="preserve">
Exetainer code repeated on 2015-09-13 EEB.  Can't resolve conflict.  Might be best to omit this rep from analysis.
-JB 12/03/15</t>
        </r>
      </text>
    </comment>
    <comment ref="B845" authorId="0" shapeId="0" xr:uid="{00000000-0006-0000-0300-00000D000000}">
      <text>
        <r>
          <rPr>
            <b/>
            <sz val="9"/>
            <color indexed="81"/>
            <rFont val="Tahoma"/>
            <family val="2"/>
          </rPr>
          <t>U.S. EPA User or Contractor:</t>
        </r>
        <r>
          <rPr>
            <sz val="9"/>
            <color indexed="81"/>
            <rFont val="Tahoma"/>
            <family val="2"/>
          </rPr>
          <t xml:space="preserve">
Sample was collected from passive trap and was immediately replaced with active trap. Sample time was not recorded, so in place, 15 minutes were subtracted off of logger time to estimate start time.
-KB 10/2/2015</t>
        </r>
      </text>
    </comment>
    <comment ref="B846" authorId="0" shapeId="0" xr:uid="{00000000-0006-0000-0300-00000E000000}">
      <text>
        <r>
          <rPr>
            <b/>
            <sz val="9"/>
            <color indexed="81"/>
            <rFont val="Tahoma"/>
            <family val="2"/>
          </rPr>
          <t>U.S. EPA User or Contractor:</t>
        </r>
        <r>
          <rPr>
            <sz val="9"/>
            <color indexed="81"/>
            <rFont val="Tahoma"/>
            <family val="2"/>
          </rPr>
          <t xml:space="preserve">
Sample was collected from passive trap and was immediately replaced with active trap. Sample time was not recorded, so in place, 15 minutes were subtracted off of logger time to estimate start time.
-KB 10/2/2015</t>
        </r>
      </text>
    </comment>
    <comment ref="B847" authorId="0" shapeId="0" xr:uid="{00000000-0006-0000-0300-00000F000000}">
      <text>
        <r>
          <rPr>
            <b/>
            <sz val="9"/>
            <color indexed="81"/>
            <rFont val="Tahoma"/>
            <family val="2"/>
          </rPr>
          <t>U.S. EPA User or Contractor:</t>
        </r>
        <r>
          <rPr>
            <sz val="9"/>
            <color indexed="81"/>
            <rFont val="Tahoma"/>
            <family val="2"/>
          </rPr>
          <t xml:space="preserve">
Sample was collected from passive trap and was immediately replaced with active trap. Sample time was not recorded, so in place, 15 minutes were subtracted off of logger time to estimate start time.
-KB 10/2/2015</t>
        </r>
      </text>
    </comment>
    <comment ref="G1001" authorId="0" shapeId="0" xr:uid="{00000000-0006-0000-0300-000010000000}">
      <text>
        <r>
          <rPr>
            <b/>
            <sz val="9"/>
            <color indexed="81"/>
            <rFont val="Tahoma"/>
            <family val="2"/>
          </rPr>
          <t>U.S. EPA User or Contractor:</t>
        </r>
        <r>
          <rPr>
            <sz val="9"/>
            <color indexed="81"/>
            <rFont val="Tahoma"/>
            <family val="2"/>
          </rPr>
          <t xml:space="preserve">
Trap was found on the lake shore with head unit broken off. No gas collected.</t>
        </r>
      </text>
    </comment>
    <comment ref="G1002" authorId="0" shapeId="0" xr:uid="{00000000-0006-0000-0300-000011000000}">
      <text>
        <r>
          <rPr>
            <b/>
            <sz val="9"/>
            <color indexed="81"/>
            <rFont val="Tahoma"/>
            <family val="2"/>
          </rPr>
          <t>U.S. EPA User or Contractor:</t>
        </r>
        <r>
          <rPr>
            <sz val="9"/>
            <color indexed="81"/>
            <rFont val="Tahoma"/>
            <family val="2"/>
          </rPr>
          <t xml:space="preserve">
Trap was found on the lake shore with head unit broken off. No gas collected.</t>
        </r>
      </text>
    </comment>
    <comment ref="G1003" authorId="0" shapeId="0" xr:uid="{00000000-0006-0000-0300-000012000000}">
      <text>
        <r>
          <rPr>
            <b/>
            <sz val="9"/>
            <color indexed="81"/>
            <rFont val="Tahoma"/>
            <family val="2"/>
          </rPr>
          <t>U.S. EPA User or Contractor:</t>
        </r>
        <r>
          <rPr>
            <sz val="9"/>
            <color indexed="81"/>
            <rFont val="Tahoma"/>
            <family val="2"/>
          </rPr>
          <t xml:space="preserve">
Trap was found on the lake shore with head unit broken off. No gas collected.</t>
        </r>
      </text>
    </comment>
    <comment ref="G1278" authorId="0" shapeId="0" xr:uid="{00000000-0006-0000-0300-000013000000}">
      <text>
        <r>
          <rPr>
            <b/>
            <sz val="9"/>
            <color indexed="81"/>
            <rFont val="Tahoma"/>
            <family val="2"/>
          </rPr>
          <t>U.S. EPA User or Contractor:</t>
        </r>
        <r>
          <rPr>
            <sz val="9"/>
            <color indexed="81"/>
            <rFont val="Tahoma"/>
            <family val="2"/>
          </rPr>
          <t xml:space="preserve">
6 mL Exetainers</t>
        </r>
      </text>
    </comment>
    <comment ref="G1279" authorId="0" shapeId="0" xr:uid="{00000000-0006-0000-0300-000014000000}">
      <text>
        <r>
          <rPr>
            <b/>
            <sz val="9"/>
            <color indexed="81"/>
            <rFont val="Tahoma"/>
            <family val="2"/>
          </rPr>
          <t>U.S. EPA User or Contractor:</t>
        </r>
        <r>
          <rPr>
            <sz val="9"/>
            <color indexed="81"/>
            <rFont val="Tahoma"/>
            <family val="2"/>
          </rPr>
          <t xml:space="preserve">
6 mL Exetainers</t>
        </r>
      </text>
    </comment>
    <comment ref="G1289" authorId="0" shapeId="0" xr:uid="{00000000-0006-0000-0300-000015000000}">
      <text>
        <r>
          <rPr>
            <b/>
            <sz val="9"/>
            <color indexed="81"/>
            <rFont val="Tahoma"/>
            <family val="2"/>
          </rPr>
          <t xml:space="preserve">U.S. EPA User or Contractor:
</t>
        </r>
        <r>
          <rPr>
            <sz val="9"/>
            <color indexed="81"/>
            <rFont val="Tahoma"/>
            <family val="2"/>
          </rPr>
          <t>JB 11/17/15
Has 3 exetainer codes but volumes for those 3 were not recorded.  Will assume 29, 30, and 30mL based on volumes collected at other sites on same day.</t>
        </r>
      </text>
    </comment>
    <comment ref="G1290" authorId="0" shapeId="0" xr:uid="{00000000-0006-0000-0300-000016000000}">
      <text>
        <r>
          <rPr>
            <b/>
            <sz val="9"/>
            <color indexed="81"/>
            <rFont val="Tahoma"/>
            <family val="2"/>
          </rPr>
          <t xml:space="preserve">U.S. EPA User or Contractor:
</t>
        </r>
        <r>
          <rPr>
            <sz val="9"/>
            <color indexed="81"/>
            <rFont val="Tahoma"/>
            <family val="2"/>
          </rPr>
          <t>JB 11/17/15
Has 3 exetainer codes but volumes for those 3 were not recorded.  Will assume 29, 30, and 30mL based on volumes collected at other sites on same day.</t>
        </r>
      </text>
    </comment>
    <comment ref="G1291" authorId="0" shapeId="0" xr:uid="{00000000-0006-0000-0300-000017000000}">
      <text>
        <r>
          <rPr>
            <b/>
            <sz val="9"/>
            <color indexed="81"/>
            <rFont val="Tahoma"/>
            <family val="2"/>
          </rPr>
          <t xml:space="preserve">U.S. EPA User or Contractor:
</t>
        </r>
        <r>
          <rPr>
            <sz val="9"/>
            <color indexed="81"/>
            <rFont val="Tahoma"/>
            <family val="2"/>
          </rPr>
          <t>JB 11/17/15
Has 3 exetainer codes but volumes for those 3 were not recorded.  Will assume 29, 30, and 30mL based on volumes collected at other sites on same day.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Beaulieu, Jake</author>
  </authors>
  <commentList>
    <comment ref="E1" authorId="0" shapeId="0" xr:uid="{00000000-0006-0000-0400-000001000000}">
      <text>
        <r>
          <rPr>
            <b/>
            <sz val="9"/>
            <color indexed="81"/>
            <rFont val="Tahoma"/>
            <charset val="1"/>
          </rPr>
          <t>Beaulieu, Jake:</t>
        </r>
        <r>
          <rPr>
            <sz val="9"/>
            <color indexed="81"/>
            <rFont val="Tahoma"/>
            <charset val="1"/>
          </rPr>
          <t xml:space="preserve">
</t>
        </r>
        <r>
          <rPr>
            <b/>
            <sz val="9"/>
            <color indexed="81"/>
            <rFont val="Tahoma"/>
            <family val="2"/>
          </rPr>
          <t>initial</t>
        </r>
        <r>
          <rPr>
            <sz val="9"/>
            <color indexed="81"/>
            <rFont val="Tahoma"/>
            <charset val="1"/>
          </rPr>
          <t xml:space="preserve"> = sample collected immediately after gas was injected into trap.
</t>
        </r>
        <r>
          <rPr>
            <b/>
            <sz val="9"/>
            <color indexed="81"/>
            <rFont val="Tahoma"/>
            <family val="2"/>
          </rPr>
          <t>final</t>
        </r>
        <r>
          <rPr>
            <sz val="9"/>
            <color indexed="81"/>
            <rFont val="Tahoma"/>
            <charset val="1"/>
          </rPr>
          <t xml:space="preserve"> = sample collected after incubating in trap for one week.</t>
        </r>
      </text>
    </comment>
    <comment ref="E44" authorId="0" shapeId="0" xr:uid="{00000000-0006-0000-0400-000002000000}">
      <text>
        <r>
          <rPr>
            <b/>
            <sz val="9"/>
            <color indexed="81"/>
            <rFont val="Tahoma"/>
            <charset val="1"/>
          </rPr>
          <t xml:space="preserve">Beaulieu, Jake:
</t>
        </r>
        <r>
          <rPr>
            <sz val="9"/>
            <color indexed="81"/>
            <rFont val="Tahoma"/>
            <family val="2"/>
          </rPr>
          <t>Gas that was injected on 11/05/15 was sampled, but no new gas injected, therefore no "initial" samples from this day.  Too windy.</t>
        </r>
      </text>
    </comment>
    <comment ref="E45" authorId="0" shapeId="0" xr:uid="{00000000-0006-0000-0400-000003000000}">
      <text>
        <r>
          <rPr>
            <b/>
            <sz val="9"/>
            <color indexed="81"/>
            <rFont val="Tahoma"/>
            <charset val="1"/>
          </rPr>
          <t xml:space="preserve">Beaulieu, Jake:
</t>
        </r>
        <r>
          <rPr>
            <sz val="9"/>
            <color indexed="81"/>
            <rFont val="Tahoma"/>
            <family val="2"/>
          </rPr>
          <t>Gas that was injected on 11/05/15 was sampled, but no new gas injected, therefore no "initial" samples from this day.  Too windy.</t>
        </r>
      </text>
    </comment>
    <comment ref="E46" authorId="0" shapeId="0" xr:uid="{00000000-0006-0000-0400-000004000000}">
      <text>
        <r>
          <rPr>
            <b/>
            <sz val="9"/>
            <color indexed="81"/>
            <rFont val="Tahoma"/>
            <charset val="1"/>
          </rPr>
          <t xml:space="preserve">Beaulieu, Jake:
</t>
        </r>
        <r>
          <rPr>
            <sz val="9"/>
            <color indexed="81"/>
            <rFont val="Tahoma"/>
            <family val="2"/>
          </rPr>
          <t>Gas that was injected on 11/05/15 was sampled, but no new gas injected, therefore no "initial" samples from this day.  Too windy.</t>
        </r>
      </text>
    </comment>
    <comment ref="E47" authorId="0" shapeId="0" xr:uid="{00000000-0006-0000-0400-000005000000}">
      <text>
        <r>
          <rPr>
            <b/>
            <sz val="9"/>
            <color indexed="81"/>
            <rFont val="Tahoma"/>
            <charset val="1"/>
          </rPr>
          <t xml:space="preserve">Beaulieu, Jake:
</t>
        </r>
        <r>
          <rPr>
            <sz val="9"/>
            <color indexed="81"/>
            <rFont val="Tahoma"/>
            <family val="2"/>
          </rPr>
          <t>Gas that was injected on 11/05/15 was sampled, but no new gas injected, therefore no "initial" samples from this day.  Too windy.</t>
        </r>
      </text>
    </comment>
    <comment ref="E48" authorId="0" shapeId="0" xr:uid="{00000000-0006-0000-0400-000006000000}">
      <text>
        <r>
          <rPr>
            <b/>
            <sz val="9"/>
            <color indexed="81"/>
            <rFont val="Tahoma"/>
            <charset val="1"/>
          </rPr>
          <t xml:space="preserve">Beaulieu, Jake:
</t>
        </r>
        <r>
          <rPr>
            <sz val="9"/>
            <color indexed="81"/>
            <rFont val="Tahoma"/>
            <family val="2"/>
          </rPr>
          <t>Gas that was injected on 11/05/15 was sampled, but no new gas injected, therefore no "initial" samples from this day.  Too windy.</t>
        </r>
      </text>
    </comment>
    <comment ref="E49" authorId="0" shapeId="0" xr:uid="{00000000-0006-0000-0400-000007000000}">
      <text>
        <r>
          <rPr>
            <b/>
            <sz val="9"/>
            <color indexed="81"/>
            <rFont val="Tahoma"/>
            <charset val="1"/>
          </rPr>
          <t xml:space="preserve">Beaulieu, Jake:
</t>
        </r>
        <r>
          <rPr>
            <sz val="9"/>
            <color indexed="81"/>
            <rFont val="Tahoma"/>
            <family val="2"/>
          </rPr>
          <t>Gas that was injected on 11/05/15 was sampled, but no new gas injected, therefore no "initial" samples from this day.  Too windy.</t>
        </r>
      </text>
    </comment>
    <comment ref="E50" authorId="0" shapeId="0" xr:uid="{00000000-0006-0000-0400-000008000000}">
      <text>
        <r>
          <rPr>
            <b/>
            <sz val="9"/>
            <color indexed="81"/>
            <rFont val="Tahoma"/>
            <family val="2"/>
          </rPr>
          <t>Beaulieu, Jake:</t>
        </r>
        <r>
          <rPr>
            <sz val="9"/>
            <color indexed="81"/>
            <rFont val="Tahoma"/>
            <family val="2"/>
          </rPr>
          <t xml:space="preserve">
No gas injected on previous visit (11/12/15, too windy), therefore only "initial" samples on this day.
However, 1/2" trap did have ~25mL of gas.  Don't know where it came from, but injected into Exetainer #1397 for analysis.  Probably won't do anything for this.</t>
        </r>
      </text>
    </comment>
    <comment ref="E51" authorId="0" shapeId="0" xr:uid="{00000000-0006-0000-0400-000009000000}">
      <text>
        <r>
          <rPr>
            <b/>
            <sz val="9"/>
            <color indexed="81"/>
            <rFont val="Tahoma"/>
            <family val="2"/>
          </rPr>
          <t>Beaulieu, Jake:</t>
        </r>
        <r>
          <rPr>
            <sz val="9"/>
            <color indexed="81"/>
            <rFont val="Tahoma"/>
            <family val="2"/>
          </rPr>
          <t xml:space="preserve">
No gas injected on previous visit (11/12/15, too windy), therefore only "initial" samples on this day.
However, 1/2" trap did have ~25mL of gas.  Don't know where it came from, but injected into Exetainer #1397 for analysis.  Probably won't do anything for this.</t>
        </r>
      </text>
    </comment>
    <comment ref="E52" authorId="0" shapeId="0" xr:uid="{00000000-0006-0000-0400-00000A000000}">
      <text>
        <r>
          <rPr>
            <b/>
            <sz val="9"/>
            <color indexed="81"/>
            <rFont val="Tahoma"/>
            <family val="2"/>
          </rPr>
          <t>Beaulieu, Jake:</t>
        </r>
        <r>
          <rPr>
            <sz val="9"/>
            <color indexed="81"/>
            <rFont val="Tahoma"/>
            <family val="2"/>
          </rPr>
          <t xml:space="preserve">
No gas injected on previous visit (11/12/15, too windy), therefore only "initial" samples on this day.
However, 1/2" trap did have ~25mL of gas.  Don't know where it came from, but injected into Exetainer #1397 for analysis.  Probably won't do anything for this.</t>
        </r>
      </text>
    </comment>
    <comment ref="E53" authorId="0" shapeId="0" xr:uid="{00000000-0006-0000-0400-00000B000000}">
      <text>
        <r>
          <rPr>
            <b/>
            <sz val="9"/>
            <color indexed="81"/>
            <rFont val="Tahoma"/>
            <family val="2"/>
          </rPr>
          <t>Beaulieu, Jake:</t>
        </r>
        <r>
          <rPr>
            <sz val="9"/>
            <color indexed="81"/>
            <rFont val="Tahoma"/>
            <family val="2"/>
          </rPr>
          <t xml:space="preserve">
No gas injected on previous visit (11/12/15, too windy), therefore only "initial" samples on this day.
However, 1/2" trap did have ~25mL of gas.  Don't know where it came from, but injected into Exetainer #1397 for analysis.  Probably won't do anything for this.</t>
        </r>
      </text>
    </comment>
    <comment ref="E54" authorId="0" shapeId="0" xr:uid="{00000000-0006-0000-0400-00000C000000}">
      <text>
        <r>
          <rPr>
            <b/>
            <sz val="9"/>
            <color indexed="81"/>
            <rFont val="Tahoma"/>
            <family val="2"/>
          </rPr>
          <t>Beaulieu, Jake:</t>
        </r>
        <r>
          <rPr>
            <sz val="9"/>
            <color indexed="81"/>
            <rFont val="Tahoma"/>
            <family val="2"/>
          </rPr>
          <t xml:space="preserve">
No gas injected on previous visit (11/12/15, too windy), therefore only "initial" samples on this day.
However, 1/2" trap did have ~25mL of gas.  Don't know where it came from, but injected into Exetainer #1397 for analysis.  Probably won't do anything for this.</t>
        </r>
      </text>
    </comment>
    <comment ref="E55" authorId="0" shapeId="0" xr:uid="{00000000-0006-0000-0400-00000D000000}">
      <text>
        <r>
          <rPr>
            <b/>
            <sz val="9"/>
            <color indexed="81"/>
            <rFont val="Tahoma"/>
            <family val="2"/>
          </rPr>
          <t>Beaulieu, Jake:</t>
        </r>
        <r>
          <rPr>
            <sz val="9"/>
            <color indexed="81"/>
            <rFont val="Tahoma"/>
            <family val="2"/>
          </rPr>
          <t xml:space="preserve">
No gas injected on previous visit (11/12/15, too windy), therefore only "initial" samples on this day.
However, 1/2" trap did have ~25mL of gas.  Don't know where it came from, but injected into Exetainer #1397 for analysis.  Probably won't do anything for this.</t>
        </r>
      </text>
    </comment>
  </commentList>
</comments>
</file>

<file path=xl/sharedStrings.xml><?xml version="1.0" encoding="utf-8"?>
<sst xmlns="http://schemas.openxmlformats.org/spreadsheetml/2006/main" count="13613" uniqueCount="2396">
  <si>
    <t>Master Data Sheet</t>
  </si>
  <si>
    <t>Site</t>
  </si>
  <si>
    <t>Lake</t>
  </si>
  <si>
    <t>CJ Brown</t>
  </si>
  <si>
    <t>P3</t>
  </si>
  <si>
    <t>P4</t>
  </si>
  <si>
    <t>Exetainer Code</t>
  </si>
  <si>
    <t>Depth.ft</t>
  </si>
  <si>
    <t>Harsha</t>
  </si>
  <si>
    <t>EUS3</t>
  </si>
  <si>
    <t>trap</t>
  </si>
  <si>
    <t>0007</t>
  </si>
  <si>
    <t>0008</t>
  </si>
  <si>
    <t>0009</t>
  </si>
  <si>
    <t>EUS</t>
  </si>
  <si>
    <t>0004</t>
  </si>
  <si>
    <t>0005</t>
  </si>
  <si>
    <t>0006</t>
  </si>
  <si>
    <t>EUS2</t>
  </si>
  <si>
    <t>0001</t>
  </si>
  <si>
    <t>0002</t>
  </si>
  <si>
    <t>0003</t>
  </si>
  <si>
    <t>0010</t>
  </si>
  <si>
    <t>0011</t>
  </si>
  <si>
    <t>0012</t>
  </si>
  <si>
    <t>ECP</t>
  </si>
  <si>
    <t>EEB</t>
  </si>
  <si>
    <t>0014</t>
  </si>
  <si>
    <t>0015</t>
  </si>
  <si>
    <t>0016</t>
  </si>
  <si>
    <t>0013</t>
  </si>
  <si>
    <t>0017</t>
  </si>
  <si>
    <t>0018</t>
  </si>
  <si>
    <t>0019</t>
  </si>
  <si>
    <t>0020</t>
  </si>
  <si>
    <t>0021</t>
  </si>
  <si>
    <t>0022</t>
  </si>
  <si>
    <t>0023</t>
  </si>
  <si>
    <t>0024</t>
  </si>
  <si>
    <t>0025</t>
  </si>
  <si>
    <t>0026</t>
  </si>
  <si>
    <t>0027</t>
  </si>
  <si>
    <t>0028</t>
  </si>
  <si>
    <t>0032</t>
  </si>
  <si>
    <t>0033</t>
  </si>
  <si>
    <t>0034</t>
  </si>
  <si>
    <t>0035</t>
  </si>
  <si>
    <t>0036</t>
  </si>
  <si>
    <t>0037</t>
  </si>
  <si>
    <t>0038</t>
  </si>
  <si>
    <t>0039</t>
  </si>
  <si>
    <t>0040</t>
  </si>
  <si>
    <t>0041</t>
  </si>
  <si>
    <t>0042</t>
  </si>
  <si>
    <t>0043</t>
  </si>
  <si>
    <t>0044</t>
  </si>
  <si>
    <t>0045</t>
  </si>
  <si>
    <t>0046</t>
  </si>
  <si>
    <t>0047</t>
  </si>
  <si>
    <t>0048</t>
  </si>
  <si>
    <t>EOF</t>
  </si>
  <si>
    <t>0049</t>
  </si>
  <si>
    <t>0050</t>
  </si>
  <si>
    <t>0051</t>
  </si>
  <si>
    <t>EFL</t>
  </si>
  <si>
    <t>0052</t>
  </si>
  <si>
    <t>0053</t>
  </si>
  <si>
    <t>0054</t>
  </si>
  <si>
    <t>0055</t>
  </si>
  <si>
    <t>EMB</t>
  </si>
  <si>
    <t>0078</t>
  </si>
  <si>
    <t>0056</t>
  </si>
  <si>
    <t>0057</t>
  </si>
  <si>
    <t>0058</t>
  </si>
  <si>
    <t>dg</t>
  </si>
  <si>
    <t>deep</t>
  </si>
  <si>
    <t>0063</t>
  </si>
  <si>
    <t>0062</t>
  </si>
  <si>
    <t>air</t>
  </si>
  <si>
    <t>0059</t>
  </si>
  <si>
    <t>0060</t>
  </si>
  <si>
    <t>0061</t>
  </si>
  <si>
    <t>shallow</t>
  </si>
  <si>
    <t>0076</t>
  </si>
  <si>
    <t>0077</t>
  </si>
  <si>
    <t>0073</t>
  </si>
  <si>
    <t>0074</t>
  </si>
  <si>
    <t>0075</t>
  </si>
  <si>
    <t>0064</t>
  </si>
  <si>
    <t>0065</t>
  </si>
  <si>
    <t>0066</t>
  </si>
  <si>
    <t>0067</t>
  </si>
  <si>
    <t>0068</t>
  </si>
  <si>
    <t>0069</t>
  </si>
  <si>
    <t>0070</t>
  </si>
  <si>
    <t>0071</t>
  </si>
  <si>
    <t>0072</t>
  </si>
  <si>
    <t>TRAP</t>
  </si>
  <si>
    <t>Temp.C</t>
  </si>
  <si>
    <t>sp.Cond.us/cm</t>
  </si>
  <si>
    <t>pH</t>
  </si>
  <si>
    <t>ORP</t>
  </si>
  <si>
    <t>AIR</t>
  </si>
  <si>
    <t>BP.mmHg</t>
  </si>
  <si>
    <t xml:space="preserve">Harsha </t>
  </si>
  <si>
    <t>NA</t>
  </si>
  <si>
    <t>12</t>
  </si>
  <si>
    <t>10</t>
  </si>
  <si>
    <t>33</t>
  </si>
  <si>
    <t>40</t>
  </si>
  <si>
    <t>102</t>
  </si>
  <si>
    <t>44</t>
  </si>
  <si>
    <t>74</t>
  </si>
  <si>
    <t>Turbidity.nt</t>
  </si>
  <si>
    <t>32</t>
  </si>
  <si>
    <t>DO.percent</t>
  </si>
  <si>
    <t>DO.mg/L</t>
  </si>
  <si>
    <t>Normalized Volume.mL</t>
  </si>
  <si>
    <t>Max Calculated Volume.mL</t>
  </si>
  <si>
    <t>P1</t>
  </si>
  <si>
    <t>38</t>
  </si>
  <si>
    <t>0088</t>
  </si>
  <si>
    <t>0089</t>
  </si>
  <si>
    <t>0090</t>
  </si>
  <si>
    <t>0091</t>
  </si>
  <si>
    <t>0092</t>
  </si>
  <si>
    <t>0093</t>
  </si>
  <si>
    <t>0094</t>
  </si>
  <si>
    <t>0095</t>
  </si>
  <si>
    <t>0096</t>
  </si>
  <si>
    <t>0097</t>
  </si>
  <si>
    <t>0098</t>
  </si>
  <si>
    <t>24</t>
  </si>
  <si>
    <t>Sample Type</t>
  </si>
  <si>
    <t xml:space="preserve">Exetainer Codes </t>
  </si>
  <si>
    <t>EUS 3</t>
  </si>
  <si>
    <t xml:space="preserve">trap </t>
  </si>
  <si>
    <t>0082</t>
  </si>
  <si>
    <t>0083</t>
  </si>
  <si>
    <t>0084</t>
  </si>
  <si>
    <t>0099</t>
  </si>
  <si>
    <t>0100</t>
  </si>
  <si>
    <t>0101</t>
  </si>
  <si>
    <t>Sample Date</t>
  </si>
  <si>
    <t xml:space="preserve">air </t>
  </si>
  <si>
    <t>0102</t>
  </si>
  <si>
    <t>0103</t>
  </si>
  <si>
    <t>0104</t>
  </si>
  <si>
    <t>0080</t>
  </si>
  <si>
    <t>0079</t>
  </si>
  <si>
    <t>0107</t>
  </si>
  <si>
    <t>0108</t>
  </si>
  <si>
    <t>0109</t>
  </si>
  <si>
    <t xml:space="preserve">EUS </t>
  </si>
  <si>
    <t>0115</t>
  </si>
  <si>
    <t>0116</t>
  </si>
  <si>
    <t>0117</t>
  </si>
  <si>
    <t>EUS 2</t>
  </si>
  <si>
    <t>0120</t>
  </si>
  <si>
    <t>0121</t>
  </si>
  <si>
    <t>0122</t>
  </si>
  <si>
    <t>0125</t>
  </si>
  <si>
    <t>0126</t>
  </si>
  <si>
    <t>0127</t>
  </si>
  <si>
    <t>0133</t>
  </si>
  <si>
    <t>0134</t>
  </si>
  <si>
    <t>0135</t>
  </si>
  <si>
    <t>ENN</t>
  </si>
  <si>
    <t>0138</t>
  </si>
  <si>
    <t>0139</t>
  </si>
  <si>
    <t>0140</t>
  </si>
  <si>
    <t>0113</t>
  </si>
  <si>
    <t>0112</t>
  </si>
  <si>
    <t>0114</t>
  </si>
  <si>
    <t>0118</t>
  </si>
  <si>
    <t>0119</t>
  </si>
  <si>
    <t>0123</t>
  </si>
  <si>
    <t>0124</t>
  </si>
  <si>
    <t>0128</t>
  </si>
  <si>
    <t>0129</t>
  </si>
  <si>
    <t>0136</t>
  </si>
  <si>
    <t>0137</t>
  </si>
  <si>
    <t>0141</t>
  </si>
  <si>
    <t>0142</t>
  </si>
  <si>
    <t>0110</t>
  </si>
  <si>
    <t>0111</t>
  </si>
  <si>
    <t>0130</t>
  </si>
  <si>
    <t>0131</t>
  </si>
  <si>
    <t>0132</t>
  </si>
  <si>
    <t>0158</t>
  </si>
  <si>
    <t>0159</t>
  </si>
  <si>
    <t>0160</t>
  </si>
  <si>
    <t>0164</t>
  </si>
  <si>
    <t>0165</t>
  </si>
  <si>
    <t>0166</t>
  </si>
  <si>
    <t>0169</t>
  </si>
  <si>
    <t>0170</t>
  </si>
  <si>
    <t>0171</t>
  </si>
  <si>
    <t>0167</t>
  </si>
  <si>
    <t>0168</t>
  </si>
  <si>
    <t>0172</t>
  </si>
  <si>
    <t>0173</t>
  </si>
  <si>
    <t>0161</t>
  </si>
  <si>
    <t>0162</t>
  </si>
  <si>
    <t>0163</t>
  </si>
  <si>
    <t>0146</t>
  </si>
  <si>
    <t>0147</t>
  </si>
  <si>
    <t>0148</t>
  </si>
  <si>
    <t>0149</t>
  </si>
  <si>
    <t>0150</t>
  </si>
  <si>
    <t>0151</t>
  </si>
  <si>
    <t>0152</t>
  </si>
  <si>
    <t>0153</t>
  </si>
  <si>
    <t>0154</t>
  </si>
  <si>
    <t>0155</t>
  </si>
  <si>
    <t>0156</t>
  </si>
  <si>
    <t>0157</t>
  </si>
  <si>
    <t>Volume Collected.mL</t>
  </si>
  <si>
    <t>Volume Calculated.mL</t>
  </si>
  <si>
    <t>2015-05-06 13:40</t>
  </si>
  <si>
    <t>2015-05-06 13:20</t>
  </si>
  <si>
    <t>2015-05-07 10:37</t>
  </si>
  <si>
    <t>2015-05-07 10:59</t>
  </si>
  <si>
    <t>2015-05-07 11:27</t>
  </si>
  <si>
    <t>2015-05-07 11:59</t>
  </si>
  <si>
    <t>2015-05-07 12:35</t>
  </si>
  <si>
    <t>2015-05-12 11:37</t>
  </si>
  <si>
    <t>2015-05-20 13:00</t>
  </si>
  <si>
    <t>2015-05-20 13:09</t>
  </si>
  <si>
    <t>2015-05-20 14:20</t>
  </si>
  <si>
    <t>2015-05-20 14:37</t>
  </si>
  <si>
    <t>2015-05-20 14:52</t>
  </si>
  <si>
    <t>2015-05-20 15:11</t>
  </si>
  <si>
    <t>2015-05-20 15:32</t>
  </si>
  <si>
    <t>2015-05-20 15:46</t>
  </si>
  <si>
    <t>2015-05-20 15:59</t>
  </si>
  <si>
    <t>2015-05-20 16:17</t>
  </si>
  <si>
    <t>P5</t>
  </si>
  <si>
    <t>2015-06-24</t>
  </si>
  <si>
    <t>2015-05-29 11:44</t>
  </si>
  <si>
    <t>2015-05-29 13:02</t>
  </si>
  <si>
    <t>2015-05-29 13:36</t>
  </si>
  <si>
    <t>2015-06-03 11:59</t>
  </si>
  <si>
    <t>2015-06-03 13:03</t>
  </si>
  <si>
    <t>2015-06-03 13:32</t>
  </si>
  <si>
    <t>2015-06-03 12:54</t>
  </si>
  <si>
    <t>2015-06-03 13:30</t>
  </si>
  <si>
    <t>2015-06-03 13:50</t>
  </si>
  <si>
    <t>2015-06-03 13:58</t>
  </si>
  <si>
    <t>2015-06-03 14:21</t>
  </si>
  <si>
    <t>2015-06-03 14:23</t>
  </si>
  <si>
    <t>2015-06-03 15:06</t>
  </si>
  <si>
    <t>2015-06-03 15:00</t>
  </si>
  <si>
    <t>2015-06-03 15:33</t>
  </si>
  <si>
    <t>2015-06-03 15:39</t>
  </si>
  <si>
    <t>2015-06-03 15:55</t>
  </si>
  <si>
    <t>2015-06-10 11:03</t>
  </si>
  <si>
    <t>2015-06-10 13:22</t>
  </si>
  <si>
    <t>2015-06-10 13:20</t>
  </si>
  <si>
    <t>2015-06-10 13:40</t>
  </si>
  <si>
    <t>2015-06-10 13:46</t>
  </si>
  <si>
    <t>2015-06-10 15:10</t>
  </si>
  <si>
    <t>2015-06-10 15:19</t>
  </si>
  <si>
    <t>2015-06-10 14:18</t>
  </si>
  <si>
    <t>2015-06-10 14:07</t>
  </si>
  <si>
    <t>2015-05-27 14:55</t>
  </si>
  <si>
    <t>2015-05-27 15:42</t>
  </si>
  <si>
    <t>P2</t>
  </si>
  <si>
    <t>2015-05-06 14:02</t>
  </si>
  <si>
    <t>2015-05-06 12:25</t>
  </si>
  <si>
    <t>2015-05-06 14:36</t>
  </si>
  <si>
    <t>2015-05-12 13:25</t>
  </si>
  <si>
    <t>2015-05-12 13:30</t>
  </si>
  <si>
    <t>2015-05-12 12:10</t>
  </si>
  <si>
    <t>2015-05-27 15:00</t>
  </si>
  <si>
    <t>2015-05-27 15:37</t>
  </si>
  <si>
    <t>Sensor Background Voltage</t>
  </si>
  <si>
    <t>2015-05-08 14:13</t>
  </si>
  <si>
    <t>2015-05-08 18:08</t>
  </si>
  <si>
    <t>2015-05-07 19:07</t>
  </si>
  <si>
    <t>2015-05-09 10:17</t>
  </si>
  <si>
    <t>2015-05-10 04:54</t>
  </si>
  <si>
    <t>2015-05-27 16:30</t>
  </si>
  <si>
    <t>2015-05-20 17:19</t>
  </si>
  <si>
    <t>15</t>
  </si>
  <si>
    <t>950</t>
  </si>
  <si>
    <t>748.9</t>
  </si>
  <si>
    <t>14</t>
  </si>
  <si>
    <t>16</t>
  </si>
  <si>
    <t>36</t>
  </si>
  <si>
    <t>605</t>
  </si>
  <si>
    <t>747.1</t>
  </si>
  <si>
    <t>253</t>
  </si>
  <si>
    <t>259</t>
  </si>
  <si>
    <t>2015-06-10 10:12</t>
  </si>
  <si>
    <t>449</t>
  </si>
  <si>
    <t>2015-07-06</t>
  </si>
  <si>
    <t>47</t>
  </si>
  <si>
    <t>72</t>
  </si>
  <si>
    <t>Date.time.Deployment</t>
  </si>
  <si>
    <t>Date.time.LoggerMax</t>
  </si>
  <si>
    <t>Date.time.Retrieval</t>
  </si>
  <si>
    <t>2015-07-06 14:01</t>
  </si>
  <si>
    <t>2015-05-12 13:48</t>
  </si>
  <si>
    <t>2015-05-12 10:24</t>
  </si>
  <si>
    <t>2015-05-12 12:04</t>
  </si>
  <si>
    <t>2015-06-03 11:51</t>
  </si>
  <si>
    <t>2015-06-03 15:49</t>
  </si>
  <si>
    <t>2015-06-10 10:54</t>
  </si>
  <si>
    <t>2015-05-21 01:16</t>
  </si>
  <si>
    <t>2015-05-21 05:27</t>
  </si>
  <si>
    <t>2015-06-24 16:34</t>
  </si>
  <si>
    <t>2015-06-24 12:16</t>
  </si>
  <si>
    <t>2015-07-01 15:02</t>
  </si>
  <si>
    <t>2015-06-12 18:12</t>
  </si>
  <si>
    <t>2015-06-11 21:03</t>
  </si>
  <si>
    <t>2015-07-01 14:23</t>
  </si>
  <si>
    <t>2015-06-24 13:24</t>
  </si>
  <si>
    <t>2015-07-01 13:54</t>
  </si>
  <si>
    <t>2015-06-11 00:38</t>
  </si>
  <si>
    <t>2015-07-01 13:11</t>
  </si>
  <si>
    <t>2015-06-12 09:38</t>
  </si>
  <si>
    <t>2015-07-01 11:43</t>
  </si>
  <si>
    <t>2015-06-11 02:13</t>
  </si>
  <si>
    <t>2015-07-01 10:58</t>
  </si>
  <si>
    <t>2015-06-11 05:50</t>
  </si>
  <si>
    <t>2015-07-03 17:29</t>
  </si>
  <si>
    <t>2015-07-06 15:15</t>
  </si>
  <si>
    <t>2015-06-09 20:01</t>
  </si>
  <si>
    <t>2015-06-05 10:38</t>
  </si>
  <si>
    <t>2015-06-03 14:32</t>
  </si>
  <si>
    <t>2015-06-03 17:48</t>
  </si>
  <si>
    <t>2015-06-03 23:54</t>
  </si>
  <si>
    <t>2015-06-03 05:59</t>
  </si>
  <si>
    <t>2015-05-24 06:25</t>
  </si>
  <si>
    <t>2015-06-24 13:25</t>
  </si>
  <si>
    <t>2015-06-26 05:40</t>
  </si>
  <si>
    <t>2015-07-08 14:40</t>
  </si>
  <si>
    <t>374</t>
  </si>
  <si>
    <t>737.5</t>
  </si>
  <si>
    <t>442</t>
  </si>
  <si>
    <t>467</t>
  </si>
  <si>
    <t>2015-06-24 14:21</t>
  </si>
  <si>
    <t>2015-06-25 21:46</t>
  </si>
  <si>
    <t>2015-07-08 14:06</t>
  </si>
  <si>
    <t>448</t>
  </si>
  <si>
    <t>2015-06-24 16:39</t>
  </si>
  <si>
    <t>23</t>
  </si>
  <si>
    <t>710</t>
  </si>
  <si>
    <t>2015-06-26 17:15</t>
  </si>
  <si>
    <t>2015-07-08 13:55</t>
  </si>
  <si>
    <t>2015-07-01 11:09</t>
  </si>
  <si>
    <t>Longitude</t>
  </si>
  <si>
    <t>2015-08-06 09:20</t>
  </si>
  <si>
    <t>2015-08-12 13:30</t>
  </si>
  <si>
    <t>2015-08-05 12:25</t>
  </si>
  <si>
    <t>2015-08-06 15:07</t>
  </si>
  <si>
    <t>2015-08-05 13:26</t>
  </si>
  <si>
    <t>2015-08-12 12:47</t>
  </si>
  <si>
    <t>2015-08-06 20:17</t>
  </si>
  <si>
    <t>2015-08-12 11:22</t>
  </si>
  <si>
    <t>2015-08-05 14:12</t>
  </si>
  <si>
    <t>2015-08-03 18:49</t>
  </si>
  <si>
    <t>2015-08-11 11:04</t>
  </si>
  <si>
    <t>2015-08-03 11:49</t>
  </si>
  <si>
    <t>2015-08-03 13:43</t>
  </si>
  <si>
    <t>2015-08-11 12:23</t>
  </si>
  <si>
    <t>2015-08-03 13:33</t>
  </si>
  <si>
    <t>2015-08-03 12:51</t>
  </si>
  <si>
    <t>2015-08-03 20:51</t>
  </si>
  <si>
    <t>2015-08-11 11:46</t>
  </si>
  <si>
    <t>2015-08-03 18:43</t>
  </si>
  <si>
    <t>2015-08-03 14:13</t>
  </si>
  <si>
    <t>2015-08-11 13:23</t>
  </si>
  <si>
    <t>2015-08-03 15:02</t>
  </si>
  <si>
    <t>2015-08-03 21:32</t>
  </si>
  <si>
    <t>2015-08-11 14:22</t>
  </si>
  <si>
    <t>2015-08-03 15:28</t>
  </si>
  <si>
    <t>2015-08-04 00:38</t>
  </si>
  <si>
    <t>2015-08-11 13:53</t>
  </si>
  <si>
    <t>2015-07-29 11:47</t>
  </si>
  <si>
    <t>2015-07-31 14:57</t>
  </si>
  <si>
    <t>2015-08-05 12:07</t>
  </si>
  <si>
    <t>2015-07-29 12:43</t>
  </si>
  <si>
    <t>2015-07-31 16:13</t>
  </si>
  <si>
    <t>2015-08-05 13:13</t>
  </si>
  <si>
    <t>2015-07-29 13:16</t>
  </si>
  <si>
    <t>2015-07-30 18:51</t>
  </si>
  <si>
    <t>2015-08-05 14:06</t>
  </si>
  <si>
    <t>2015-07-27 11:50</t>
  </si>
  <si>
    <t>2015-07-27 17:25</t>
  </si>
  <si>
    <t>2015-08-03 11:35</t>
  </si>
  <si>
    <t>2015-07-27 12:54</t>
  </si>
  <si>
    <t>2015-07-27 23:14</t>
  </si>
  <si>
    <t>2015-08-03 12:44</t>
  </si>
  <si>
    <t>2015-07-27 13:31</t>
  </si>
  <si>
    <t>2015-07-27 19:26</t>
  </si>
  <si>
    <t>2015-08-03 13:26</t>
  </si>
  <si>
    <t>2015-07-27 21:57</t>
  </si>
  <si>
    <t>2015-07-27 14:17</t>
  </si>
  <si>
    <t>2015-08-03 15:22</t>
  </si>
  <si>
    <t>2015-07-27 14:52</t>
  </si>
  <si>
    <t>2015-07-27 14:57</t>
  </si>
  <si>
    <t>2015-08-03 14:07</t>
  </si>
  <si>
    <t>2015-07-28 01:20</t>
  </si>
  <si>
    <t>2015-07-27 15:24</t>
  </si>
  <si>
    <t>2015-08-03 14:50</t>
  </si>
  <si>
    <t>2015-07-23 12:21</t>
  </si>
  <si>
    <t>2015-07-24 12:46</t>
  </si>
  <si>
    <t>2015-07-29 13:06</t>
  </si>
  <si>
    <t>2015-07-23 12:59</t>
  </si>
  <si>
    <t>2015-07-24 00:39</t>
  </si>
  <si>
    <t>2015-07-29 12:39</t>
  </si>
  <si>
    <t>2015-07-23 13:44</t>
  </si>
  <si>
    <t>2015-07-24 03:39</t>
  </si>
  <si>
    <t>2015-07-29 11:39</t>
  </si>
  <si>
    <t>2015-07-22 12:35</t>
  </si>
  <si>
    <t>2015-07-22 15:20</t>
  </si>
  <si>
    <t>2015-07-27 11:40</t>
  </si>
  <si>
    <t>2015-07-22 13:07</t>
  </si>
  <si>
    <t>2015-07-23 03:57</t>
  </si>
  <si>
    <t>2015-07-27 12:47</t>
  </si>
  <si>
    <t>2015-07-22 13:36</t>
  </si>
  <si>
    <t>2015-07-22 16:26</t>
  </si>
  <si>
    <t>2015-07-27 13:26</t>
  </si>
  <si>
    <t>2015-07-22 22:26</t>
  </si>
  <si>
    <t>2015-07-22 14:11</t>
  </si>
  <si>
    <t>2015-07-27 15:11</t>
  </si>
  <si>
    <t>2015-07-22 14:35</t>
  </si>
  <si>
    <t>2015-07-23 01:35</t>
  </si>
  <si>
    <t>2015-07-27 14:45</t>
  </si>
  <si>
    <t>2015-07-22 15:05</t>
  </si>
  <si>
    <t>2015-07-22 22:40</t>
  </si>
  <si>
    <t>2015-07-27 14:10</t>
  </si>
  <si>
    <t>2015-07-16 11:55</t>
  </si>
  <si>
    <t>2015-07-16 20:00</t>
  </si>
  <si>
    <t>2015-07-22 13:30</t>
  </si>
  <si>
    <t>2015-07-16 13:33</t>
  </si>
  <si>
    <t>2015-07-18 20:23</t>
  </si>
  <si>
    <t>2015-07-23 12:13</t>
  </si>
  <si>
    <t>2015-07-16 14:42</t>
  </si>
  <si>
    <t>2015-07-15 12:00</t>
  </si>
  <si>
    <t>2015-07-22 13:00</t>
  </si>
  <si>
    <t>2015-07-15 13:19</t>
  </si>
  <si>
    <t>2015-07-16 15:59</t>
  </si>
  <si>
    <t>2015-07-22 14:59</t>
  </si>
  <si>
    <t>2015-07-15 15:26</t>
  </si>
  <si>
    <t>2015-07-18 07:07</t>
  </si>
  <si>
    <t>2015-07-23 12:57</t>
  </si>
  <si>
    <t>2015-07-15 14:15</t>
  </si>
  <si>
    <t>2015-07-17 01:20</t>
  </si>
  <si>
    <t>2015-07-22 14:30</t>
  </si>
  <si>
    <t>2015-07-06 14:20</t>
  </si>
  <si>
    <t>2015-07-08 11:35</t>
  </si>
  <si>
    <t>2015-07-16 14:40</t>
  </si>
  <si>
    <t>2015-07-06 15:55</t>
  </si>
  <si>
    <t>2015-07-11 01:40</t>
  </si>
  <si>
    <t>2015-07-15 15:20</t>
  </si>
  <si>
    <t>2015-07-06 15:20</t>
  </si>
  <si>
    <t>2015-07-16 13:26</t>
  </si>
  <si>
    <t>2015-07-01 17:44</t>
  </si>
  <si>
    <t>2015-07-22 12:24</t>
  </si>
  <si>
    <t>2015-07-01 11:51</t>
  </si>
  <si>
    <t>2015-07-02 11:06</t>
  </si>
  <si>
    <t>2015-07-15 11:06</t>
  </si>
  <si>
    <t>2015-07-01 13:17</t>
  </si>
  <si>
    <t>2015-07-02 14:42</t>
  </si>
  <si>
    <t>2015-07-16 11:47</t>
  </si>
  <si>
    <t>2015-07-01 15:06</t>
  </si>
  <si>
    <t>2015-07-02 07:26</t>
  </si>
  <si>
    <t>2015-07-15 13:11</t>
  </si>
  <si>
    <t>2015-07-01 14:32</t>
  </si>
  <si>
    <t>2015-07-02 05:22</t>
  </si>
  <si>
    <t>2015-07-22 14:02</t>
  </si>
  <si>
    <t>2015-07-01 13:58</t>
  </si>
  <si>
    <t>2015-07-02 16:58</t>
  </si>
  <si>
    <t>2015-07-15 14:08</t>
  </si>
  <si>
    <t>2015-08-12 14:43</t>
  </si>
  <si>
    <t>2015-08-17 14:18</t>
  </si>
  <si>
    <t>2015-08-12 07:01</t>
  </si>
  <si>
    <t>2015-08-17 14:46</t>
  </si>
  <si>
    <t>2015-08-12 05:14</t>
  </si>
  <si>
    <t>2015-08-17 13:54</t>
  </si>
  <si>
    <t>2015-08-11 18:01</t>
  </si>
  <si>
    <t>2015-08-17 12:21</t>
  </si>
  <si>
    <t>2015-08-11 18:33</t>
  </si>
  <si>
    <t>2015-08-17 12:53</t>
  </si>
  <si>
    <t>2015-08-11 17:03</t>
  </si>
  <si>
    <t>2015-08-17 11:38</t>
  </si>
  <si>
    <t>2015-06-02 08:02</t>
  </si>
  <si>
    <t>266</t>
  </si>
  <si>
    <t>196</t>
  </si>
  <si>
    <t>235</t>
  </si>
  <si>
    <t>0.5</t>
  </si>
  <si>
    <t>260</t>
  </si>
  <si>
    <t>210</t>
  </si>
  <si>
    <t>209</t>
  </si>
  <si>
    <t>224</t>
  </si>
  <si>
    <t>429</t>
  </si>
  <si>
    <t>264</t>
  </si>
  <si>
    <t>458</t>
  </si>
  <si>
    <t>279</t>
  </si>
  <si>
    <t>222</t>
  </si>
  <si>
    <t>238</t>
  </si>
  <si>
    <t>216</t>
  </si>
  <si>
    <t>314</t>
  </si>
  <si>
    <t>298</t>
  </si>
  <si>
    <t>241</t>
  </si>
  <si>
    <t>247</t>
  </si>
  <si>
    <t>246</t>
  </si>
  <si>
    <t>344</t>
  </si>
  <si>
    <t>265</t>
  </si>
  <si>
    <t>223</t>
  </si>
  <si>
    <t>42</t>
  </si>
  <si>
    <t>13</t>
  </si>
  <si>
    <t>41</t>
  </si>
  <si>
    <t>31</t>
  </si>
  <si>
    <t>2.49939</t>
  </si>
  <si>
    <t>Height to Volume Conversion</t>
  </si>
  <si>
    <t>Slope from calibration curve (cm/volts)</t>
  </si>
  <si>
    <t>Density of Water (kg/m3)</t>
  </si>
  <si>
    <t>Patm (Pa)</t>
  </si>
  <si>
    <t>g (m/s2)</t>
  </si>
  <si>
    <t>Temp. in Degrees Kelvin</t>
  </si>
  <si>
    <t>Circuit # from data sheet</t>
  </si>
  <si>
    <t>final voltage</t>
  </si>
  <si>
    <t>background voltage</t>
  </si>
  <si>
    <t>0.24237</t>
  </si>
  <si>
    <t>85.802</t>
  </si>
  <si>
    <t>0.26740</t>
  </si>
  <si>
    <t>86.164</t>
  </si>
  <si>
    <t>0.10379</t>
  </si>
  <si>
    <t>83.199</t>
  </si>
  <si>
    <t>0.69475</t>
  </si>
  <si>
    <t>82.486</t>
  </si>
  <si>
    <t>0.68132</t>
  </si>
  <si>
    <t>83.601</t>
  </si>
  <si>
    <t>0.36752</t>
  </si>
  <si>
    <t>82.931</t>
  </si>
  <si>
    <t>0.25214</t>
  </si>
  <si>
    <t>1.28755</t>
  </si>
  <si>
    <t>78.296</t>
  </si>
  <si>
    <t>0.43529</t>
  </si>
  <si>
    <t>81.154</t>
  </si>
  <si>
    <t>0.37790</t>
  </si>
  <si>
    <t>80.227</t>
  </si>
  <si>
    <t>0.36996</t>
  </si>
  <si>
    <t>81.687</t>
  </si>
  <si>
    <t>0.28327</t>
  </si>
  <si>
    <t>82.575</t>
  </si>
  <si>
    <t>0.75824</t>
  </si>
  <si>
    <t>82.218</t>
  </si>
  <si>
    <t>0.87424</t>
  </si>
  <si>
    <t>0.38645</t>
  </si>
  <si>
    <t>82.085</t>
  </si>
  <si>
    <t>0.69902</t>
  </si>
  <si>
    <t>0.37057</t>
  </si>
  <si>
    <t>81.597</t>
  </si>
  <si>
    <t>0.43468</t>
  </si>
  <si>
    <t>0.43834</t>
  </si>
  <si>
    <t>90.612</t>
  </si>
  <si>
    <t>0.31380</t>
  </si>
  <si>
    <t>83.914</t>
  </si>
  <si>
    <t>0.31258</t>
  </si>
  <si>
    <t>84.137</t>
  </si>
  <si>
    <t>0.32662</t>
  </si>
  <si>
    <t>83.736</t>
  </si>
  <si>
    <t>0.58364</t>
  </si>
  <si>
    <t>83.287</t>
  </si>
  <si>
    <t>1.34615</t>
  </si>
  <si>
    <t>83.021</t>
  </si>
  <si>
    <t>0.35653</t>
  </si>
  <si>
    <t>83.109</t>
  </si>
  <si>
    <t>0.42369</t>
  </si>
  <si>
    <t>85.035</t>
  </si>
  <si>
    <t>0.53785</t>
  </si>
  <si>
    <t>86.482</t>
  </si>
  <si>
    <t>0.38278</t>
  </si>
  <si>
    <t>87.665</t>
  </si>
  <si>
    <t>0.35348</t>
  </si>
  <si>
    <t>83.242</t>
  </si>
  <si>
    <t>0.30464</t>
  </si>
  <si>
    <t>0.29915</t>
  </si>
  <si>
    <t>84.677</t>
  </si>
  <si>
    <t>0.66789</t>
  </si>
  <si>
    <t>0.48596</t>
  </si>
  <si>
    <t>2.48291</t>
  </si>
  <si>
    <t>83.377</t>
  </si>
  <si>
    <t>0.75580</t>
  </si>
  <si>
    <t>0.28877</t>
  </si>
  <si>
    <t>81.333</t>
  </si>
  <si>
    <t>0.47863</t>
  </si>
  <si>
    <t>80.625</t>
  </si>
  <si>
    <t>0.55067</t>
  </si>
  <si>
    <t>82.308</t>
  </si>
  <si>
    <t>0.67827</t>
  </si>
  <si>
    <t>80.890</t>
  </si>
  <si>
    <t>0.80647</t>
  </si>
  <si>
    <t>81.199</t>
  </si>
  <si>
    <t>0.64713</t>
  </si>
  <si>
    <t>81.997</t>
  </si>
  <si>
    <t>0.46215</t>
  </si>
  <si>
    <t>80.757</t>
  </si>
  <si>
    <t>0.39316</t>
  </si>
  <si>
    <t>1.25641</t>
  </si>
  <si>
    <t>81.111</t>
  </si>
  <si>
    <t>0.55678</t>
  </si>
  <si>
    <t>78.559</t>
  </si>
  <si>
    <t>82.175</t>
  </si>
  <si>
    <t>0.34799</t>
  </si>
  <si>
    <t>73.170</t>
  </si>
  <si>
    <t>0.26679</t>
  </si>
  <si>
    <t>79.435</t>
  </si>
  <si>
    <t>0.71306</t>
  </si>
  <si>
    <t>76.768</t>
  </si>
  <si>
    <t>0.29731</t>
  </si>
  <si>
    <t>81.421</t>
  </si>
  <si>
    <t>0.62759</t>
  </si>
  <si>
    <t>76.332</t>
  </si>
  <si>
    <t>0.43040</t>
  </si>
  <si>
    <t>0.17643</t>
  </si>
  <si>
    <t>72.912</t>
  </si>
  <si>
    <t>0.21734</t>
  </si>
  <si>
    <t>66.087</t>
  </si>
  <si>
    <t>74.727</t>
  </si>
  <si>
    <t>74.511</t>
  </si>
  <si>
    <t>0.69109</t>
  </si>
  <si>
    <t>77.902</t>
  </si>
  <si>
    <t>0.32906</t>
  </si>
  <si>
    <t>68.614</t>
  </si>
  <si>
    <t>0.71062</t>
  </si>
  <si>
    <t>76.881</t>
  </si>
  <si>
    <t>0.28510</t>
  </si>
  <si>
    <t>69.085</t>
  </si>
  <si>
    <t>0.23626</t>
  </si>
  <si>
    <t>76.507</t>
  </si>
  <si>
    <t>0.90537</t>
  </si>
  <si>
    <t>76.158</t>
  </si>
  <si>
    <t>0.40415</t>
  </si>
  <si>
    <t>78.602</t>
  </si>
  <si>
    <t>0.39255</t>
  </si>
  <si>
    <t>0.35958</t>
  </si>
  <si>
    <t>78.822</t>
  </si>
  <si>
    <t>0.76129</t>
  </si>
  <si>
    <t>0.85043</t>
  </si>
  <si>
    <t>79.084</t>
  </si>
  <si>
    <t>77.335</t>
  </si>
  <si>
    <t>0.33578</t>
  </si>
  <si>
    <t>79.304</t>
  </si>
  <si>
    <t>0.37607</t>
  </si>
  <si>
    <t>78.339</t>
  </si>
  <si>
    <t>79.524</t>
  </si>
  <si>
    <t>0.26007</t>
  </si>
  <si>
    <t>1.93648</t>
  </si>
  <si>
    <t>71.361</t>
  </si>
  <si>
    <t>0.36569</t>
  </si>
  <si>
    <t>0.62454</t>
  </si>
  <si>
    <t>72.351</t>
  </si>
  <si>
    <t>0.38095</t>
  </si>
  <si>
    <t>1.36691</t>
  </si>
  <si>
    <t>71.146</t>
  </si>
  <si>
    <t>81.466</t>
  </si>
  <si>
    <t>0.17888</t>
  </si>
  <si>
    <t>0.30952</t>
  </si>
  <si>
    <t>71.964</t>
  </si>
  <si>
    <t>0.42735</t>
  </si>
  <si>
    <t>72.610</t>
  </si>
  <si>
    <t>70.716</t>
  </si>
  <si>
    <t>0.46947</t>
  </si>
  <si>
    <t>0.88828</t>
  </si>
  <si>
    <t>0.91758</t>
  </si>
  <si>
    <t>71.490</t>
  </si>
  <si>
    <t>0.51099</t>
  </si>
  <si>
    <t>0.41941</t>
  </si>
  <si>
    <t>67.757</t>
  </si>
  <si>
    <t>0.17277</t>
  </si>
  <si>
    <t>0.22589</t>
  </si>
  <si>
    <t>66.729</t>
  </si>
  <si>
    <t>0.16667</t>
  </si>
  <si>
    <t>1.61844</t>
  </si>
  <si>
    <t>69.901</t>
  </si>
  <si>
    <t>0.21551</t>
  </si>
  <si>
    <t>76.071</t>
  </si>
  <si>
    <t>0.55189</t>
  </si>
  <si>
    <t>0.69658</t>
  </si>
  <si>
    <t>0.21245</t>
  </si>
  <si>
    <t>73.126</t>
  </si>
  <si>
    <t>0.11844</t>
  </si>
  <si>
    <t>0.19048</t>
  </si>
  <si>
    <t>73.515</t>
  </si>
  <si>
    <t>61.075</t>
  </si>
  <si>
    <t>0.35165</t>
  </si>
  <si>
    <t>68.785</t>
  </si>
  <si>
    <t>0.41575</t>
  </si>
  <si>
    <t>0.54274</t>
  </si>
  <si>
    <t>67.199</t>
  </si>
  <si>
    <t>BP mm.Hg</t>
  </si>
  <si>
    <t>temperature at sampling.F</t>
  </si>
  <si>
    <t>temperature at sampling.C</t>
  </si>
  <si>
    <t>height.cm</t>
  </si>
  <si>
    <t>Schedule 40 Pipe.in</t>
  </si>
  <si>
    <t>Pipe Radius.cm</t>
  </si>
  <si>
    <t>Cross sectional Area of Pipe.cm2</t>
  </si>
  <si>
    <t>Temperature Normalization</t>
  </si>
  <si>
    <t>2015-07-01 15:35</t>
  </si>
  <si>
    <t>77.29</t>
  </si>
  <si>
    <t>2015-07-06 15:45</t>
  </si>
  <si>
    <t>2015-07-02 11:25</t>
  </si>
  <si>
    <t>0.73138</t>
  </si>
  <si>
    <t>79.567</t>
  </si>
  <si>
    <t>2015-08-11 13:38</t>
  </si>
  <si>
    <t>746.1</t>
  </si>
  <si>
    <t>2015-08-11 14:36</t>
  </si>
  <si>
    <t>2015-08-11 14:09</t>
  </si>
  <si>
    <t>2015-08-11 12:01</t>
  </si>
  <si>
    <t>2015-08-12 11:50</t>
  </si>
  <si>
    <t>2015-08-11 12:38</t>
  </si>
  <si>
    <t>405</t>
  </si>
  <si>
    <t>286</t>
  </si>
  <si>
    <t>2015-08-20</t>
  </si>
  <si>
    <t>191</t>
  </si>
  <si>
    <t>192</t>
  </si>
  <si>
    <t>193</t>
  </si>
  <si>
    <t>197</t>
  </si>
  <si>
    <t>198</t>
  </si>
  <si>
    <t>204</t>
  </si>
  <si>
    <t>205</t>
  </si>
  <si>
    <t>206</t>
  </si>
  <si>
    <t>211</t>
  </si>
  <si>
    <t>214</t>
  </si>
  <si>
    <t>215</t>
  </si>
  <si>
    <t>230</t>
  </si>
  <si>
    <t>231</t>
  </si>
  <si>
    <t>232</t>
  </si>
  <si>
    <t>236</t>
  </si>
  <si>
    <t>237</t>
  </si>
  <si>
    <t>239</t>
  </si>
  <si>
    <t>243</t>
  </si>
  <si>
    <t>244</t>
  </si>
  <si>
    <t>245</t>
  </si>
  <si>
    <t>248</t>
  </si>
  <si>
    <t>249</t>
  </si>
  <si>
    <t>250</t>
  </si>
  <si>
    <t>251</t>
  </si>
  <si>
    <t>252</t>
  </si>
  <si>
    <t>254</t>
  </si>
  <si>
    <t>255</t>
  </si>
  <si>
    <t>256</t>
  </si>
  <si>
    <t>257</t>
  </si>
  <si>
    <t>258</t>
  </si>
  <si>
    <t>261</t>
  </si>
  <si>
    <t>262</t>
  </si>
  <si>
    <t>267</t>
  </si>
  <si>
    <t>268</t>
  </si>
  <si>
    <t>269</t>
  </si>
  <si>
    <t>270</t>
  </si>
  <si>
    <t>240</t>
  </si>
  <si>
    <t>242</t>
  </si>
  <si>
    <t>263</t>
  </si>
  <si>
    <t>271</t>
  </si>
  <si>
    <t>272</t>
  </si>
  <si>
    <t>273</t>
  </si>
  <si>
    <t>274</t>
  </si>
  <si>
    <t>275</t>
  </si>
  <si>
    <t>276</t>
  </si>
  <si>
    <t>277</t>
  </si>
  <si>
    <t>278</t>
  </si>
  <si>
    <t>280</t>
  </si>
  <si>
    <t>281</t>
  </si>
  <si>
    <t>282</t>
  </si>
  <si>
    <t>283</t>
  </si>
  <si>
    <t>284</t>
  </si>
  <si>
    <t>285</t>
  </si>
  <si>
    <t>287</t>
  </si>
  <si>
    <t>288</t>
  </si>
  <si>
    <t>289</t>
  </si>
  <si>
    <t>290</t>
  </si>
  <si>
    <t>291</t>
  </si>
  <si>
    <t>292</t>
  </si>
  <si>
    <t>293</t>
  </si>
  <si>
    <t>294</t>
  </si>
  <si>
    <t>295</t>
  </si>
  <si>
    <t>296</t>
  </si>
  <si>
    <t>297</t>
  </si>
  <si>
    <t>299</t>
  </si>
  <si>
    <t>300</t>
  </si>
  <si>
    <t>301</t>
  </si>
  <si>
    <t>302</t>
  </si>
  <si>
    <t>303</t>
  </si>
  <si>
    <t>304</t>
  </si>
  <si>
    <t>305</t>
  </si>
  <si>
    <t>306</t>
  </si>
  <si>
    <t>307</t>
  </si>
  <si>
    <t>308</t>
  </si>
  <si>
    <t>309</t>
  </si>
  <si>
    <t>310</t>
  </si>
  <si>
    <t>311</t>
  </si>
  <si>
    <t>312</t>
  </si>
  <si>
    <t>313</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</si>
  <si>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</si>
  <si>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</si>
  <si>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</si>
  <si>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</si>
  <si>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</si>
  <si>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</si>
  <si>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</si>
  <si>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</si>
  <si>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</si>
  <si>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</si>
  <si>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</si>
  <si>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</si>
  <si>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</si>
  <si>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</si>
  <si>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</si>
  <si>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</si>
  <si>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</si>
  <si>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</si>
  <si>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</si>
  <si>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</si>
  <si>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</si>
  <si>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</si>
  <si>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</si>
  <si>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</si>
  <si>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</si>
  <si>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</si>
  <si>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</si>
  <si>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</si>
  <si>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</si>
  <si>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</si>
  <si>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</si>
  <si>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</si>
  <si>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</si>
  <si>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</si>
  <si>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</si>
  <si>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</si>
  <si>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</si>
  <si>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</si>
  <si>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</si>
  <si>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</si>
  <si>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</si>
  <si>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</si>
  <si>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</si>
  <si>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</si>
  <si>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</si>
  <si>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</si>
  <si>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</si>
  <si>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</si>
  <si>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</si>
  <si>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</si>
  <si>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</si>
  <si>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</si>
  <si>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</si>
  <si>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</si>
  <si>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</si>
  <si>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</si>
  <si>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</si>
  <si>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</si>
  <si>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</si>
  <si>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</si>
  <si>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</si>
  <si>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</si>
  <si>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</si>
  <si>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</si>
  <si>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</si>
  <si>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</si>
  <si>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</si>
  <si>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</si>
  <si>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</si>
  <si>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</si>
  <si>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</si>
  <si>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</si>
  <si>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</si>
  <si>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</si>
  <si>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</si>
  <si>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</si>
  <si>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</si>
  <si>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</si>
  <si>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</si>
  <si>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</si>
  <si>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</si>
  <si>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</si>
  <si>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</si>
  <si>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</si>
  <si>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</si>
  <si>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</si>
  <si>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</si>
  <si>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</si>
  <si>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</si>
  <si>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</si>
  <si>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</si>
  <si>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</si>
  <si>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</si>
  <si>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</si>
  <si>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</si>
  <si>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</si>
  <si>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</si>
  <si>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</si>
  <si>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</si>
  <si>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</si>
  <si>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</si>
  <si>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</si>
  <si>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</si>
  <si>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</si>
  <si>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</si>
  <si>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</si>
  <si>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</si>
  <si>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</si>
  <si>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</si>
  <si>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</si>
  <si>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</si>
  <si>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430</t>
  </si>
  <si>
    <t>431</t>
  </si>
  <si>
    <t>432</t>
  </si>
  <si>
    <t>433</t>
  </si>
  <si>
    <t>434</t>
  </si>
  <si>
    <t>435</t>
  </si>
  <si>
    <t>436</t>
  </si>
  <si>
    <t>437</t>
  </si>
  <si>
    <t>438</t>
  </si>
  <si>
    <t>439</t>
  </si>
  <si>
    <t>440</t>
  </si>
  <si>
    <t>441</t>
  </si>
  <si>
    <t>443</t>
  </si>
  <si>
    <t>444</t>
  </si>
  <si>
    <t>445</t>
  </si>
  <si>
    <t>446</t>
  </si>
  <si>
    <t>447</t>
  </si>
  <si>
    <t>450</t>
  </si>
  <si>
    <t>451</t>
  </si>
  <si>
    <t>452</t>
  </si>
  <si>
    <t>453</t>
  </si>
  <si>
    <t>454</t>
  </si>
  <si>
    <t>455</t>
  </si>
  <si>
    <t>456</t>
  </si>
  <si>
    <t>457</t>
  </si>
  <si>
    <t>459</t>
  </si>
  <si>
    <t>460</t>
  </si>
  <si>
    <t>461</t>
  </si>
  <si>
    <t>462</t>
  </si>
  <si>
    <t>463</t>
  </si>
  <si>
    <t>464</t>
  </si>
  <si>
    <t>465</t>
  </si>
  <si>
    <t>466</t>
  </si>
  <si>
    <t>468</t>
  </si>
  <si>
    <t>469</t>
  </si>
  <si>
    <t>470</t>
  </si>
  <si>
    <t>471</t>
  </si>
  <si>
    <t>472</t>
  </si>
  <si>
    <t>473</t>
  </si>
  <si>
    <t>474</t>
  </si>
  <si>
    <t>475</t>
  </si>
  <si>
    <t>476</t>
  </si>
  <si>
    <t>477</t>
  </si>
  <si>
    <t>478</t>
  </si>
  <si>
    <t>479</t>
  </si>
  <si>
    <t>480</t>
  </si>
  <si>
    <t>481</t>
  </si>
  <si>
    <t>482</t>
  </si>
  <si>
    <t>483</t>
  </si>
  <si>
    <t>484</t>
  </si>
  <si>
    <t>485</t>
  </si>
  <si>
    <t>486</t>
  </si>
  <si>
    <t>492</t>
  </si>
  <si>
    <t>493</t>
  </si>
  <si>
    <t>494</t>
  </si>
  <si>
    <t>497</t>
  </si>
  <si>
    <t>498</t>
  </si>
  <si>
    <t>499</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</si>
  <si>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</si>
  <si>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</si>
  <si>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</si>
  <si>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</si>
  <si>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</si>
  <si>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</si>
  <si>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</si>
  <si>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</si>
  <si>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</si>
  <si>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</si>
  <si>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</si>
  <si>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</si>
  <si>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</si>
  <si>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</si>
  <si>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</si>
  <si>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</si>
  <si>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</si>
  <si>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</si>
  <si>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</si>
  <si>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</si>
  <si>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</si>
  <si>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</si>
  <si>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</si>
  <si>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</si>
  <si>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</si>
  <si>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</si>
  <si>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</si>
  <si>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</si>
  <si>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</si>
  <si>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</si>
  <si>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</si>
  <si>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</si>
  <si>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</si>
  <si>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</si>
  <si>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</si>
  <si>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</si>
  <si>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</si>
  <si>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</si>
  <si>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</si>
  <si>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</si>
  <si>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</si>
  <si>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</si>
  <si>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</si>
  <si>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</si>
  <si>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</si>
  <si>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</si>
  <si>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</si>
  <si>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</si>
  <si>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</si>
  <si>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</si>
  <si>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</si>
  <si>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</si>
  <si>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</si>
  <si>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</si>
  <si>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564</t>
  </si>
  <si>
    <t>565</t>
  </si>
  <si>
    <t>556</t>
  </si>
  <si>
    <t>557</t>
  </si>
  <si>
    <t>558</t>
  </si>
  <si>
    <t>559</t>
  </si>
  <si>
    <t>560</t>
  </si>
  <si>
    <t>561</t>
  </si>
  <si>
    <t>562</t>
  </si>
  <si>
    <t>563</t>
  </si>
  <si>
    <t>2015-08-11 11:23</t>
  </si>
  <si>
    <t>82.2</t>
  </si>
  <si>
    <t>2.499</t>
  </si>
  <si>
    <t>750.2</t>
  </si>
  <si>
    <t>2015-08-14 00:01</t>
  </si>
  <si>
    <t>2015-08-20 11:01</t>
  </si>
  <si>
    <t>2015-08-12 13:19</t>
  </si>
  <si>
    <t>0.36813</t>
  </si>
  <si>
    <t>80.7</t>
  </si>
  <si>
    <t>2015-08-13 17:53</t>
  </si>
  <si>
    <t>2015-08-20 12:14</t>
  </si>
  <si>
    <t>2015-08-12 14:04</t>
  </si>
  <si>
    <t>80.9</t>
  </si>
  <si>
    <t>2015-08-14 12:04</t>
  </si>
  <si>
    <t>2015-08-20 12:59</t>
  </si>
  <si>
    <t>2015-08-17 11:53</t>
  </si>
  <si>
    <t>83.779</t>
  </si>
  <si>
    <t>749</t>
  </si>
  <si>
    <t>2015-08-17 18:43</t>
  </si>
  <si>
    <t>2015-08-24 14:08</t>
  </si>
  <si>
    <t>2015-08-17 12:40</t>
  </si>
  <si>
    <t>2015-08-18 05:15</t>
  </si>
  <si>
    <t>2015-08-24 14:35</t>
  </si>
  <si>
    <t>2015-08-17 13:09</t>
  </si>
  <si>
    <t>82.1</t>
  </si>
  <si>
    <t>2015-08-17 19:58</t>
  </si>
  <si>
    <t>2015-08-24 15:09</t>
  </si>
  <si>
    <t>2015-08-17 14:07</t>
  </si>
  <si>
    <t>80.4</t>
  </si>
  <si>
    <t>2015-08-24 13:27</t>
  </si>
  <si>
    <t>Volume calculated.cm3</t>
  </si>
  <si>
    <t>Max calculated Volume.cm3</t>
  </si>
  <si>
    <t xml:space="preserve">Volume normalized to 20 degrees C </t>
  </si>
  <si>
    <t>2015-08-17 14:38</t>
  </si>
  <si>
    <t>2015-08-24 12:23</t>
  </si>
  <si>
    <t>2015-08-17 14:59</t>
  </si>
  <si>
    <t>80.2</t>
  </si>
  <si>
    <t>2015-08-24 11:49</t>
  </si>
  <si>
    <t>745.8</t>
  </si>
  <si>
    <t>Sample.Date</t>
  </si>
  <si>
    <t>2015-06-10</t>
  </si>
  <si>
    <t>2015-07-01</t>
  </si>
  <si>
    <t>2015-07-08</t>
  </si>
  <si>
    <t>Sample.depth.ft</t>
  </si>
  <si>
    <t>2015-07-15</t>
  </si>
  <si>
    <t>2015-07-16</t>
  </si>
  <si>
    <t>2015-07-22</t>
  </si>
  <si>
    <t>2015-07-23</t>
  </si>
  <si>
    <t>2015-07-27</t>
  </si>
  <si>
    <t>2015-07-29</t>
  </si>
  <si>
    <t>2015-08-03</t>
  </si>
  <si>
    <t>2015-08-05</t>
  </si>
  <si>
    <t>2015-08-11</t>
  </si>
  <si>
    <t>2015-08-12</t>
  </si>
  <si>
    <t>2015-08-17</t>
  </si>
  <si>
    <t>Site Depth.ft</t>
  </si>
  <si>
    <t>2015-05-05 14:00</t>
  </si>
  <si>
    <t>2015-05-07 11:10</t>
  </si>
  <si>
    <t>2015-05-07 10:30</t>
  </si>
  <si>
    <t>2015-05-07 10:14</t>
  </si>
  <si>
    <t>2015-05-07 10:40</t>
  </si>
  <si>
    <t>2015-05-07 12:10</t>
  </si>
  <si>
    <t>2015-05-07 11:55</t>
  </si>
  <si>
    <t>Sample Time</t>
  </si>
  <si>
    <t>566</t>
  </si>
  <si>
    <t>567</t>
  </si>
  <si>
    <t>568</t>
  </si>
  <si>
    <t>574</t>
  </si>
  <si>
    <t>575</t>
  </si>
  <si>
    <t>576</t>
  </si>
  <si>
    <t>579</t>
  </si>
  <si>
    <t>580</t>
  </si>
  <si>
    <t>581</t>
  </si>
  <si>
    <t>584</t>
  </si>
  <si>
    <t>585</t>
  </si>
  <si>
    <t>586</t>
  </si>
  <si>
    <t>592</t>
  </si>
  <si>
    <t>593</t>
  </si>
  <si>
    <t>594</t>
  </si>
  <si>
    <t>597</t>
  </si>
  <si>
    <t>598</t>
  </si>
  <si>
    <t>599</t>
  </si>
  <si>
    <t>569</t>
  </si>
  <si>
    <t>570</t>
  </si>
  <si>
    <t>577</t>
  </si>
  <si>
    <t>578</t>
  </si>
  <si>
    <t>582</t>
  </si>
  <si>
    <t>583</t>
  </si>
  <si>
    <t>587</t>
  </si>
  <si>
    <t>588</t>
  </si>
  <si>
    <t>595</t>
  </si>
  <si>
    <t>596</t>
  </si>
  <si>
    <t>600</t>
  </si>
  <si>
    <t>601</t>
  </si>
  <si>
    <t>571</t>
  </si>
  <si>
    <t>572</t>
  </si>
  <si>
    <t>573</t>
  </si>
  <si>
    <t>589</t>
  </si>
  <si>
    <t>590</t>
  </si>
  <si>
    <t>591</t>
  </si>
  <si>
    <t>602</t>
  </si>
  <si>
    <t>603</t>
  </si>
  <si>
    <t>604</t>
  </si>
  <si>
    <t>610</t>
  </si>
  <si>
    <t>611</t>
  </si>
  <si>
    <t>612</t>
  </si>
  <si>
    <t>615</t>
  </si>
  <si>
    <t>616</t>
  </si>
  <si>
    <t>617</t>
  </si>
  <si>
    <t>613</t>
  </si>
  <si>
    <t>614</t>
  </si>
  <si>
    <t>618</t>
  </si>
  <si>
    <t>619</t>
  </si>
  <si>
    <t>607</t>
  </si>
  <si>
    <t>608</t>
  </si>
  <si>
    <t>609</t>
  </si>
  <si>
    <t>620</t>
  </si>
  <si>
    <t>621</t>
  </si>
  <si>
    <t>622</t>
  </si>
  <si>
    <t>628</t>
  </si>
  <si>
    <t>629</t>
  </si>
  <si>
    <t>630</t>
  </si>
  <si>
    <t>633</t>
  </si>
  <si>
    <t>634</t>
  </si>
  <si>
    <t>635</t>
  </si>
  <si>
    <t>638</t>
  </si>
  <si>
    <t>639</t>
  </si>
  <si>
    <t>640</t>
  </si>
  <si>
    <t>646</t>
  </si>
  <si>
    <t>647</t>
  </si>
  <si>
    <t>648</t>
  </si>
  <si>
    <t>623</t>
  </si>
  <si>
    <t>624</t>
  </si>
  <si>
    <t>631</t>
  </si>
  <si>
    <t>632</t>
  </si>
  <si>
    <t>636</t>
  </si>
  <si>
    <t>637</t>
  </si>
  <si>
    <t>641</t>
  </si>
  <si>
    <t>642</t>
  </si>
  <si>
    <t>649</t>
  </si>
  <si>
    <t>650</t>
  </si>
  <si>
    <t>625</t>
  </si>
  <si>
    <t>626</t>
  </si>
  <si>
    <t>627</t>
  </si>
  <si>
    <t>643</t>
  </si>
  <si>
    <t>644</t>
  </si>
  <si>
    <t>645</t>
  </si>
  <si>
    <t>651</t>
  </si>
  <si>
    <t>652</t>
  </si>
  <si>
    <t>653</t>
  </si>
  <si>
    <t>656</t>
  </si>
  <si>
    <t>657</t>
  </si>
  <si>
    <t>658</t>
  </si>
  <si>
    <t>659</t>
  </si>
  <si>
    <t>660</t>
  </si>
  <si>
    <t>661</t>
  </si>
  <si>
    <t>664</t>
  </si>
  <si>
    <t>665</t>
  </si>
  <si>
    <t>666</t>
  </si>
  <si>
    <t>750</t>
  </si>
  <si>
    <t>751</t>
  </si>
  <si>
    <t>752</t>
  </si>
  <si>
    <t>654</t>
  </si>
  <si>
    <t>655</t>
  </si>
  <si>
    <t>662</t>
  </si>
  <si>
    <t>663</t>
  </si>
  <si>
    <t>667</t>
  </si>
  <si>
    <t>668</t>
  </si>
  <si>
    <t>669</t>
  </si>
  <si>
    <t>670</t>
  </si>
  <si>
    <t>671</t>
  </si>
  <si>
    <t>672</t>
  </si>
  <si>
    <t>673</t>
  </si>
  <si>
    <t>674</t>
  </si>
  <si>
    <t>675</t>
  </si>
  <si>
    <t>676</t>
  </si>
  <si>
    <t>677</t>
  </si>
  <si>
    <t>681</t>
  </si>
  <si>
    <t>682</t>
  </si>
  <si>
    <t>683</t>
  </si>
  <si>
    <t>684</t>
  </si>
  <si>
    <t>685</t>
  </si>
  <si>
    <t>686</t>
  </si>
  <si>
    <t>687</t>
  </si>
  <si>
    <t>688</t>
  </si>
  <si>
    <t>689</t>
  </si>
  <si>
    <t>690</t>
  </si>
  <si>
    <t>691</t>
  </si>
  <si>
    <t>692</t>
  </si>
  <si>
    <t>693</t>
  </si>
  <si>
    <t>694</t>
  </si>
  <si>
    <t>695</t>
  </si>
  <si>
    <t>802</t>
  </si>
  <si>
    <t>803</t>
  </si>
  <si>
    <t>804</t>
  </si>
  <si>
    <t>805</t>
  </si>
  <si>
    <t>806</t>
  </si>
  <si>
    <t>807</t>
  </si>
  <si>
    <t>808</t>
  </si>
  <si>
    <t>809</t>
  </si>
  <si>
    <t>810</t>
  </si>
  <si>
    <t>811</t>
  </si>
  <si>
    <t>812</t>
  </si>
  <si>
    <t>813</t>
  </si>
  <si>
    <t>817</t>
  </si>
  <si>
    <t>818</t>
  </si>
  <si>
    <t>819</t>
  </si>
  <si>
    <t>820</t>
  </si>
  <si>
    <t>821</t>
  </si>
  <si>
    <t>753</t>
  </si>
  <si>
    <t>754</t>
  </si>
  <si>
    <t>755</t>
  </si>
  <si>
    <t>700</t>
  </si>
  <si>
    <t>701</t>
  </si>
  <si>
    <t>702</t>
  </si>
  <si>
    <t>703</t>
  </si>
  <si>
    <t>704</t>
  </si>
  <si>
    <t>705</t>
  </si>
  <si>
    <t>706</t>
  </si>
  <si>
    <t>707</t>
  </si>
  <si>
    <t>708</t>
  </si>
  <si>
    <t>709</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</si>
  <si>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</si>
  <si>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</si>
  <si>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</si>
  <si>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</si>
  <si>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</si>
  <si>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</si>
  <si>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</si>
  <si>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</si>
  <si>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</si>
  <si>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</si>
  <si>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</si>
  <si>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</si>
  <si>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</si>
  <si>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</si>
  <si>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</si>
  <si>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</si>
  <si>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</si>
  <si>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</si>
  <si>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</si>
  <si>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</si>
  <si>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</si>
  <si>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</si>
  <si>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</si>
  <si>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</si>
  <si>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</si>
  <si>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</si>
  <si>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</si>
  <si>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822</t>
  </si>
  <si>
    <t>823</t>
  </si>
  <si>
    <t>824</t>
  </si>
  <si>
    <t>825</t>
  </si>
  <si>
    <t>826</t>
  </si>
  <si>
    <t>827</t>
  </si>
  <si>
    <t>828</t>
  </si>
  <si>
    <t>829</t>
  </si>
  <si>
    <t>830</t>
  </si>
  <si>
    <t>831</t>
  </si>
  <si>
    <t>832</t>
  </si>
  <si>
    <t>833</t>
  </si>
  <si>
    <t>834</t>
  </si>
  <si>
    <t>835</t>
  </si>
  <si>
    <t>836</t>
  </si>
  <si>
    <t>837</t>
  </si>
  <si>
    <t>838</t>
  </si>
  <si>
    <t>738</t>
  </si>
  <si>
    <t>739</t>
  </si>
  <si>
    <t>740</t>
  </si>
  <si>
    <t>741</t>
  </si>
  <si>
    <t>742</t>
  </si>
  <si>
    <t>743</t>
  </si>
  <si>
    <t>744</t>
  </si>
  <si>
    <t>745</t>
  </si>
  <si>
    <t>746</t>
  </si>
  <si>
    <t>747</t>
  </si>
  <si>
    <t>748</t>
  </si>
  <si>
    <t>757</t>
  </si>
  <si>
    <t>758</t>
  </si>
  <si>
    <t>759</t>
  </si>
  <si>
    <t>760</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</si>
  <si>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</si>
  <si>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</si>
  <si>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</si>
  <si>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</si>
  <si>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</si>
  <si>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</si>
  <si>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</si>
  <si>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</si>
  <si>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</si>
  <si>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</si>
  <si>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</si>
  <si>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</si>
  <si>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</si>
  <si>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</si>
  <si>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</si>
  <si>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</si>
  <si>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</si>
  <si>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</si>
  <si>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</si>
  <si>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</si>
  <si>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</si>
  <si>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</si>
  <si>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</si>
  <si>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</si>
  <si>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</si>
  <si>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</si>
  <si>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</si>
  <si>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</si>
  <si>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</si>
  <si>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</si>
  <si>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</si>
  <si>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</si>
  <si>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</si>
  <si>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</si>
  <si>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</si>
  <si>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814</t>
  </si>
  <si>
    <t>815</t>
  </si>
  <si>
    <t>816</t>
  </si>
  <si>
    <t>839</t>
  </si>
  <si>
    <t>840</t>
  </si>
  <si>
    <t>841</t>
  </si>
  <si>
    <t>842</t>
  </si>
  <si>
    <t>843</t>
  </si>
  <si>
    <t>844</t>
  </si>
  <si>
    <t>884</t>
  </si>
  <si>
    <t>885</t>
  </si>
  <si>
    <t>886</t>
  </si>
  <si>
    <t>892</t>
  </si>
  <si>
    <t>893</t>
  </si>
  <si>
    <t>894</t>
  </si>
  <si>
    <t>897</t>
  </si>
  <si>
    <t>898</t>
  </si>
  <si>
    <t>899</t>
  </si>
  <si>
    <t>915</t>
  </si>
  <si>
    <t>916</t>
  </si>
  <si>
    <t>917</t>
  </si>
  <si>
    <t>910</t>
  </si>
  <si>
    <t>911</t>
  </si>
  <si>
    <t>912</t>
  </si>
  <si>
    <t>902</t>
  </si>
  <si>
    <t>903</t>
  </si>
  <si>
    <t>904</t>
  </si>
  <si>
    <t>887</t>
  </si>
  <si>
    <t>888</t>
  </si>
  <si>
    <t>895</t>
  </si>
  <si>
    <t>896</t>
  </si>
  <si>
    <t>900</t>
  </si>
  <si>
    <t>901</t>
  </si>
  <si>
    <t>905</t>
  </si>
  <si>
    <t>906</t>
  </si>
  <si>
    <t>913</t>
  </si>
  <si>
    <t>914</t>
  </si>
  <si>
    <t>918</t>
  </si>
  <si>
    <t>919</t>
  </si>
  <si>
    <t>889</t>
  </si>
  <si>
    <t>890</t>
  </si>
  <si>
    <t>891</t>
  </si>
  <si>
    <t>907</t>
  </si>
  <si>
    <t>908</t>
  </si>
  <si>
    <t>909</t>
  </si>
  <si>
    <t>920</t>
  </si>
  <si>
    <t>921</t>
  </si>
  <si>
    <t>922</t>
  </si>
  <si>
    <t>928</t>
  </si>
  <si>
    <t>929</t>
  </si>
  <si>
    <t>930</t>
  </si>
  <si>
    <t>933</t>
  </si>
  <si>
    <t>934</t>
  </si>
  <si>
    <t>935</t>
  </si>
  <si>
    <t>923</t>
  </si>
  <si>
    <t>924</t>
  </si>
  <si>
    <t>931</t>
  </si>
  <si>
    <t>932</t>
  </si>
  <si>
    <t>936</t>
  </si>
  <si>
    <t>937</t>
  </si>
  <si>
    <t>941</t>
  </si>
  <si>
    <t>942</t>
  </si>
  <si>
    <t>949</t>
  </si>
  <si>
    <t>954</t>
  </si>
  <si>
    <t>955</t>
  </si>
  <si>
    <t>959</t>
  </si>
  <si>
    <t>960</t>
  </si>
  <si>
    <t>967</t>
  </si>
  <si>
    <t>968</t>
  </si>
  <si>
    <t>972</t>
  </si>
  <si>
    <t>973</t>
  </si>
  <si>
    <t>977</t>
  </si>
  <si>
    <t>978</t>
  </si>
  <si>
    <t>938</t>
  </si>
  <si>
    <t>939</t>
  </si>
  <si>
    <t>940</t>
  </si>
  <si>
    <t>946</t>
  </si>
  <si>
    <t>947</t>
  </si>
  <si>
    <t>948</t>
  </si>
  <si>
    <t>951</t>
  </si>
  <si>
    <t>952</t>
  </si>
  <si>
    <t>953</t>
  </si>
  <si>
    <t>956</t>
  </si>
  <si>
    <t>957</t>
  </si>
  <si>
    <t>958</t>
  </si>
  <si>
    <t>964</t>
  </si>
  <si>
    <t>965</t>
  </si>
  <si>
    <t>966</t>
  </si>
  <si>
    <t>969</t>
  </si>
  <si>
    <t>970</t>
  </si>
  <si>
    <t>971</t>
  </si>
  <si>
    <t>974</t>
  </si>
  <si>
    <t>975</t>
  </si>
  <si>
    <t>976</t>
  </si>
  <si>
    <t>2015-07-23 13:30</t>
  </si>
  <si>
    <t>678</t>
  </si>
  <si>
    <t>679</t>
  </si>
  <si>
    <t>680</t>
  </si>
  <si>
    <t>2015-08-24</t>
  </si>
  <si>
    <t>2015-08-26</t>
  </si>
  <si>
    <t>2015-08-31</t>
  </si>
  <si>
    <t>2015-09-02</t>
  </si>
  <si>
    <t>2015-09-08</t>
  </si>
  <si>
    <t>2015-09-10</t>
  </si>
  <si>
    <t>2015-09-23</t>
  </si>
  <si>
    <t>2015-09-25</t>
  </si>
  <si>
    <t>2015-09-28</t>
  </si>
  <si>
    <t>39.02925</t>
  </si>
  <si>
    <t>-84.09093</t>
  </si>
  <si>
    <t>39.02656</t>
  </si>
  <si>
    <t>-84.09165</t>
  </si>
  <si>
    <t>39.0243016</t>
  </si>
  <si>
    <t>-84.09080</t>
  </si>
  <si>
    <t>39.02422</t>
  </si>
  <si>
    <t>-84.09095</t>
  </si>
  <si>
    <t>39.017303</t>
  </si>
  <si>
    <t>-84.103038</t>
  </si>
  <si>
    <t>39.9687915000</t>
  </si>
  <si>
    <t>-87.741670000</t>
  </si>
  <si>
    <t>39.94866</t>
  </si>
  <si>
    <t>-83.745296</t>
  </si>
  <si>
    <t>39.95901</t>
  </si>
  <si>
    <t>-83.739188</t>
  </si>
  <si>
    <t>39.0292133</t>
  </si>
  <si>
    <t>-84.090945</t>
  </si>
  <si>
    <t>39.026456</t>
  </si>
  <si>
    <t>-84.091465</t>
  </si>
  <si>
    <t>39.0242000</t>
  </si>
  <si>
    <t>-84.09084166</t>
  </si>
  <si>
    <t>39.0121800</t>
  </si>
  <si>
    <t>-84.09885166</t>
  </si>
  <si>
    <t>39.01726000</t>
  </si>
  <si>
    <t>-84.102956666</t>
  </si>
  <si>
    <t>39.02929</t>
  </si>
  <si>
    <t>-84.09094</t>
  </si>
  <si>
    <t>39.024281</t>
  </si>
  <si>
    <t>-84.090958</t>
  </si>
  <si>
    <t>39.01230</t>
  </si>
  <si>
    <t>-84.09877</t>
  </si>
  <si>
    <t>39.948653</t>
  </si>
  <si>
    <t>-83.745360</t>
  </si>
  <si>
    <t>39.968756</t>
  </si>
  <si>
    <t>-83.741623</t>
  </si>
  <si>
    <t>39.029165</t>
  </si>
  <si>
    <t>-84.090903</t>
  </si>
  <si>
    <t>39.02646</t>
  </si>
  <si>
    <t>-84.09146</t>
  </si>
  <si>
    <t>39.024216</t>
  </si>
  <si>
    <t>-84.090896</t>
  </si>
  <si>
    <t>39.021216</t>
  </si>
  <si>
    <t>-84.097671</t>
  </si>
  <si>
    <t>39.02016</t>
  </si>
  <si>
    <t>-84.15334</t>
  </si>
  <si>
    <t>39.03686</t>
  </si>
  <si>
    <t>-84.137893</t>
  </si>
  <si>
    <t>39.019968</t>
  </si>
  <si>
    <t>-84.130741</t>
  </si>
  <si>
    <t>39.948618</t>
  </si>
  <si>
    <t>-83.745408</t>
  </si>
  <si>
    <t>39.9631383</t>
  </si>
  <si>
    <t>-83.7290416</t>
  </si>
  <si>
    <t>39.968788</t>
  </si>
  <si>
    <t>-83.741743</t>
  </si>
  <si>
    <t>-84.091388</t>
  </si>
  <si>
    <t>39.025986</t>
  </si>
  <si>
    <t>-84.09096000</t>
  </si>
  <si>
    <t>-84.0977633333</t>
  </si>
  <si>
    <t>39.020020</t>
  </si>
  <si>
    <t>-84.131058</t>
  </si>
  <si>
    <t>39.036746</t>
  </si>
  <si>
    <t>-84.138120</t>
  </si>
  <si>
    <t>39.020056</t>
  </si>
  <si>
    <t>-84.153490</t>
  </si>
  <si>
    <t>39.029173</t>
  </si>
  <si>
    <t>-84.090975</t>
  </si>
  <si>
    <t>39.026413</t>
  </si>
  <si>
    <t>-84.091423</t>
  </si>
  <si>
    <t>39.024015</t>
  </si>
  <si>
    <t>-84.09087</t>
  </si>
  <si>
    <t>39.021096</t>
  </si>
  <si>
    <t>-84.097820</t>
  </si>
  <si>
    <t>39.012141</t>
  </si>
  <si>
    <t>-84.098810</t>
  </si>
  <si>
    <t>39.017198</t>
  </si>
  <si>
    <t>-84.102986</t>
  </si>
  <si>
    <t>39.020203</t>
  </si>
  <si>
    <t>-84.153441</t>
  </si>
  <si>
    <t>39.019890</t>
  </si>
  <si>
    <t>-84.130971</t>
  </si>
  <si>
    <t>39.036976</t>
  </si>
  <si>
    <t>-84.138138</t>
  </si>
  <si>
    <t>39.029398</t>
  </si>
  <si>
    <t>-84.09100</t>
  </si>
  <si>
    <t>39.026486</t>
  </si>
  <si>
    <t>-84.091478</t>
  </si>
  <si>
    <t>39.024170</t>
  </si>
  <si>
    <t>-84.090940</t>
  </si>
  <si>
    <t>39.012481</t>
  </si>
  <si>
    <t>-84.098751</t>
  </si>
  <si>
    <t>39.017276</t>
  </si>
  <si>
    <t>-84.102848</t>
  </si>
  <si>
    <t>39.021315</t>
  </si>
  <si>
    <t>-84.097390</t>
  </si>
  <si>
    <t>39.020031</t>
  </si>
  <si>
    <t>-84.131073</t>
  </si>
  <si>
    <t>39.020038</t>
  </si>
  <si>
    <t>-84.138031</t>
  </si>
  <si>
    <t>39.0291833</t>
  </si>
  <si>
    <t>39.026445</t>
  </si>
  <si>
    <t>-84.091481</t>
  </si>
  <si>
    <t>39.024083</t>
  </si>
  <si>
    <t>-84.090920</t>
  </si>
  <si>
    <t>39.012986</t>
  </si>
  <si>
    <t>-84.0987550</t>
  </si>
  <si>
    <t>39.0219950</t>
  </si>
  <si>
    <t>-84.0972500</t>
  </si>
  <si>
    <t>39.0182016</t>
  </si>
  <si>
    <t>-84.1025950</t>
  </si>
  <si>
    <t>39.036783</t>
  </si>
  <si>
    <t>-84.137990</t>
  </si>
  <si>
    <t>39.019913</t>
  </si>
  <si>
    <t>-84.153403</t>
  </si>
  <si>
    <t>39.029255</t>
  </si>
  <si>
    <t>-84.090996</t>
  </si>
  <si>
    <t>39.0264</t>
  </si>
  <si>
    <t>-84.0914</t>
  </si>
  <si>
    <t>39.024245</t>
  </si>
  <si>
    <t>-84.0908800</t>
  </si>
  <si>
    <t>39.02115</t>
  </si>
  <si>
    <t>-84.0979</t>
  </si>
  <si>
    <t>39.01248</t>
  </si>
  <si>
    <t>-84.09869</t>
  </si>
  <si>
    <t>39.017293</t>
  </si>
  <si>
    <t>-84.102576</t>
  </si>
  <si>
    <t>39.037046</t>
  </si>
  <si>
    <t>-84.137615</t>
  </si>
  <si>
    <t>39.019788</t>
  </si>
  <si>
    <t>-84.130458</t>
  </si>
  <si>
    <t>39.020155</t>
  </si>
  <si>
    <t>-84.153281</t>
  </si>
  <si>
    <t>39.017616</t>
  </si>
  <si>
    <t>-84.101343</t>
  </si>
  <si>
    <t>39.012498</t>
  </si>
  <si>
    <t>-84.098685</t>
  </si>
  <si>
    <t>39.021143</t>
  </si>
  <si>
    <t>-84.097238</t>
  </si>
  <si>
    <t>39.029310</t>
  </si>
  <si>
    <t>-84.091055</t>
  </si>
  <si>
    <t>39.0265133</t>
  </si>
  <si>
    <t>-84.0914400</t>
  </si>
  <si>
    <t>39.0242883</t>
  </si>
  <si>
    <t>-84.0909633</t>
  </si>
  <si>
    <t>-84.130020</t>
  </si>
  <si>
    <t>39.02925500</t>
  </si>
  <si>
    <t>-84.09094833</t>
  </si>
  <si>
    <t>39.026491</t>
  </si>
  <si>
    <t>-84.0915183</t>
  </si>
  <si>
    <t>39.02429333</t>
  </si>
  <si>
    <t>-84.09097500</t>
  </si>
  <si>
    <t>39.01736833</t>
  </si>
  <si>
    <t>-84.10276166</t>
  </si>
  <si>
    <t>39.02128166</t>
  </si>
  <si>
    <t>-84.09723500</t>
  </si>
  <si>
    <t>39.019951</t>
  </si>
  <si>
    <t>39.036943</t>
  </si>
  <si>
    <t>-84.137973</t>
  </si>
  <si>
    <t>39.019701</t>
  </si>
  <si>
    <t>-84.130225</t>
  </si>
  <si>
    <t>-84.153535</t>
  </si>
  <si>
    <t>39.03715</t>
  </si>
  <si>
    <t>-84.138058</t>
  </si>
  <si>
    <t>39.019940</t>
  </si>
  <si>
    <t>-84.130520</t>
  </si>
  <si>
    <t>39.026455</t>
  </si>
  <si>
    <t>-84.091371</t>
  </si>
  <si>
    <t>39.024163</t>
  </si>
  <si>
    <t>-84.1090881</t>
  </si>
  <si>
    <t>-84.09150</t>
  </si>
  <si>
    <t>-84.090963</t>
  </si>
  <si>
    <t>39.01242</t>
  </si>
  <si>
    <t>-84.098748</t>
  </si>
  <si>
    <t>39.016785</t>
  </si>
  <si>
    <t>-84.102828</t>
  </si>
  <si>
    <t>39.01955</t>
  </si>
  <si>
    <t>-84.12999</t>
  </si>
  <si>
    <t>39.020083</t>
  </si>
  <si>
    <t>39.017208</t>
  </si>
  <si>
    <t>-84.102858</t>
  </si>
  <si>
    <t>39.017275</t>
  </si>
  <si>
    <t>-84.102846</t>
  </si>
  <si>
    <t>39.037135</t>
  </si>
  <si>
    <t>-84.1379066</t>
  </si>
  <si>
    <t>39.03713</t>
  </si>
  <si>
    <t>-84.1379</t>
  </si>
  <si>
    <t>39.02003</t>
  </si>
  <si>
    <t>-84.15342</t>
  </si>
  <si>
    <t>39.01978</t>
  </si>
  <si>
    <t>-84.13001</t>
  </si>
  <si>
    <t>39.002925</t>
  </si>
  <si>
    <t>-84.09096</t>
  </si>
  <si>
    <t>39.02691</t>
  </si>
  <si>
    <t>-84.09140</t>
  </si>
  <si>
    <t>-84.09868</t>
  </si>
  <si>
    <t>2015-09-30</t>
  </si>
  <si>
    <t>39.036733</t>
  </si>
  <si>
    <t>-84.1378766</t>
  </si>
  <si>
    <t>39.019866</t>
  </si>
  <si>
    <t>-84.153385</t>
  </si>
  <si>
    <t>2015-10-05</t>
  </si>
  <si>
    <t>39.016705</t>
  </si>
  <si>
    <t>-84.102821</t>
  </si>
  <si>
    <t>39.012268</t>
  </si>
  <si>
    <t>-84.098721</t>
  </si>
  <si>
    <t>39.026410</t>
  </si>
  <si>
    <t>39.029253</t>
  </si>
  <si>
    <t>-84.090898</t>
  </si>
  <si>
    <t>39.024130</t>
  </si>
  <si>
    <t>-84.090921</t>
  </si>
  <si>
    <t>979</t>
  </si>
  <si>
    <t>980</t>
  </si>
  <si>
    <t>981</t>
  </si>
  <si>
    <t>982</t>
  </si>
  <si>
    <t>983</t>
  </si>
  <si>
    <t>984</t>
  </si>
  <si>
    <t>987</t>
  </si>
  <si>
    <t>988</t>
  </si>
  <si>
    <t>989</t>
  </si>
  <si>
    <t>990</t>
  </si>
  <si>
    <t>991</t>
  </si>
  <si>
    <t>992</t>
  </si>
  <si>
    <t>993</t>
  </si>
  <si>
    <t>994</t>
  </si>
  <si>
    <t>995</t>
  </si>
  <si>
    <t>996</t>
  </si>
  <si>
    <t>997</t>
  </si>
  <si>
    <t>998</t>
  </si>
  <si>
    <t>999</t>
  </si>
  <si>
    <t>1000</t>
  </si>
  <si>
    <t>1001</t>
  </si>
  <si>
    <t>1002</t>
  </si>
  <si>
    <t>1003</t>
  </si>
  <si>
    <t>1009</t>
  </si>
  <si>
    <t>1010</t>
  </si>
  <si>
    <t>1011</t>
  </si>
  <si>
    <t>1024</t>
  </si>
  <si>
    <t>1025</t>
  </si>
  <si>
    <t>1026</t>
  </si>
  <si>
    <t>1016</t>
  </si>
  <si>
    <t>1029</t>
  </si>
  <si>
    <t>1017</t>
  </si>
  <si>
    <t>1018</t>
  </si>
  <si>
    <t>1030</t>
  </si>
  <si>
    <t>1031</t>
  </si>
  <si>
    <t>1004</t>
  </si>
  <si>
    <t>1005</t>
  </si>
  <si>
    <t>1012</t>
  </si>
  <si>
    <t>1013</t>
  </si>
  <si>
    <t>1019</t>
  </si>
  <si>
    <t>1020</t>
  </si>
  <si>
    <t>1027</t>
  </si>
  <si>
    <t>1028</t>
  </si>
  <si>
    <t>1032</t>
  </si>
  <si>
    <t>1033</t>
  </si>
  <si>
    <t>1006</t>
  </si>
  <si>
    <t>1021</t>
  </si>
  <si>
    <t>1022</t>
  </si>
  <si>
    <t>1023</t>
  </si>
  <si>
    <t>985</t>
  </si>
  <si>
    <t>986</t>
  </si>
  <si>
    <t>2015-08-26 11:30</t>
  </si>
  <si>
    <t>2015-08-22 19:55</t>
  </si>
  <si>
    <t>2015-08-26 12:20</t>
  </si>
  <si>
    <t>2015-08-22 22:26</t>
  </si>
  <si>
    <t>2015-08-26 13:21</t>
  </si>
  <si>
    <t>2015-08-24 19:22</t>
  </si>
  <si>
    <t>2015-08-31 11:42</t>
  </si>
  <si>
    <t>2015-08-24 18:36</t>
  </si>
  <si>
    <t>2015-08-31 12:46</t>
  </si>
  <si>
    <t>2015-08-24 21:35</t>
  </si>
  <si>
    <t>2015-08-31 13:30</t>
  </si>
  <si>
    <t>2015-08-25 11:50</t>
  </si>
  <si>
    <t>2015-08-31 14:00</t>
  </si>
  <si>
    <t>2015-08-31 14:32</t>
  </si>
  <si>
    <t>2015-08-25 04:35</t>
  </si>
  <si>
    <t>2015-08-31 15:00</t>
  </si>
  <si>
    <t>2015-08-28 15:07</t>
  </si>
  <si>
    <t>2015-09-02 12:02</t>
  </si>
  <si>
    <t>2015-08-28 18:22</t>
  </si>
  <si>
    <t>2015-09-02 12:42</t>
  </si>
  <si>
    <t>2015-08-27 20:51</t>
  </si>
  <si>
    <t>2015-09-02 13:26</t>
  </si>
  <si>
    <t>2015-08-31 19:35</t>
  </si>
  <si>
    <t>2015-09-08 11:40</t>
  </si>
  <si>
    <t>2015-09-01 09:05</t>
  </si>
  <si>
    <t>2015-09-08 13:20</t>
  </si>
  <si>
    <t>2015-09-01 02:36</t>
  </si>
  <si>
    <t>2015-09-08 14:01</t>
  </si>
  <si>
    <t>2015-08-31 20:54</t>
  </si>
  <si>
    <t>2015-09-08 14:49</t>
  </si>
  <si>
    <t>2015-09-01 10:26</t>
  </si>
  <si>
    <t>2015-09-08 15:16</t>
  </si>
  <si>
    <t>2015-08-20 11:45</t>
  </si>
  <si>
    <t>2015-08-20 12:30</t>
  </si>
  <si>
    <t>2015-08-20 13:16</t>
  </si>
  <si>
    <t>2015-08-24 12:07</t>
  </si>
  <si>
    <t>2015-08-24 12:41</t>
  </si>
  <si>
    <t>2015-08-24 14:20</t>
  </si>
  <si>
    <t>2015-08-24 14:50</t>
  </si>
  <si>
    <t>2015-08-24 15:22</t>
  </si>
  <si>
    <t>2015-08-24 13:35</t>
  </si>
  <si>
    <t>2015-08-26 14:52</t>
  </si>
  <si>
    <t>2015-08-26 11:57</t>
  </si>
  <si>
    <t>2015-08-26 12:41</t>
  </si>
  <si>
    <t>2015-08-31 13:45</t>
  </si>
  <si>
    <t>2015-08-31 14:10</t>
  </si>
  <si>
    <t>2015-08-31 14:41</t>
  </si>
  <si>
    <t>2015-08-31 12:14</t>
  </si>
  <si>
    <t>2015-08-31 15:16</t>
  </si>
  <si>
    <t>78.08</t>
  </si>
  <si>
    <t>78.8</t>
  </si>
  <si>
    <t>78.6</t>
  </si>
  <si>
    <t>80.05</t>
  </si>
  <si>
    <t>81.02</t>
  </si>
  <si>
    <t>81.9</t>
  </si>
  <si>
    <t>83.69</t>
  </si>
  <si>
    <t>83.5</t>
  </si>
  <si>
    <t>84.45</t>
  </si>
  <si>
    <t>84.094</t>
  </si>
  <si>
    <t>79.041</t>
  </si>
  <si>
    <t>84.362</t>
  </si>
  <si>
    <t>748.3</t>
  </si>
  <si>
    <t>751.5</t>
  </si>
  <si>
    <t>751.9</t>
  </si>
  <si>
    <t>2015-09-02 12:21</t>
  </si>
  <si>
    <t>76.55</t>
  </si>
  <si>
    <t>2015-09-03 17:41</t>
  </si>
  <si>
    <t>2015-09-10 12:01</t>
  </si>
  <si>
    <t>2015-09-02 12:58</t>
  </si>
  <si>
    <t>80.361</t>
  </si>
  <si>
    <t>2015-09-10 12:48</t>
  </si>
  <si>
    <t>2015-09-04 18:53</t>
  </si>
  <si>
    <t>2015-09-02 13:48</t>
  </si>
  <si>
    <t>2015-09-03 23:34</t>
  </si>
  <si>
    <t>2015-09-10 13:23</t>
  </si>
  <si>
    <t>2015-09-08 13:35</t>
  </si>
  <si>
    <t>74.467</t>
  </si>
  <si>
    <t>758.9</t>
  </si>
  <si>
    <t>2015-09-08 12:02</t>
  </si>
  <si>
    <t>73.688</t>
  </si>
  <si>
    <t>2015-09-11 16:07</t>
  </si>
  <si>
    <t>2015-09-08 17:52</t>
  </si>
  <si>
    <t>2015-09-08 23:05</t>
  </si>
  <si>
    <t>2015-09-11 16:15</t>
  </si>
  <si>
    <t>2015-09-08 14:59</t>
  </si>
  <si>
    <t>2015-09-08 22:59</t>
  </si>
  <si>
    <t>2015-09-11 16:04</t>
  </si>
  <si>
    <t>2015-09-08 15:33</t>
  </si>
  <si>
    <t>78.733</t>
  </si>
  <si>
    <t>2015-09-09 13:33</t>
  </si>
  <si>
    <t>2015-09-13 11:20</t>
  </si>
  <si>
    <t>2015-09-13 11:42</t>
  </si>
  <si>
    <t>2015-09-13 12:01</t>
  </si>
  <si>
    <t>2015-09-13 13:00</t>
  </si>
  <si>
    <t>2015-09-13 13:29</t>
  </si>
  <si>
    <t>2015-09-13 13:55</t>
  </si>
  <si>
    <t>2015-09-13 14:10</t>
  </si>
  <si>
    <t>2015-09-13 14:30</t>
  </si>
  <si>
    <t>2015-09-14 08:40</t>
  </si>
  <si>
    <t>2015-09-14 09:10</t>
  </si>
  <si>
    <t>2015-09-14 09:30</t>
  </si>
  <si>
    <t>2015-09-14 09:54</t>
  </si>
  <si>
    <t>2015-09-14 13:10</t>
  </si>
  <si>
    <t>2015-09-14 13:20</t>
  </si>
  <si>
    <t>2015-09-14 13:51</t>
  </si>
  <si>
    <t>2015-09-14 15:39</t>
  </si>
  <si>
    <t>2015-09-14 15:53</t>
  </si>
  <si>
    <t>2015-09-14 16:16</t>
  </si>
  <si>
    <t>2015-09-14 10:11</t>
  </si>
  <si>
    <t>2015-09-14 12:24</t>
  </si>
  <si>
    <t>2015-09-14 12:41</t>
  </si>
  <si>
    <t>2015-09-14 12:55</t>
  </si>
  <si>
    <t>2015-09-14 13:28</t>
  </si>
  <si>
    <t>2015-09-14 15:10</t>
  </si>
  <si>
    <t>2015-09-14 15:28</t>
  </si>
  <si>
    <t>2015-09-14 15:38</t>
  </si>
  <si>
    <t>2015-09-14 15:56</t>
  </si>
  <si>
    <t>2015-09-14 16:07</t>
  </si>
  <si>
    <t>2015-09-15 08:40</t>
  </si>
  <si>
    <t>2015-09-15 09:31</t>
  </si>
  <si>
    <t>2015-09-15 09:53</t>
  </si>
  <si>
    <t>2015-09-15 10:23</t>
  </si>
  <si>
    <t>2015-09-15 14:15</t>
  </si>
  <si>
    <t>2015-09-15 14:40</t>
  </si>
  <si>
    <t>2015-09-15 15:06</t>
  </si>
  <si>
    <t>2015-09-15 09:20</t>
  </si>
  <si>
    <t>2015-09-15 09:50</t>
  </si>
  <si>
    <t>2015-09-14 09:32</t>
  </si>
  <si>
    <t>2015-09-14 09:17</t>
  </si>
  <si>
    <t>2015-09-14 08:47</t>
  </si>
  <si>
    <t>2015-09-14 09:35</t>
  </si>
  <si>
    <t>2015-09-15 10:10</t>
  </si>
  <si>
    <t>2015-09-15 10:35</t>
  </si>
  <si>
    <t>2015-09-15 11:00</t>
  </si>
  <si>
    <t>2015-09-15 14:30</t>
  </si>
  <si>
    <t>2015-09-15 14:45</t>
  </si>
  <si>
    <t>2015-09-15 15:00</t>
  </si>
  <si>
    <t>2015-09-15 15:15</t>
  </si>
  <si>
    <t>2015-09-15 15:30</t>
  </si>
  <si>
    <t>2015-09-15 15:40</t>
  </si>
  <si>
    <t>2015-09-16 10:45</t>
  </si>
  <si>
    <t>2015-09-16 11:23</t>
  </si>
  <si>
    <t>2015-09-16 11:40</t>
  </si>
  <si>
    <t>2015-09-16 12:00</t>
  </si>
  <si>
    <t>2015-09-16 12:16</t>
  </si>
  <si>
    <t>2015-09-16 12:30</t>
  </si>
  <si>
    <t>2015-09-16 15:30</t>
  </si>
  <si>
    <t>2015-09-16 15:40</t>
  </si>
  <si>
    <t>2015-09-16 16:20</t>
  </si>
  <si>
    <t>2015-09-16 16:30</t>
  </si>
  <si>
    <t>2015-09-28 14:20</t>
  </si>
  <si>
    <t>2015-10-05 15:10</t>
  </si>
  <si>
    <t>2015-09-10 12:20</t>
  </si>
  <si>
    <t>2015-09-11 14:00</t>
  </si>
  <si>
    <t>2015-09-11 14:30</t>
  </si>
  <si>
    <t>2015-09-11 15:10</t>
  </si>
  <si>
    <t>2015-09-12 15:47</t>
  </si>
  <si>
    <t>2015-09-10 11:50</t>
  </si>
  <si>
    <t>25.2</t>
  </si>
  <si>
    <t>2015-10-05 14:21</t>
  </si>
  <si>
    <t>2015-09-28 22:11</t>
  </si>
  <si>
    <t>2015-10-05 14:51</t>
  </si>
  <si>
    <t>2015-09-08 14:11</t>
  </si>
  <si>
    <t>763</t>
  </si>
  <si>
    <t>2015-09-13 14:21</t>
  </si>
  <si>
    <t>2015-09-08 19:41</t>
  </si>
  <si>
    <t>2015-09-14 08:55</t>
  </si>
  <si>
    <t>2015-09-13 14:45</t>
  </si>
  <si>
    <t>2015-09-13 12:16</t>
  </si>
  <si>
    <t>2015-09-13 11:35</t>
  </si>
  <si>
    <t>2015-09-11 16:27</t>
  </si>
  <si>
    <t>2015-09-12 16:05</t>
  </si>
  <si>
    <t>2015-09-13 11:57</t>
  </si>
  <si>
    <t>2015-09-14 09:25</t>
  </si>
  <si>
    <t>2015-09-14 09:45</t>
  </si>
  <si>
    <t>2015-09-14 10:09</t>
  </si>
  <si>
    <t>2015-09-14 15:11</t>
  </si>
  <si>
    <t>2015-09-14 14:06</t>
  </si>
  <si>
    <t>2015-09-14 13:35</t>
  </si>
  <si>
    <t>2015-09-14 13:25</t>
  </si>
  <si>
    <t>2015-09-13 13:15</t>
  </si>
  <si>
    <t>2015-09-13 14:36</t>
  </si>
  <si>
    <t>2015-09-13 14:25</t>
  </si>
  <si>
    <t>2015-09-15 08:55</t>
  </si>
  <si>
    <t>2015-09-13 13:44</t>
  </si>
  <si>
    <t>2015-09-14 09:50</t>
  </si>
  <si>
    <t>2015-09-14 10:26</t>
  </si>
  <si>
    <t>2015-09-14 09:02</t>
  </si>
  <si>
    <t>2015-09-14 09:47</t>
  </si>
  <si>
    <t>2015-09-14 12:39</t>
  </si>
  <si>
    <t>2015-09-14 12:56</t>
  </si>
  <si>
    <t>2015-09-14 13:43</t>
  </si>
  <si>
    <t>2015-09-14 09:59</t>
  </si>
  <si>
    <t>2015-09-14 16:08</t>
  </si>
  <si>
    <t>2015-09-14 15:54</t>
  </si>
  <si>
    <t>2015-09-14 15:26</t>
  </si>
  <si>
    <t>2015-09-15 09:46</t>
  </si>
  <si>
    <t>2015-09-15 10:08</t>
  </si>
  <si>
    <t>2015-09-15 10:38</t>
  </si>
  <si>
    <t>2015-09-14 15:25</t>
  </si>
  <si>
    <t>2015-09-15 15:16</t>
  </si>
  <si>
    <t>2015-09-14 15:43</t>
  </si>
  <si>
    <t>2015-09-14 16:11</t>
  </si>
  <si>
    <t>2015-09-14 16:22</t>
  </si>
  <si>
    <t>2015-09-15 09:35</t>
  </si>
  <si>
    <t>2015-09-15 10:05</t>
  </si>
  <si>
    <t>2015-09-15 10:50</t>
  </si>
  <si>
    <t>2015-09-15 11:15</t>
  </si>
  <si>
    <t>2015-09-15 15:45</t>
  </si>
  <si>
    <t>2015-09-15 15:55</t>
  </si>
  <si>
    <t>2015-09-16 09:16</t>
  </si>
  <si>
    <t>2015-09-15 14:54</t>
  </si>
  <si>
    <t>2015-09-16 09:54</t>
  </si>
  <si>
    <t>2015-09-16 10:15</t>
  </si>
  <si>
    <t>Temperature.C</t>
  </si>
  <si>
    <t>2015-09-16 15:36</t>
  </si>
  <si>
    <t>2015-09-17 10:51</t>
  </si>
  <si>
    <t>2015-09-17 12:55</t>
  </si>
  <si>
    <t>2015-09-16 11:00</t>
  </si>
  <si>
    <t>2015-09-16 11:55</t>
  </si>
  <si>
    <t>2015-09-16 12:31</t>
  </si>
  <si>
    <t>2015-09-16 12:15</t>
  </si>
  <si>
    <t>2015-09-16 10:25</t>
  </si>
  <si>
    <t>2015-09-16 15:45</t>
  </si>
  <si>
    <t>2015-09-16 15:55</t>
  </si>
  <si>
    <t>2015-09-16 15:16</t>
  </si>
  <si>
    <t>2015-09-16 11:38</t>
  </si>
  <si>
    <t>2015-09-16 16:00</t>
  </si>
  <si>
    <t>2015-09-16 12:45</t>
  </si>
  <si>
    <t>2015-09-16 09:45</t>
  </si>
  <si>
    <t>2015-09-17 09:01</t>
  </si>
  <si>
    <t>2015-09-17 02:30</t>
  </si>
  <si>
    <t>2015-09-17 10:23</t>
  </si>
  <si>
    <t>2015-09-17 11:57</t>
  </si>
  <si>
    <t>2015-09-16 16:35</t>
  </si>
  <si>
    <t>2015-09-16 16:45</t>
  </si>
  <si>
    <t>2015-09-17 12:28</t>
  </si>
  <si>
    <t>2015-09-17 13:05</t>
  </si>
  <si>
    <t>2015-09-17 09:30</t>
  </si>
  <si>
    <t>2015-09-23 12:05</t>
  </si>
  <si>
    <t>2015-09-17 17:05</t>
  </si>
  <si>
    <t>2015-09-17 12:48</t>
  </si>
  <si>
    <t>2015-09-23 12:58</t>
  </si>
  <si>
    <t>2015-09-17 12:17</t>
  </si>
  <si>
    <t>2015-09-17 19:07</t>
  </si>
  <si>
    <t>2015-09-23 13:32</t>
  </si>
  <si>
    <t>2015-09-17 10:43</t>
  </si>
  <si>
    <t>2015-09-17 16:08</t>
  </si>
  <si>
    <t>2015-09-17 11:25</t>
  </si>
  <si>
    <t>2015-09-18 18:45</t>
  </si>
  <si>
    <t>2015-09-23 13:55</t>
  </si>
  <si>
    <t>2015-09-23 14:23</t>
  </si>
  <si>
    <t>2015-09-17 10:04</t>
  </si>
  <si>
    <t>2015-09-25 12:04</t>
  </si>
  <si>
    <t>2015-09-18 21:39</t>
  </si>
  <si>
    <t>2015-09-17 10:11</t>
  </si>
  <si>
    <t>2015-09-25 13:11</t>
  </si>
  <si>
    <t>2015-09-25 14:16</t>
  </si>
  <si>
    <t>2015-09-18 02:31</t>
  </si>
  <si>
    <t>2015-09-17 09:21</t>
  </si>
  <si>
    <t>2015-09-23 12:17</t>
  </si>
  <si>
    <t>2015-09-28 10:47</t>
  </si>
  <si>
    <t>2015-09-23 23:37</t>
  </si>
  <si>
    <t>2015-09-23 13:09</t>
  </si>
  <si>
    <t>2015-09-24 15:39</t>
  </si>
  <si>
    <t>2015-09-28 11:24</t>
  </si>
  <si>
    <t>2015-09-23 13:36</t>
  </si>
  <si>
    <t>2015-09-24 00:54</t>
  </si>
  <si>
    <t>2015-09-28 12:16</t>
  </si>
  <si>
    <t>2015-09-23 14:00</t>
  </si>
  <si>
    <t>2015-09-28 13:45</t>
  </si>
  <si>
    <t>2015-09-24 19:00</t>
  </si>
  <si>
    <t>2015-09-23 14:31</t>
  </si>
  <si>
    <t>2015-09-28 14:11</t>
  </si>
  <si>
    <t>2015-09-23 18:46</t>
  </si>
  <si>
    <t>2015-09-25 13:21</t>
  </si>
  <si>
    <t>2015-09-28 14:46</t>
  </si>
  <si>
    <t>2015-09-27 01:11</t>
  </si>
  <si>
    <t>2015-09-25 12:33</t>
  </si>
  <si>
    <t>2015-09-30 11:13</t>
  </si>
  <si>
    <t>2015-09-27 18:28</t>
  </si>
  <si>
    <t>2015-09-25 14:28</t>
  </si>
  <si>
    <t>2015-09-27 13:38</t>
  </si>
  <si>
    <t>2015-09-30 11:53</t>
  </si>
  <si>
    <t>2015-09-28 14:28</t>
  </si>
  <si>
    <t>2015-09-28 14:14</t>
  </si>
  <si>
    <t>2015-10-02 8:19</t>
  </si>
  <si>
    <t>2015-10-05 13:36</t>
  </si>
  <si>
    <t>2015-09-28 11:46</t>
  </si>
  <si>
    <t>2015-09-29 01:26</t>
  </si>
  <si>
    <t>2015-09-28 11:06</t>
  </si>
  <si>
    <t>2015-09-28 12:30</t>
  </si>
  <si>
    <t>2015-09-17 11:30</t>
  </si>
  <si>
    <t>2015-09-28 13:24</t>
  </si>
  <si>
    <t>2015-09-29 10:34</t>
  </si>
  <si>
    <t>2015-10-05 11:44</t>
  </si>
  <si>
    <t>2015-09-28 17:48</t>
  </si>
  <si>
    <t>2015-10-05 12:43</t>
  </si>
  <si>
    <t>08:40</t>
  </si>
  <si>
    <t>09:10</t>
  </si>
  <si>
    <t>09:30</t>
  </si>
  <si>
    <t>09:54</t>
  </si>
  <si>
    <t>09:35</t>
  </si>
  <si>
    <t>08:47</t>
  </si>
  <si>
    <t>09:17</t>
  </si>
  <si>
    <t>09:32</t>
  </si>
  <si>
    <t>09:31</t>
  </si>
  <si>
    <t>09:20</t>
  </si>
  <si>
    <t>09:50</t>
  </si>
  <si>
    <t>500</t>
  </si>
  <si>
    <t>501</t>
  </si>
  <si>
    <t>2015-10-08</t>
  </si>
  <si>
    <t>2015-10-14</t>
  </si>
  <si>
    <t>Latitude</t>
  </si>
  <si>
    <t>2015-10-16</t>
  </si>
  <si>
    <t>2015-10-19</t>
  </si>
  <si>
    <t>2015-10-21</t>
  </si>
  <si>
    <t>2015-09-30 11:39</t>
  </si>
  <si>
    <t>2015-10-05 00:14</t>
  </si>
  <si>
    <t>2015-10-08 11:49</t>
  </si>
  <si>
    <t>39.019986</t>
  </si>
  <si>
    <t>-84.1535033</t>
  </si>
  <si>
    <t>39.02927833</t>
  </si>
  <si>
    <t>-84.090951</t>
  </si>
  <si>
    <t>39.026475</t>
  </si>
  <si>
    <t>39.0241</t>
  </si>
  <si>
    <t>-84.091035</t>
  </si>
  <si>
    <t>-84.091445</t>
  </si>
  <si>
    <t>39.012366</t>
  </si>
  <si>
    <t>-84.098658</t>
  </si>
  <si>
    <t>39.021225</t>
  </si>
  <si>
    <t>-84.096200</t>
  </si>
  <si>
    <t>39.036991</t>
  </si>
  <si>
    <t>-84.13782833</t>
  </si>
  <si>
    <t>39.019230</t>
  </si>
  <si>
    <t>-84.12945033</t>
  </si>
  <si>
    <t>39.019836</t>
  </si>
  <si>
    <t>-84.153643</t>
  </si>
  <si>
    <t>39.029263</t>
  </si>
  <si>
    <t>-84.090935</t>
  </si>
  <si>
    <t>39.026578</t>
  </si>
  <si>
    <t>-84.091438</t>
  </si>
  <si>
    <t>39.024230</t>
  </si>
  <si>
    <t>-84.090933</t>
  </si>
  <si>
    <t>39.016873</t>
  </si>
  <si>
    <t>-84.102710</t>
  </si>
  <si>
    <t>39.021500</t>
  </si>
  <si>
    <t>-84.096035</t>
  </si>
  <si>
    <t>39.037185</t>
  </si>
  <si>
    <t>39.019460</t>
  </si>
  <si>
    <t>-84.129715</t>
  </si>
  <si>
    <t>39.020041</t>
  </si>
  <si>
    <t>-84.153561</t>
  </si>
  <si>
    <t>2015-09-30 12:05</t>
  </si>
  <si>
    <t>2015-10-05 14:29</t>
  </si>
  <si>
    <t>2015-10-06 12:54</t>
  </si>
  <si>
    <t>2015-10-14 11:39</t>
  </si>
  <si>
    <t>2015-10-04 02:45</t>
  </si>
  <si>
    <t>2015-10-08 14:05</t>
  </si>
  <si>
    <t>2015-10-05 14:58</t>
  </si>
  <si>
    <t>2015-10-14 12:13</t>
  </si>
  <si>
    <t>2015-10-08 00:43</t>
  </si>
  <si>
    <t>2015-10-05 15:22</t>
  </si>
  <si>
    <t>2015-10-06 05:47</t>
  </si>
  <si>
    <t>2015-10-14 12:42</t>
  </si>
  <si>
    <t>2015-10-05 13:47</t>
  </si>
  <si>
    <t>2015-10-14 13:47</t>
  </si>
  <si>
    <t>2015-10-07 03:17</t>
  </si>
  <si>
    <t>2015-10-05 13:20</t>
  </si>
  <si>
    <t>2015-10-14 14:20</t>
  </si>
  <si>
    <t>2015-10-05 21:25</t>
  </si>
  <si>
    <t>2015-10-05 11:52</t>
  </si>
  <si>
    <t>2015-10-14 14:47</t>
  </si>
  <si>
    <t>2015-10-05 14:37</t>
  </si>
  <si>
    <t>2015-10-08 12:05</t>
  </si>
  <si>
    <t>2015-10-11 07:25</t>
  </si>
  <si>
    <t>2015-10-16 10:55</t>
  </si>
  <si>
    <t>2015-10-08 13:10</t>
  </si>
  <si>
    <t>2015-10-16 12:00</t>
  </si>
  <si>
    <t>2015-10-10 06:35</t>
  </si>
  <si>
    <t>2015-10-08 14:17</t>
  </si>
  <si>
    <t>2015-10-10 07:24</t>
  </si>
  <si>
    <t>2015-10-16 13:32</t>
  </si>
  <si>
    <t>2015-10-19 11:50</t>
  </si>
  <si>
    <t>2015-10-15 09:15</t>
  </si>
  <si>
    <t>2015-10-14 11:50</t>
  </si>
  <si>
    <t>2015-10-19 12:42</t>
  </si>
  <si>
    <t>2015-10-17 03:07</t>
  </si>
  <si>
    <t>2015-10-14 12:22</t>
  </si>
  <si>
    <t>2015-10-14 12:59</t>
  </si>
  <si>
    <t>2015-10-19 13:24</t>
  </si>
  <si>
    <t>2015-10-15 13:39</t>
  </si>
  <si>
    <t>2015-10-14 13:59</t>
  </si>
  <si>
    <t>2015-10-14 14:37</t>
  </si>
  <si>
    <t>2015-10-14 15:02</t>
  </si>
  <si>
    <t>2015-10-19 15:07</t>
  </si>
  <si>
    <t>2015-10-19 14:04</t>
  </si>
  <si>
    <t>2015-10-18 18:44</t>
  </si>
  <si>
    <t>2015-10-14 17:22</t>
  </si>
  <si>
    <t>2015-10-19 14:42</t>
  </si>
  <si>
    <t>2015-08-17 23:52</t>
  </si>
  <si>
    <t>2015-08-18 13:03</t>
  </si>
  <si>
    <t>2015-08-17 23:39</t>
  </si>
  <si>
    <t>2015-08-24 23:52</t>
  </si>
  <si>
    <t>2015-09-28 12:59</t>
  </si>
  <si>
    <t>2015-09-23 15:04</t>
  </si>
  <si>
    <t>2015-09-23 14:49</t>
  </si>
  <si>
    <t>2015-09-28 14:54</t>
  </si>
  <si>
    <t>2015-10-08 12:49</t>
  </si>
  <si>
    <t>2015-09-29 17:19</t>
  </si>
  <si>
    <t>2015-09-17 11:45</t>
  </si>
  <si>
    <t>2015-09-17 09:45</t>
  </si>
  <si>
    <t>847</t>
  </si>
  <si>
    <t>848</t>
  </si>
  <si>
    <t>849</t>
  </si>
  <si>
    <t>850</t>
  </si>
  <si>
    <t>851</t>
  </si>
  <si>
    <t>852</t>
  </si>
  <si>
    <t>853</t>
  </si>
  <si>
    <t>854</t>
  </si>
  <si>
    <t>855</t>
  </si>
  <si>
    <t>856</t>
  </si>
  <si>
    <t>857</t>
  </si>
  <si>
    <t>858</t>
  </si>
  <si>
    <t>862</t>
  </si>
  <si>
    <t>863</t>
  </si>
  <si>
    <t>859</t>
  </si>
  <si>
    <t>860</t>
  </si>
  <si>
    <t>861</t>
  </si>
  <si>
    <t>864</t>
  </si>
  <si>
    <t>865</t>
  </si>
  <si>
    <t>866</t>
  </si>
  <si>
    <t>867</t>
  </si>
  <si>
    <t>868</t>
  </si>
  <si>
    <t>869</t>
  </si>
  <si>
    <t>143</t>
  </si>
  <si>
    <t>144</t>
  </si>
  <si>
    <t>145</t>
  </si>
  <si>
    <t>2015-10-26</t>
  </si>
  <si>
    <t>2015-10-16 11:42</t>
  </si>
  <si>
    <t>2015-10-21 11:17</t>
  </si>
  <si>
    <t>2015-10-17 18:12</t>
  </si>
  <si>
    <t>2015-10-16 08:12</t>
  </si>
  <si>
    <t>2015-10-16 13:02</t>
  </si>
  <si>
    <t>2015-10-21 12:02</t>
  </si>
  <si>
    <t>2015-10-19 08:07</t>
  </si>
  <si>
    <t>2015-10-16 14:32</t>
  </si>
  <si>
    <t>2015-10-21 13:12</t>
  </si>
  <si>
    <t>2015-10-20 16:57</t>
  </si>
  <si>
    <t>2015-10-19 12:24</t>
  </si>
  <si>
    <t>2015-10-20 18:34</t>
  </si>
  <si>
    <t>2015-10-26 11:42</t>
  </si>
  <si>
    <t>39.029156</t>
  </si>
  <si>
    <t>-84.09106500</t>
  </si>
  <si>
    <t>39.0263550</t>
  </si>
  <si>
    <t>-84.0913766</t>
  </si>
  <si>
    <t>39.024158</t>
  </si>
  <si>
    <t>-84.090941</t>
  </si>
  <si>
    <t>39.0124533</t>
  </si>
  <si>
    <t>-84.0988733</t>
  </si>
  <si>
    <t>39.016991</t>
  </si>
  <si>
    <t>-84.10282833</t>
  </si>
  <si>
    <t>2015-10-19 13:40</t>
  </si>
  <si>
    <t>2015-10-19 21:35</t>
  </si>
  <si>
    <t>2015-10-26 13:15</t>
  </si>
  <si>
    <t>2015-10-19 14:23</t>
  </si>
  <si>
    <t>2015-10-26 13:43</t>
  </si>
  <si>
    <t>2015-10-19 14:54</t>
  </si>
  <si>
    <t>2015-10-26 14:24</t>
  </si>
  <si>
    <t>2015-10-20 00:04</t>
  </si>
  <si>
    <t>2015-10-19 15:31</t>
  </si>
  <si>
    <t>2015-10-26 15:01</t>
  </si>
  <si>
    <t>2015-10-25 13:56</t>
  </si>
  <si>
    <t>2015-10-30</t>
  </si>
  <si>
    <t>2015-10-23 19:03</t>
  </si>
  <si>
    <t>2015-10-30 11:28</t>
  </si>
  <si>
    <t>2015-10-21 12:16</t>
  </si>
  <si>
    <t>2015-10-30 12:06</t>
  </si>
  <si>
    <t>2015-10-23 06:41</t>
  </si>
  <si>
    <t>2015-10-21 14:10</t>
  </si>
  <si>
    <t>2015-10-30 13:15</t>
  </si>
  <si>
    <t>2015-10-25 21:00</t>
  </si>
  <si>
    <t>2015-10-21 19:08</t>
  </si>
  <si>
    <t>Gas volume</t>
  </si>
  <si>
    <t>final</t>
  </si>
  <si>
    <t>initial</t>
  </si>
  <si>
    <t>2015-11-04</t>
  </si>
  <si>
    <t>2015-11-05</t>
  </si>
  <si>
    <t>2015-10-26 11:52</t>
  </si>
  <si>
    <t>2015-11-04 11:27</t>
  </si>
  <si>
    <t>2015-10-27 02:02</t>
  </si>
  <si>
    <t>2015-10-26 12:35</t>
  </si>
  <si>
    <t>2015-11-04 12:10</t>
  </si>
  <si>
    <t>2015-10-27 01:25</t>
  </si>
  <si>
    <t>2015-11-04 12:40</t>
  </si>
  <si>
    <t>2015-10-26 17:40</t>
  </si>
  <si>
    <t>2015-11-04 14:00</t>
  </si>
  <si>
    <t>2015-10-27 06:15</t>
  </si>
  <si>
    <t>2015-10-26 15:04</t>
  </si>
  <si>
    <t>2015-11-04 14:29</t>
  </si>
  <si>
    <t>2015-10-26 15:51</t>
  </si>
  <si>
    <t>2015-11-04 15:01</t>
  </si>
  <si>
    <t>2015-10-31 16:01</t>
  </si>
  <si>
    <t>2015-11-05 11:41</t>
  </si>
  <si>
    <t>2015-11-02 21:31</t>
  </si>
  <si>
    <t>2015-10-30 12:43</t>
  </si>
  <si>
    <t>2015-11-05 12:18</t>
  </si>
  <si>
    <t>2015-11-01 01:03</t>
  </si>
  <si>
    <t>2015-10-30 13:41</t>
  </si>
  <si>
    <t>2015-11-05 03:46</t>
  </si>
  <si>
    <t>2015-11-12</t>
  </si>
  <si>
    <t>2015-10-26 13:35</t>
  </si>
  <si>
    <t>2015-10-30 11:51</t>
  </si>
  <si>
    <t>2015-11-05 13:06</t>
  </si>
  <si>
    <t>2015-11-19</t>
  </si>
  <si>
    <t>2015-11-20</t>
  </si>
  <si>
    <t>2015-11-04 10:50</t>
  </si>
  <si>
    <t>2015-11-04 11:34</t>
  </si>
  <si>
    <t>2015-11-04 11:59</t>
  </si>
  <si>
    <t>2015-11-04 14:19</t>
  </si>
  <si>
    <t>2015-11-04 13:57</t>
  </si>
  <si>
    <t>2015-11-04 21:57</t>
  </si>
  <si>
    <t>2015-11-05 11:26</t>
  </si>
  <si>
    <t>2015-11-05 20:06</t>
  </si>
  <si>
    <t>2015-11-05 12:34</t>
  </si>
  <si>
    <t>2015-11-12 13:48</t>
  </si>
  <si>
    <t>2015-11-12 12:03</t>
  </si>
  <si>
    <t>2015-11-12 12:51</t>
  </si>
  <si>
    <t>2015-11-12 13:32</t>
  </si>
  <si>
    <t>2015-11-12 14:05</t>
  </si>
  <si>
    <t>2015-11-12 12:46</t>
  </si>
  <si>
    <t>2015-11-12 23:43</t>
  </si>
  <si>
    <t>2015-11-12 22:04</t>
  </si>
  <si>
    <t>2015-11-12 17:17</t>
  </si>
  <si>
    <t>2015-11-18 23:18</t>
  </si>
  <si>
    <t>2015-11-13 01:21</t>
  </si>
  <si>
    <t>2015-11-13 18:35</t>
  </si>
  <si>
    <t>2015-11-18 00:23</t>
  </si>
  <si>
    <t>2015-11-17 14:44</t>
  </si>
  <si>
    <t>2015-11-17 06:57</t>
  </si>
  <si>
    <t>2015-11-05 20:30</t>
  </si>
  <si>
    <t>2015-11-09 23:34</t>
  </si>
  <si>
    <t>2015-11-04 16:54</t>
  </si>
  <si>
    <t>2015-11-05 18:02</t>
  </si>
  <si>
    <t>2015-11-09 02:16</t>
  </si>
  <si>
    <t>2015-11-09 03:46</t>
  </si>
  <si>
    <t>2015-11-11 12:44</t>
  </si>
  <si>
    <t>2015-11-12 11:20</t>
  </si>
  <si>
    <t>2015-11-12 11:04</t>
  </si>
  <si>
    <t>2015-11-12 12:09</t>
  </si>
  <si>
    <t>2015-11-12 06:49</t>
  </si>
  <si>
    <t>2015-11-12 13:02</t>
  </si>
  <si>
    <t>2015-11-12 13:37</t>
  </si>
  <si>
    <t>2015-11-12 14:06</t>
  </si>
  <si>
    <t>2015-11-12 14:26</t>
  </si>
  <si>
    <t>2015-11-12 14:54</t>
  </si>
  <si>
    <t>2015-11-19 10:33</t>
  </si>
  <si>
    <t>2015-11-19 10:58</t>
  </si>
  <si>
    <t>2015-11-19 11:31</t>
  </si>
  <si>
    <t>2015-11-20 10:38</t>
  </si>
  <si>
    <t>2015-11-20 11:19</t>
  </si>
  <si>
    <t>2015-11-25</t>
  </si>
  <si>
    <t>2015-11-19 11:02</t>
  </si>
  <si>
    <t>2015-11-25 10:47</t>
  </si>
  <si>
    <t>2015-11-25 11:11</t>
  </si>
  <si>
    <t>2015-11-19 11:56</t>
  </si>
  <si>
    <t>2015-11-19 15:51</t>
  </si>
  <si>
    <t>2015-11-19 13:43</t>
  </si>
  <si>
    <t>2015-11-25 11:58</t>
  </si>
  <si>
    <t>2015-11-19 12:52</t>
  </si>
  <si>
    <t>2015-11-25 12:42</t>
  </si>
  <si>
    <t>2015-11-20 11:37</t>
  </si>
  <si>
    <t>2015-11-25 13:32</t>
  </si>
  <si>
    <t>2015-11-20 11:03</t>
  </si>
  <si>
    <t>2015-11-25 13:53</t>
  </si>
  <si>
    <t>2015-11-20 13:16</t>
  </si>
  <si>
    <t>2015-11-20 13:02</t>
  </si>
  <si>
    <t>2015-11-25 14:16</t>
  </si>
  <si>
    <t>2015-11-19 13:06</t>
  </si>
  <si>
    <t>2015-11-25 11:41</t>
  </si>
  <si>
    <t>2015-11-25 13:06</t>
  </si>
  <si>
    <t>606</t>
  </si>
  <si>
    <t>870</t>
  </si>
  <si>
    <t>1007</t>
  </si>
  <si>
    <t>1008</t>
  </si>
  <si>
    <t>1014</t>
  </si>
  <si>
    <t>1015</t>
  </si>
  <si>
    <t>0081</t>
  </si>
  <si>
    <t>0085</t>
  </si>
  <si>
    <t>0086</t>
  </si>
  <si>
    <t>0087</t>
  </si>
  <si>
    <t>0105</t>
  </si>
  <si>
    <t>0106</t>
  </si>
  <si>
    <t>699</t>
  </si>
  <si>
    <t>845</t>
  </si>
  <si>
    <t>846</t>
  </si>
  <si>
    <t>925</t>
  </si>
  <si>
    <t>926</t>
  </si>
  <si>
    <t>927</t>
  </si>
  <si>
    <t>943</t>
  </si>
  <si>
    <t>944</t>
  </si>
  <si>
    <t>945</t>
  </si>
  <si>
    <t>961</t>
  </si>
  <si>
    <t>962</t>
  </si>
  <si>
    <t>963</t>
  </si>
  <si>
    <t>756</t>
  </si>
  <si>
    <t>761</t>
  </si>
  <si>
    <t>762</t>
  </si>
  <si>
    <t>871</t>
  </si>
  <si>
    <t>872</t>
  </si>
  <si>
    <t>873</t>
  </si>
  <si>
    <t>874</t>
  </si>
  <si>
    <t>875</t>
  </si>
  <si>
    <t>876</t>
  </si>
  <si>
    <t>877</t>
  </si>
  <si>
    <t>878</t>
  </si>
  <si>
    <t>879</t>
  </si>
  <si>
    <t>880</t>
  </si>
  <si>
    <t>881</t>
  </si>
  <si>
    <t>882</t>
  </si>
  <si>
    <t>883</t>
  </si>
  <si>
    <t>2015-12-02</t>
  </si>
  <si>
    <t>10078</t>
  </si>
  <si>
    <t>Control Trap 1</t>
  </si>
  <si>
    <t>Control Trap 0.5</t>
  </si>
  <si>
    <t>2015-11-25 11:44</t>
  </si>
  <si>
    <t>2015-12-02 11:19</t>
  </si>
  <si>
    <t>2015-11-25 15:28</t>
  </si>
  <si>
    <t>2015-12-02 12:58</t>
  </si>
  <si>
    <t>2015-11-25 15:57</t>
  </si>
  <si>
    <t>2015-12-02 14:42</t>
  </si>
  <si>
    <t>2015-11-25 14:57</t>
  </si>
  <si>
    <t>2015-12-02 14:57</t>
  </si>
  <si>
    <t>2015-11-25 11:01</t>
  </si>
  <si>
    <t>2015-12-02 11:16</t>
  </si>
  <si>
    <t>2015-11-25 11:53</t>
  </si>
  <si>
    <t>2015-12-02 12:08</t>
  </si>
  <si>
    <t>2015-11-25 13:17</t>
  </si>
  <si>
    <t>2015-12-02 15:32</t>
  </si>
  <si>
    <t>2015-11-25 12:22</t>
  </si>
  <si>
    <t>2015-12-02 15:57</t>
  </si>
  <si>
    <t>2015-12-09</t>
  </si>
  <si>
    <t>2015-12-11</t>
  </si>
  <si>
    <t>2015-12-02 12:04</t>
  </si>
  <si>
    <t>2015-12-09 09:34</t>
  </si>
  <si>
    <t>2015-12-02 14:54</t>
  </si>
  <si>
    <t>2015-12-09 11:59</t>
  </si>
  <si>
    <t>2015-12-11 15:34</t>
  </si>
  <si>
    <t>2015-12-02 11:43</t>
  </si>
  <si>
    <t>2015-12-09 12:48</t>
  </si>
  <si>
    <t>2015-12-09 12:49</t>
  </si>
  <si>
    <t>2015-12-02 12:28</t>
  </si>
  <si>
    <t>2015-12-09 12:43</t>
  </si>
  <si>
    <t>2015-12-02 15:44</t>
  </si>
  <si>
    <t>2015-12-02 16:56</t>
  </si>
  <si>
    <t>2015-12-09 14:16</t>
  </si>
  <si>
    <t>2015-10-19 13:07</t>
  </si>
  <si>
    <t>2015-10-22 11:02</t>
  </si>
  <si>
    <t>2015-10-26 12:20</t>
  </si>
  <si>
    <t>2015-11-19 12:45</t>
  </si>
  <si>
    <t>2015-11-19 13:21</t>
  </si>
  <si>
    <t>2015-11-19 12:32</t>
  </si>
  <si>
    <t>2015-12-02 15:00</t>
  </si>
  <si>
    <t>2015-12-09 15:00</t>
  </si>
  <si>
    <t>2015-12-02 15:10</t>
  </si>
  <si>
    <t>2015-12-11 15:00</t>
  </si>
  <si>
    <t>2015-12-09 14:29</t>
  </si>
  <si>
    <t>81</t>
  </si>
  <si>
    <t>76</t>
  </si>
  <si>
    <t>70</t>
  </si>
  <si>
    <t>37</t>
  </si>
  <si>
    <t>49</t>
  </si>
  <si>
    <t>104</t>
  </si>
  <si>
    <t>30</t>
  </si>
  <si>
    <t>64</t>
  </si>
  <si>
    <t>-84.131072</t>
  </si>
  <si>
    <t>-84.09779</t>
  </si>
  <si>
    <t>-84.091370</t>
  </si>
  <si>
    <t>39.021135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</si>
</sst>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
    <numFmt numFmtId="166" formatCode="h:mm;@"/>
    <numFmt numFmtId="167" formatCode="0.000"/>
  </numFmts>
  <fonts count="9" x14ac:knownFonts="1">
    <font>
      <sz val="11"/>
      <color theme="1"/>
      <name val="Calibri"/>
      <family val="2"/>
      <scheme val="minor"/>
    </font>
    <font>
      <b/>
      <sz val="11"/>
      <color theme="1"/>
      <name val="Calibri"/>
      <family val="2"/>
      <scheme val="minor"/>
    </font>
    <font>
      <b/>
      <sz val="16"/>
      <color theme="1"/>
      <name val="Calibri"/>
      <family val="2"/>
      <scheme val="minor"/>
    </font>
    <font>
      <sz val="10"/>
      <color theme="1"/>
      <name val="Calibri"/>
      <family val="2"/>
      <scheme val="minor"/>
    </font>
    <font>
      <sz val="9"/>
      <color indexed="81"/>
      <name val="Tahoma"/>
      <family val="2"/>
    </font>
    <font>
      <b/>
      <sz val="9"/>
      <color indexed="81"/>
      <name val="Tahoma"/>
      <family val="2"/>
    </font>
    <font>
      <sz val="9"/>
      <color indexed="81"/>
      <name val="Tahoma"/>
      <charset val="1"/>
    </font>
    <font>
      <b/>
      <sz val="9"/>
      <color indexed="81"/>
      <name val="Tahoma"/>
      <charset val="1"/>
    </font>
    <font>
      <sz val="11"/>
      <name val="Calibri"/>
      <family val="2"/>
      <scheme val="minor"/>
    </font>
  </fonts>
  <fills count="8">
    <fill>
      <patternFill patternType="none"/>
    </fill>
    <fill>
      <patternFill patternType="gray125"/>
    </fill>
    <fill>
      <patternFill patternType="solid">
        <fgColor theme="7" tint="0.59999389629810485"/>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rgb="FFFFFF00"/>
        <bgColor indexed="64"/>
      </patternFill>
    </fill>
    <fill>
      <patternFill patternType="solid">
        <fgColor theme="5" tint="0.59999389629810485"/>
        <bgColor indexed="64"/>
      </patternFill>
    </fill>
    <fill>
      <patternFill patternType="solid">
        <fgColor theme="2" tint="-9.9978637043366805E-2"/>
        <bgColor indexed="64"/>
      </patternFill>
    </fill>
  </fills>
  <borders count="2">
    <border>
      <left/>
      <right/>
      <top/>
      <bottom/>
      <diagonal/>
    </border>
    <border>
      <left style="thin">
        <color indexed="64"/>
      </left>
      <right/>
      <top/>
      <bottom/>
      <diagonal/>
    </border>
  </borders>
  <cellStyleXfs count="1">
    <xf numFmtId="0" fontId="0" fillId="0" borderId="0"/>
  </cellStyleXfs>
  <cellXfs count="112">
    <xf numFmtId="0" fontId="0" fillId="0" borderId="0" xfId="0"/>
    <xf numFmtId="0" fontId="1" fillId="0" borderId="0" xfId="0" applyFont="1" applyAlignment="1">
      <alignment horizontal="center" wrapText="1"/>
    </xf>
    <xf numFmtId="14" fontId="0" fillId="0" borderId="0" xfId="0" applyNumberFormat="1"/>
    <xf numFmtId="49" fontId="1" fillId="0" borderId="0" xfId="0" applyNumberFormat="1" applyFont="1" applyAlignment="1">
      <alignment horizontal="center" wrapText="1"/>
    </xf>
    <xf numFmtId="49" fontId="0" fillId="0" borderId="0" xfId="0" applyNumberFormat="1"/>
    <xf numFmtId="0" fontId="2" fillId="0" borderId="0" xfId="0" applyFont="1"/>
    <xf numFmtId="0" fontId="1" fillId="0" borderId="0" xfId="0" applyFont="1" applyAlignment="1">
      <alignment vertical="center"/>
    </xf>
    <xf numFmtId="49" fontId="1" fillId="2" borderId="0" xfId="0" applyNumberFormat="1" applyFont="1" applyFill="1" applyAlignment="1">
      <alignment horizontal="center" wrapText="1"/>
    </xf>
    <xf numFmtId="49" fontId="0" fillId="0" borderId="0" xfId="0" applyNumberFormat="1" applyAlignment="1">
      <alignment horizontal="center" vertical="center"/>
    </xf>
    <xf numFmtId="0" fontId="1" fillId="4" borderId="0" xfId="0" applyFont="1" applyFill="1" applyAlignment="1">
      <alignment vertical="center"/>
    </xf>
    <xf numFmtId="49" fontId="0" fillId="4" borderId="0" xfId="0" applyNumberFormat="1" applyFill="1" applyAlignment="1">
      <alignment horizontal="center" vertical="center"/>
    </xf>
    <xf numFmtId="0" fontId="0" fillId="4" borderId="0" xfId="0" applyFill="1" applyAlignment="1">
      <alignment horizontal="center" vertical="center"/>
    </xf>
    <xf numFmtId="0" fontId="0" fillId="0" borderId="0" xfId="0" applyAlignment="1">
      <alignment horizontal="left"/>
    </xf>
    <xf numFmtId="0" fontId="0" fillId="0" borderId="0" xfId="0" applyAlignment="1">
      <alignment horizontal="center" vertical="center"/>
    </xf>
    <xf numFmtId="49" fontId="2" fillId="0" borderId="0" xfId="0" applyNumberFormat="1" applyFont="1"/>
    <xf numFmtId="49" fontId="0" fillId="4" borderId="0" xfId="0" applyNumberFormat="1" applyFill="1" applyAlignment="1">
      <alignment horizontal="center"/>
    </xf>
    <xf numFmtId="49" fontId="0" fillId="4" borderId="0" xfId="0" applyNumberFormat="1" applyFill="1"/>
    <xf numFmtId="0" fontId="0" fillId="0" borderId="0" xfId="0" applyAlignment="1">
      <alignment horizontal="center"/>
    </xf>
    <xf numFmtId="2" fontId="0" fillId="0" borderId="0" xfId="0" applyNumberFormat="1" applyAlignment="1">
      <alignment horizontal="center"/>
    </xf>
    <xf numFmtId="0" fontId="0" fillId="4" borderId="0" xfId="0" applyFill="1" applyAlignment="1">
      <alignment horizontal="center"/>
    </xf>
    <xf numFmtId="0" fontId="0" fillId="4" borderId="0" xfId="0" applyFill="1"/>
    <xf numFmtId="49" fontId="0" fillId="0" borderId="0" xfId="0" applyNumberFormat="1" applyAlignment="1">
      <alignment horizontal="center"/>
    </xf>
    <xf numFmtId="0" fontId="0" fillId="5" borderId="0" xfId="0" applyFill="1" applyAlignment="1">
      <alignment horizontal="center"/>
    </xf>
    <xf numFmtId="0" fontId="1" fillId="2" borderId="0" xfId="0" applyFont="1" applyFill="1" applyAlignment="1">
      <alignment horizontal="center" wrapText="1"/>
    </xf>
    <xf numFmtId="2" fontId="1" fillId="0" borderId="0" xfId="0" applyNumberFormat="1" applyFont="1" applyAlignment="1">
      <alignment horizontal="center" wrapText="1"/>
    </xf>
    <xf numFmtId="2" fontId="1" fillId="0" borderId="0" xfId="0" applyNumberFormat="1" applyFont="1" applyAlignment="1">
      <alignment horizontal="center"/>
    </xf>
    <xf numFmtId="1" fontId="1" fillId="0" borderId="0" xfId="0" applyNumberFormat="1" applyFont="1" applyAlignment="1">
      <alignment horizontal="center" wrapText="1"/>
    </xf>
    <xf numFmtId="1" fontId="0" fillId="0" borderId="0" xfId="0" applyNumberFormat="1" applyAlignment="1">
      <alignment horizontal="center"/>
    </xf>
    <xf numFmtId="1" fontId="0" fillId="0" borderId="0" xfId="0" applyNumberFormat="1"/>
    <xf numFmtId="0" fontId="1" fillId="0" borderId="0" xfId="0" applyFont="1"/>
    <xf numFmtId="1" fontId="1" fillId="0" borderId="1" xfId="0" applyNumberFormat="1" applyFont="1" applyBorder="1" applyAlignment="1">
      <alignment horizontal="center" wrapText="1"/>
    </xf>
    <xf numFmtId="1" fontId="0" fillId="0" borderId="1" xfId="0" applyNumberFormat="1" applyBorder="1" applyAlignment="1">
      <alignment horizontal="center"/>
    </xf>
    <xf numFmtId="1" fontId="0" fillId="0" borderId="1" xfId="0" applyNumberFormat="1" applyBorder="1"/>
    <xf numFmtId="0" fontId="1" fillId="0" borderId="1" xfId="0" applyFont="1" applyBorder="1" applyAlignment="1">
      <alignment horizontal="center" wrapText="1"/>
    </xf>
    <xf numFmtId="164" fontId="0" fillId="0" borderId="1" xfId="0" applyNumberFormat="1" applyBorder="1" applyAlignment="1">
      <alignment horizontal="center"/>
    </xf>
    <xf numFmtId="2" fontId="1" fillId="5" borderId="0" xfId="0" applyNumberFormat="1" applyFont="1" applyFill="1" applyAlignment="1">
      <alignment horizontal="center"/>
    </xf>
    <xf numFmtId="1" fontId="0" fillId="5" borderId="1" xfId="0" applyNumberFormat="1" applyFill="1" applyBorder="1" applyAlignment="1">
      <alignment horizontal="center"/>
    </xf>
    <xf numFmtId="1" fontId="0" fillId="5" borderId="0" xfId="0" applyNumberFormat="1" applyFill="1" applyAlignment="1">
      <alignment horizontal="center"/>
    </xf>
    <xf numFmtId="0" fontId="1" fillId="6" borderId="0" xfId="0" applyFont="1" applyFill="1" applyAlignment="1">
      <alignment vertical="center"/>
    </xf>
    <xf numFmtId="49" fontId="0" fillId="6" borderId="0" xfId="0" applyNumberFormat="1" applyFill="1"/>
    <xf numFmtId="0" fontId="0" fillId="6" borderId="0" xfId="0" applyFill="1"/>
    <xf numFmtId="16" fontId="0" fillId="6" borderId="0" xfId="0" applyNumberFormat="1" applyFill="1"/>
    <xf numFmtId="164" fontId="0" fillId="4" borderId="0" xfId="0" applyNumberFormat="1" applyFill="1" applyAlignment="1">
      <alignment horizontal="center"/>
    </xf>
    <xf numFmtId="164" fontId="0" fillId="4" borderId="0" xfId="0" applyNumberFormat="1" applyFill="1" applyAlignment="1">
      <alignment horizontal="center" vertical="center"/>
    </xf>
    <xf numFmtId="164" fontId="0" fillId="0" borderId="0" xfId="0" applyNumberFormat="1" applyAlignment="1">
      <alignment horizontal="center"/>
    </xf>
    <xf numFmtId="164" fontId="0" fillId="0" borderId="0" xfId="0" applyNumberFormat="1" applyAlignment="1">
      <alignment horizontal="center" vertical="center"/>
    </xf>
    <xf numFmtId="165" fontId="2" fillId="0" borderId="0" xfId="0" applyNumberFormat="1" applyFont="1"/>
    <xf numFmtId="165" fontId="1" fillId="0" borderId="0" xfId="0" applyNumberFormat="1" applyFont="1" applyAlignment="1">
      <alignment horizontal="center" wrapText="1"/>
    </xf>
    <xf numFmtId="165" fontId="0" fillId="6" borderId="0" xfId="0" applyNumberFormat="1" applyFill="1"/>
    <xf numFmtId="165" fontId="0" fillId="0" borderId="0" xfId="0" applyNumberFormat="1"/>
    <xf numFmtId="164" fontId="1" fillId="0" borderId="0" xfId="0" applyNumberFormat="1" applyFont="1" applyAlignment="1">
      <alignment horizontal="center" wrapText="1"/>
    </xf>
    <xf numFmtId="0" fontId="0" fillId="0" borderId="0" xfId="0" applyAlignment="1">
      <alignment vertical="center"/>
    </xf>
    <xf numFmtId="49" fontId="0" fillId="0" borderId="0" xfId="0" applyNumberFormat="1" applyAlignment="1">
      <alignment vertical="center"/>
    </xf>
    <xf numFmtId="164" fontId="2" fillId="0" borderId="0" xfId="0" applyNumberFormat="1" applyFont="1" applyAlignment="1">
      <alignment horizontal="center"/>
    </xf>
    <xf numFmtId="164" fontId="1" fillId="3" borderId="0" xfId="0" applyNumberFormat="1" applyFont="1" applyFill="1" applyAlignment="1">
      <alignment horizontal="center" wrapText="1"/>
    </xf>
    <xf numFmtId="165" fontId="1" fillId="2" borderId="0" xfId="0" applyNumberFormat="1" applyFont="1" applyFill="1" applyAlignment="1">
      <alignment horizontal="center" wrapText="1"/>
    </xf>
    <xf numFmtId="165" fontId="1" fillId="0" borderId="0" xfId="0" applyNumberFormat="1" applyFont="1" applyAlignment="1">
      <alignment horizontal="center"/>
    </xf>
    <xf numFmtId="165" fontId="0" fillId="4" borderId="0" xfId="0" applyNumberFormat="1" applyFill="1" applyAlignment="1">
      <alignment horizontal="center" vertical="center"/>
    </xf>
    <xf numFmtId="165" fontId="0" fillId="0" borderId="0" xfId="0" applyNumberFormat="1" applyAlignment="1">
      <alignment horizontal="center" vertical="center"/>
    </xf>
    <xf numFmtId="165" fontId="0" fillId="4" borderId="0" xfId="0" applyNumberFormat="1" applyFill="1" applyAlignment="1">
      <alignment horizontal="center"/>
    </xf>
    <xf numFmtId="165" fontId="0" fillId="0" borderId="0" xfId="0" applyNumberFormat="1" applyAlignment="1">
      <alignment horizontal="center"/>
    </xf>
    <xf numFmtId="49" fontId="0" fillId="0" borderId="0" xfId="0" applyNumberFormat="1" applyAlignment="1">
      <alignment horizontal="center" wrapText="1"/>
    </xf>
    <xf numFmtId="49" fontId="0" fillId="5" borderId="0" xfId="0" applyNumberFormat="1" applyFill="1"/>
    <xf numFmtId="14" fontId="0" fillId="5" borderId="0" xfId="0" applyNumberFormat="1" applyFill="1"/>
    <xf numFmtId="0" fontId="0" fillId="5" borderId="0" xfId="0" applyFill="1"/>
    <xf numFmtId="164" fontId="0" fillId="5" borderId="0" xfId="0" applyNumberFormat="1" applyFill="1" applyAlignment="1">
      <alignment horizontal="center"/>
    </xf>
    <xf numFmtId="49" fontId="0" fillId="7" borderId="0" xfId="0" applyNumberFormat="1" applyFill="1" applyAlignment="1">
      <alignment horizontal="center"/>
    </xf>
    <xf numFmtId="49" fontId="2" fillId="0" borderId="0" xfId="0" applyNumberFormat="1" applyFont="1" applyAlignment="1">
      <alignment horizontal="center"/>
    </xf>
    <xf numFmtId="0" fontId="2" fillId="0" borderId="0" xfId="0" applyFont="1" applyAlignment="1">
      <alignment horizontal="left"/>
    </xf>
    <xf numFmtId="0" fontId="1" fillId="0" borderId="0" xfId="0" applyFont="1" applyAlignment="1">
      <alignment horizontal="left" wrapText="1"/>
    </xf>
    <xf numFmtId="0" fontId="1" fillId="4" borderId="0" xfId="0" applyFont="1" applyFill="1" applyAlignment="1">
      <alignment horizontal="left" vertical="center"/>
    </xf>
    <xf numFmtId="0" fontId="1" fillId="0" borderId="0" xfId="0" applyFont="1" applyAlignment="1">
      <alignment horizontal="left" vertical="center"/>
    </xf>
    <xf numFmtId="0" fontId="1" fillId="0" borderId="0" xfId="0" applyFont="1" applyAlignment="1">
      <alignment horizontal="left"/>
    </xf>
    <xf numFmtId="0" fontId="1" fillId="4" borderId="0" xfId="0" applyFont="1" applyFill="1" applyAlignment="1">
      <alignment horizontal="left"/>
    </xf>
    <xf numFmtId="16" fontId="1" fillId="0" borderId="0" xfId="0" applyNumberFormat="1" applyFont="1" applyAlignment="1">
      <alignment horizontal="left"/>
    </xf>
    <xf numFmtId="164" fontId="0" fillId="0" borderId="0" xfId="0" applyNumberFormat="1" applyAlignment="1">
      <alignment horizontal="left"/>
    </xf>
    <xf numFmtId="0" fontId="0" fillId="5" borderId="0" xfId="0" applyFill="1" applyAlignment="1">
      <alignment horizontal="left"/>
    </xf>
    <xf numFmtId="0" fontId="1" fillId="0" borderId="0" xfId="0" applyFont="1" applyAlignment="1">
      <alignment horizontal="center"/>
    </xf>
    <xf numFmtId="2" fontId="0" fillId="4" borderId="0" xfId="0" applyNumberFormat="1" applyFill="1" applyAlignment="1">
      <alignment horizontal="center"/>
    </xf>
    <xf numFmtId="49" fontId="2" fillId="0" borderId="0" xfId="0" applyNumberFormat="1" applyFont="1" applyAlignment="1">
      <alignment horizontal="left"/>
    </xf>
    <xf numFmtId="49" fontId="1" fillId="0" borderId="0" xfId="0" applyNumberFormat="1" applyFont="1" applyAlignment="1">
      <alignment horizontal="left" wrapText="1"/>
    </xf>
    <xf numFmtId="49" fontId="0" fillId="6" borderId="0" xfId="0" applyNumberFormat="1" applyFill="1" applyAlignment="1">
      <alignment horizontal="left"/>
    </xf>
    <xf numFmtId="49" fontId="0" fillId="0" borderId="0" xfId="0" applyNumberFormat="1" applyAlignment="1">
      <alignment horizontal="left"/>
    </xf>
    <xf numFmtId="164" fontId="2" fillId="0" borderId="0" xfId="0" applyNumberFormat="1" applyFont="1" applyAlignment="1">
      <alignment horizontal="left"/>
    </xf>
    <xf numFmtId="164" fontId="0" fillId="6" borderId="0" xfId="0" applyNumberFormat="1" applyFill="1" applyAlignment="1">
      <alignment horizontal="left"/>
    </xf>
    <xf numFmtId="2" fontId="1" fillId="2" borderId="0" xfId="0" applyNumberFormat="1" applyFont="1" applyFill="1" applyAlignment="1">
      <alignment horizontal="center" wrapText="1"/>
    </xf>
    <xf numFmtId="2" fontId="3" fillId="4" borderId="0" xfId="0" applyNumberFormat="1" applyFont="1" applyFill="1" applyAlignment="1">
      <alignment horizontal="center" vertical="center"/>
    </xf>
    <xf numFmtId="2" fontId="3" fillId="0" borderId="0" xfId="0" applyNumberFormat="1" applyFont="1" applyAlignment="1">
      <alignment horizontal="center" vertical="center"/>
    </xf>
    <xf numFmtId="2" fontId="0" fillId="4" borderId="0" xfId="0" applyNumberFormat="1" applyFill="1" applyAlignment="1">
      <alignment horizontal="center" vertical="center"/>
    </xf>
    <xf numFmtId="2" fontId="0" fillId="0" borderId="0" xfId="0" applyNumberFormat="1" applyAlignment="1">
      <alignment horizontal="center" vertical="center"/>
    </xf>
    <xf numFmtId="2" fontId="0" fillId="0" borderId="0" xfId="0" applyNumberFormat="1" applyAlignment="1">
      <alignment horizontal="left"/>
    </xf>
    <xf numFmtId="2" fontId="0" fillId="0" borderId="0" xfId="0" applyNumberFormat="1"/>
    <xf numFmtId="0" fontId="1" fillId="4" borderId="0" xfId="0" applyFont="1" applyFill="1"/>
    <xf numFmtId="166" fontId="0" fillId="0" borderId="0" xfId="0" applyNumberFormat="1"/>
    <xf numFmtId="166" fontId="0" fillId="5" borderId="0" xfId="0" applyNumberFormat="1" applyFill="1"/>
    <xf numFmtId="1" fontId="1" fillId="0" borderId="1" xfId="0" applyNumberFormat="1" applyFont="1" applyBorder="1" applyAlignment="1">
      <alignment horizontal="center"/>
    </xf>
    <xf numFmtId="1" fontId="1" fillId="0" borderId="0" xfId="0" applyNumberFormat="1" applyFont="1" applyAlignment="1">
      <alignment horizontal="center"/>
    </xf>
    <xf numFmtId="0" fontId="0" fillId="0" borderId="0" xfId="0" applyAlignment="1">
      <alignment horizontal="right"/>
    </xf>
    <xf numFmtId="49" fontId="0" fillId="0" borderId="0" xfId="0" applyNumberFormat="1" applyAlignment="1">
      <alignment horizontal="right"/>
    </xf>
    <xf numFmtId="49" fontId="8" fillId="4" borderId="0" xfId="0" applyNumberFormat="1" applyFont="1" applyFill="1"/>
    <xf numFmtId="0" fontId="8" fillId="0" borderId="0" xfId="0" applyFont="1" applyAlignment="1">
      <alignment vertical="center"/>
    </xf>
    <xf numFmtId="0" fontId="8" fillId="0" borderId="0" xfId="0" applyFont="1"/>
    <xf numFmtId="49" fontId="8" fillId="0" borderId="0" xfId="0" applyNumberFormat="1" applyFont="1"/>
    <xf numFmtId="164" fontId="8" fillId="0" borderId="0" xfId="0" applyNumberFormat="1" applyFont="1" applyAlignment="1">
      <alignment horizontal="center"/>
    </xf>
    <xf numFmtId="2" fontId="8" fillId="0" borderId="0" xfId="0" applyNumberFormat="1" applyFont="1" applyAlignment="1">
      <alignment horizontal="center"/>
    </xf>
    <xf numFmtId="1" fontId="8" fillId="0" borderId="0" xfId="0" applyNumberFormat="1" applyFont="1" applyAlignment="1">
      <alignment horizontal="center"/>
    </xf>
    <xf numFmtId="167" fontId="1" fillId="0" borderId="0" xfId="0" applyNumberFormat="1" applyFont="1" applyAlignment="1">
      <alignment horizontal="center" wrapText="1"/>
    </xf>
    <xf numFmtId="164" fontId="0" fillId="0" borderId="0" xfId="0" applyNumberFormat="1"/>
    <xf numFmtId="1" fontId="0" fillId="0" borderId="0" xfId="0" applyNumberFormat="1" applyAlignment="1">
      <alignment horizontal="left"/>
    </xf>
    <xf numFmtId="1" fontId="0" fillId="4" borderId="0" xfId="0" applyNumberFormat="1" applyFill="1" applyAlignment="1">
      <alignment horizontal="center"/>
    </xf>
    <xf numFmtId="0" fontId="2" fillId="0" borderId="0" xfId="0" applyFont="1" applyAlignment="1">
      <alignment horizontal="center"/>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2</xdr:col>
      <xdr:colOff>190500</xdr:colOff>
      <xdr:row>3</xdr:row>
      <xdr:rowOff>144780</xdr:rowOff>
    </xdr:from>
    <xdr:ext cx="184731" cy="264560"/>
    <xdr:sp macro="" textlink="">
      <xdr:nvSpPr>
        <xdr:cNvPr id="3" name="TextBox 2">
          <a:extLst>
            <a:ext uri="{FF2B5EF4-FFF2-40B4-BE49-F238E27FC236}">
              <a16:creationId xmlns:a16="http://schemas.microsoft.com/office/drawing/2014/main" id="{00000000-0008-0000-0300-000003000000}"/>
            </a:ext>
          </a:extLst>
        </xdr:cNvPr>
        <xdr:cNvSpPr txBox="1"/>
      </xdr:nvSpPr>
      <xdr:spPr>
        <a:xfrm>
          <a:off x="1516380" y="6934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O311"/>
  <sheetViews>
    <sheetView tabSelected="1" zoomScale="70" zoomScaleNormal="70" workbookViewId="0">
      <selection activeCell="F75" sqref="F75"/>
    </sheetView>
  </sheetViews>
  <sheetFormatPr defaultRowHeight="14.5" x14ac:dyDescent="0.35"/>
  <cols>
    <col min="1" max="1" width="12" customWidth="1"/>
    <col min="2" max="2" width="10.1796875" customWidth="1"/>
    <col min="3" max="3" width="18.90625" customWidth="1"/>
    <col min="4" max="4" width="16.54296875" customWidth="1"/>
    <col min="5" max="5" width="18.54296875" customWidth="1"/>
    <col min="6" max="6" width="24.36328125" customWidth="1"/>
    <col min="7" max="7" width="18.6328125" customWidth="1"/>
    <col min="8" max="9" width="10.90625" customWidth="1"/>
    <col min="10" max="10" width="13.08984375" customWidth="1"/>
    <col min="11" max="11" width="20.1796875" customWidth="1"/>
    <col min="12" max="14" width="13.08984375" customWidth="1"/>
    <col min="15" max="15" width="14.36328125" customWidth="1"/>
    <col min="16" max="16" width="14.453125" customWidth="1"/>
  </cols>
  <sheetData>
    <row r="1" spans="1:15" ht="21" customHeight="1" x14ac:dyDescent="0.5">
      <c r="A1" s="5" t="s">
        <v>0</v>
      </c>
      <c r="B1" s="68"/>
      <c r="C1" s="5"/>
      <c r="D1" s="14"/>
      <c r="E1" s="14"/>
      <c r="F1" s="67"/>
      <c r="G1" s="67"/>
      <c r="H1" s="110" t="s">
        <v>97</v>
      </c>
      <c r="I1" s="110"/>
      <c r="J1" s="110"/>
      <c r="K1" s="110"/>
      <c r="L1" s="110"/>
      <c r="M1" s="110"/>
      <c r="N1" s="56"/>
      <c r="O1" s="53" t="s">
        <v>102</v>
      </c>
    </row>
    <row r="2" spans="1:15" ht="70.25" customHeight="1" x14ac:dyDescent="0.35">
      <c r="A2" s="1" t="s">
        <v>2</v>
      </c>
      <c r="B2" s="1" t="s">
        <v>1</v>
      </c>
      <c r="C2" s="1" t="s">
        <v>299</v>
      </c>
      <c r="D2" s="3" t="s">
        <v>300</v>
      </c>
      <c r="E2" s="3" t="s">
        <v>301</v>
      </c>
      <c r="F2" s="3" t="s">
        <v>2030</v>
      </c>
      <c r="G2" s="3" t="s">
        <v>352</v>
      </c>
      <c r="H2" s="7" t="s">
        <v>1087</v>
      </c>
      <c r="I2" s="7" t="s">
        <v>1931</v>
      </c>
      <c r="J2" s="23" t="s">
        <v>217</v>
      </c>
      <c r="K2" s="85" t="s">
        <v>218</v>
      </c>
      <c r="L2" s="85" t="s">
        <v>117</v>
      </c>
      <c r="M2" s="85" t="s">
        <v>118</v>
      </c>
      <c r="N2" s="55" t="s">
        <v>276</v>
      </c>
      <c r="O2" s="54" t="s">
        <v>103</v>
      </c>
    </row>
    <row r="3" spans="1:15" ht="14.4" hidden="1" customHeight="1" x14ac:dyDescent="0.35">
      <c r="A3" s="1" t="s">
        <v>8</v>
      </c>
      <c r="B3" s="69" t="s">
        <v>9</v>
      </c>
      <c r="C3" s="16" t="s">
        <v>1088</v>
      </c>
      <c r="D3" s="61" t="s">
        <v>105</v>
      </c>
      <c r="E3" s="3" t="s">
        <v>1089</v>
      </c>
      <c r="F3" s="3" t="s">
        <v>1455</v>
      </c>
      <c r="G3" s="3" t="s">
        <v>1456</v>
      </c>
      <c r="H3" s="8" t="s">
        <v>105</v>
      </c>
      <c r="I3" s="17" t="s">
        <v>105</v>
      </c>
      <c r="J3" s="1">
        <f>26+26+26+80+140+120</f>
        <v>418</v>
      </c>
      <c r="K3" s="24" t="s">
        <v>105</v>
      </c>
      <c r="L3" s="24" t="s">
        <v>105</v>
      </c>
      <c r="M3" s="24" t="s">
        <v>105</v>
      </c>
      <c r="N3" s="47" t="s">
        <v>105</v>
      </c>
      <c r="O3" s="44">
        <v>764.28600000000006</v>
      </c>
    </row>
    <row r="4" spans="1:15" ht="14.4" hidden="1" customHeight="1" x14ac:dyDescent="0.35">
      <c r="A4" s="9" t="s">
        <v>104</v>
      </c>
      <c r="B4" s="73" t="s">
        <v>14</v>
      </c>
      <c r="C4" s="16" t="str">
        <f>sensorCalcs!C154</f>
        <v>2015-09-28 11:46</v>
      </c>
      <c r="D4" s="16" t="s">
        <v>2006</v>
      </c>
      <c r="E4" s="16" t="s">
        <v>1878</v>
      </c>
      <c r="F4" s="15" t="s">
        <v>1661</v>
      </c>
      <c r="G4" s="15" t="s">
        <v>2394</v>
      </c>
      <c r="H4" s="19">
        <v>11</v>
      </c>
      <c r="I4" s="19">
        <f>sensorCalcs!G154</f>
        <v>21.842777777777773</v>
      </c>
      <c r="J4" s="19">
        <f>29+28+28+(140*6)+90</f>
        <v>1015</v>
      </c>
      <c r="K4" s="78">
        <f>sensorCalcs!O154</f>
        <v>386.11896294094345</v>
      </c>
      <c r="L4" s="78">
        <f>sensorCalcs!U154</f>
        <v>5.5870137790269307</v>
      </c>
      <c r="M4" s="78">
        <f>sensorCalcs!P154</f>
        <v>386.28512208739852</v>
      </c>
      <c r="N4" s="19">
        <f>sensorCalcs!E154</f>
        <v>0.17521</v>
      </c>
      <c r="O4" s="42">
        <v>742.8</v>
      </c>
    </row>
    <row r="5" spans="1:15" ht="14.4" hidden="1" customHeight="1" x14ac:dyDescent="0.35">
      <c r="A5" s="1" t="s">
        <v>8</v>
      </c>
      <c r="B5" s="69" t="s">
        <v>18</v>
      </c>
      <c r="C5" s="16" t="s">
        <v>1088</v>
      </c>
      <c r="D5" s="61" t="s">
        <v>105</v>
      </c>
      <c r="E5" s="3" t="s">
        <v>1091</v>
      </c>
      <c r="F5" s="3" t="s">
        <v>1461</v>
      </c>
      <c r="G5" s="3" t="s">
        <v>1462</v>
      </c>
      <c r="H5" s="8" t="s">
        <v>105</v>
      </c>
      <c r="I5" s="17" t="s">
        <v>105</v>
      </c>
      <c r="J5" s="1">
        <f>27+29+27.5+(140*7)+70</f>
        <v>1133.5</v>
      </c>
      <c r="K5" s="24" t="s">
        <v>105</v>
      </c>
      <c r="L5" s="24" t="s">
        <v>105</v>
      </c>
      <c r="M5" s="24" t="s">
        <v>105</v>
      </c>
      <c r="N5" s="47" t="s">
        <v>105</v>
      </c>
      <c r="O5" s="44">
        <v>764.28600000000006</v>
      </c>
    </row>
    <row r="6" spans="1:15" ht="14.4" hidden="1" customHeight="1" x14ac:dyDescent="0.35">
      <c r="A6" s="1" t="s">
        <v>8</v>
      </c>
      <c r="B6" s="69" t="s">
        <v>18</v>
      </c>
      <c r="C6" s="16" t="s">
        <v>1092</v>
      </c>
      <c r="D6" s="61" t="s">
        <v>105</v>
      </c>
      <c r="E6" s="3" t="s">
        <v>1093</v>
      </c>
      <c r="F6" s="3" t="s">
        <v>1459</v>
      </c>
      <c r="G6" s="3" t="s">
        <v>1460</v>
      </c>
      <c r="H6" s="8" t="s">
        <v>105</v>
      </c>
      <c r="I6" s="17" t="s">
        <v>105</v>
      </c>
      <c r="J6" s="1">
        <f>140+45</f>
        <v>185</v>
      </c>
      <c r="K6" s="24" t="s">
        <v>105</v>
      </c>
      <c r="L6" s="24" t="s">
        <v>105</v>
      </c>
      <c r="M6" s="24" t="s">
        <v>105</v>
      </c>
      <c r="N6" s="47" t="s">
        <v>105</v>
      </c>
      <c r="O6" s="44">
        <v>764.28600000000006</v>
      </c>
    </row>
    <row r="7" spans="1:15" ht="14.4" hidden="1" customHeight="1" x14ac:dyDescent="0.35">
      <c r="A7" s="1" t="s">
        <v>8</v>
      </c>
      <c r="B7" s="69" t="s">
        <v>26</v>
      </c>
      <c r="C7" s="16" t="s">
        <v>1088</v>
      </c>
      <c r="D7" s="61" t="s">
        <v>105</v>
      </c>
      <c r="E7" s="3" t="s">
        <v>1094</v>
      </c>
      <c r="F7" s="3" t="s">
        <v>1463</v>
      </c>
      <c r="G7" s="3" t="s">
        <v>1464</v>
      </c>
      <c r="H7" s="8" t="s">
        <v>105</v>
      </c>
      <c r="I7" s="17" t="s">
        <v>105</v>
      </c>
      <c r="J7" s="1">
        <f>25+25+28</f>
        <v>78</v>
      </c>
      <c r="K7" s="24" t="s">
        <v>105</v>
      </c>
      <c r="L7" s="24" t="s">
        <v>105</v>
      </c>
      <c r="M7" s="24" t="s">
        <v>105</v>
      </c>
      <c r="N7" s="47" t="s">
        <v>105</v>
      </c>
      <c r="O7" s="44">
        <v>764.28600000000006</v>
      </c>
    </row>
    <row r="8" spans="1:15" ht="14.4" hidden="1" customHeight="1" x14ac:dyDescent="0.35">
      <c r="A8" s="9" t="s">
        <v>3</v>
      </c>
      <c r="B8" s="70" t="s">
        <v>4</v>
      </c>
      <c r="C8" s="20" t="s">
        <v>219</v>
      </c>
      <c r="D8" s="16" t="s">
        <v>278</v>
      </c>
      <c r="E8" s="16" t="s">
        <v>303</v>
      </c>
      <c r="F8" s="66" t="s">
        <v>105</v>
      </c>
      <c r="G8" s="66" t="s">
        <v>105</v>
      </c>
      <c r="H8" s="10" t="s">
        <v>105</v>
      </c>
      <c r="I8" s="17" t="s">
        <v>105</v>
      </c>
      <c r="J8" s="11">
        <f>75+27+27+26</f>
        <v>155</v>
      </c>
      <c r="K8" s="86">
        <f>sensorCalcs!O3</f>
        <v>123.36368098879878</v>
      </c>
      <c r="L8" s="24" t="s">
        <v>105</v>
      </c>
      <c r="M8" s="86">
        <f>sensorCalcs!P3</f>
        <v>123.3987186774404</v>
      </c>
      <c r="N8" s="57" t="str">
        <f>sensorCalcs!E3</f>
        <v>0.35165</v>
      </c>
      <c r="O8" s="42">
        <v>764.79399999999998</v>
      </c>
    </row>
    <row r="9" spans="1:15" ht="14.4" hidden="1" customHeight="1" x14ac:dyDescent="0.35">
      <c r="A9" s="6" t="s">
        <v>3</v>
      </c>
      <c r="B9" s="71" t="s">
        <v>5</v>
      </c>
      <c r="C9" t="s">
        <v>220</v>
      </c>
      <c r="D9" s="4" t="s">
        <v>105</v>
      </c>
      <c r="E9" s="4" t="s">
        <v>304</v>
      </c>
      <c r="F9" s="21" t="s">
        <v>105</v>
      </c>
      <c r="G9" s="21" t="s">
        <v>105</v>
      </c>
      <c r="H9" s="8" t="s">
        <v>105</v>
      </c>
      <c r="I9" s="17" t="s">
        <v>105</v>
      </c>
      <c r="J9" s="13">
        <v>19</v>
      </c>
      <c r="K9" s="87">
        <f>sensorCalcs!O4</f>
        <v>21.312261212432702</v>
      </c>
      <c r="L9" s="87">
        <f>sensorCalcs!U4</f>
        <v>5.5683383781312745</v>
      </c>
      <c r="M9" s="87">
        <f>sensorCalcs!P4</f>
        <v>349.79195552415837</v>
      </c>
      <c r="N9" s="58" t="str">
        <f>sensorCalcs!E4</f>
        <v>0.41575</v>
      </c>
      <c r="O9" s="44">
        <v>764.79399999999998</v>
      </c>
    </row>
    <row r="10" spans="1:15" hidden="1" x14ac:dyDescent="0.35">
      <c r="A10" s="9" t="s">
        <v>3</v>
      </c>
      <c r="B10" s="70" t="s">
        <v>267</v>
      </c>
      <c r="C10" s="20" t="s">
        <v>268</v>
      </c>
      <c r="D10" s="16" t="s">
        <v>105</v>
      </c>
      <c r="E10" s="16" t="s">
        <v>305</v>
      </c>
      <c r="F10" s="66" t="s">
        <v>105</v>
      </c>
      <c r="G10" s="66" t="s">
        <v>105</v>
      </c>
      <c r="H10" s="10" t="s">
        <v>105</v>
      </c>
      <c r="I10" s="17" t="s">
        <v>105</v>
      </c>
      <c r="J10" s="11">
        <v>5</v>
      </c>
      <c r="K10" s="88" t="str">
        <f>sensorCalcs!O5</f>
        <v>NA</v>
      </c>
      <c r="L10" s="88" t="str">
        <f>sensorCalcs!U5</f>
        <v>NA</v>
      </c>
      <c r="M10" s="88" t="s">
        <v>105</v>
      </c>
      <c r="N10" s="57" t="str">
        <f>sensorCalcs!E5</f>
        <v>2.49939</v>
      </c>
      <c r="O10" s="42">
        <v>764.79399999999998</v>
      </c>
    </row>
    <row r="11" spans="1:15" hidden="1" x14ac:dyDescent="0.35">
      <c r="A11" s="9" t="s">
        <v>3</v>
      </c>
      <c r="B11" s="70" t="s">
        <v>119</v>
      </c>
      <c r="C11" s="20" t="s">
        <v>270</v>
      </c>
      <c r="D11" s="16" t="s">
        <v>105</v>
      </c>
      <c r="E11" s="16" t="s">
        <v>271</v>
      </c>
      <c r="F11" s="66" t="s">
        <v>105</v>
      </c>
      <c r="G11" s="66" t="s">
        <v>105</v>
      </c>
      <c r="H11" s="10" t="s">
        <v>105</v>
      </c>
      <c r="I11" s="17" t="s">
        <v>105</v>
      </c>
      <c r="J11" s="11">
        <v>6.5</v>
      </c>
      <c r="K11" s="88" t="str">
        <f>sensorCalcs!O7</f>
        <v>NA</v>
      </c>
      <c r="L11" s="88" t="str">
        <f>sensorCalcs!U7</f>
        <v>NA</v>
      </c>
      <c r="M11" s="88" t="s">
        <v>105</v>
      </c>
      <c r="N11" s="57" t="str">
        <f>sensorCalcs!E7</f>
        <v>2.49939</v>
      </c>
      <c r="O11" s="42">
        <v>764.79399999999998</v>
      </c>
    </row>
    <row r="12" spans="1:15" hidden="1" x14ac:dyDescent="0.35">
      <c r="A12" s="6" t="s">
        <v>104</v>
      </c>
      <c r="B12" s="71" t="s">
        <v>18</v>
      </c>
      <c r="C12" t="s">
        <v>221</v>
      </c>
      <c r="D12" s="4" t="s">
        <v>279</v>
      </c>
      <c r="E12" s="4" t="s">
        <v>227</v>
      </c>
      <c r="F12" s="21" t="s">
        <v>105</v>
      </c>
      <c r="G12" s="21" t="s">
        <v>105</v>
      </c>
      <c r="H12" s="8" t="s">
        <v>105</v>
      </c>
      <c r="I12" s="17" t="s">
        <v>105</v>
      </c>
      <c r="J12" s="13">
        <v>963</v>
      </c>
      <c r="K12" s="87">
        <f>sensorCalcs!O8</f>
        <v>299.55337082075494</v>
      </c>
      <c r="L12" s="87">
        <f>sensorCalcs!U8</f>
        <v>5.5112606353709142</v>
      </c>
      <c r="M12" s="87">
        <f>sensorCalcs!P8</f>
        <v>299.65472790009255</v>
      </c>
      <c r="N12" s="58" t="str">
        <f>sensorCalcs!E8</f>
        <v>0.69658</v>
      </c>
      <c r="O12" s="44">
        <v>764.79399999999998</v>
      </c>
    </row>
    <row r="13" spans="1:15" hidden="1" x14ac:dyDescent="0.35">
      <c r="A13" s="1" t="s">
        <v>8</v>
      </c>
      <c r="B13" s="69" t="s">
        <v>14</v>
      </c>
      <c r="C13" s="16" t="s">
        <v>1088</v>
      </c>
      <c r="D13" s="61" t="s">
        <v>105</v>
      </c>
      <c r="E13" s="3" t="s">
        <v>1090</v>
      </c>
      <c r="F13" s="3" t="s">
        <v>1457</v>
      </c>
      <c r="G13" s="3" t="s">
        <v>1458</v>
      </c>
      <c r="H13" s="8" t="s">
        <v>105</v>
      </c>
      <c r="I13" s="17" t="s">
        <v>105</v>
      </c>
      <c r="J13" s="1">
        <f>25+27+27+140+135</f>
        <v>354</v>
      </c>
      <c r="K13" s="24" t="s">
        <v>105</v>
      </c>
      <c r="L13" s="24" t="s">
        <v>105</v>
      </c>
      <c r="M13" s="24" t="s">
        <v>105</v>
      </c>
      <c r="N13" s="47" t="s">
        <v>105</v>
      </c>
      <c r="O13" s="44">
        <v>764.28600000000006</v>
      </c>
    </row>
    <row r="14" spans="1:15" hidden="1" x14ac:dyDescent="0.35">
      <c r="A14" s="6" t="s">
        <v>104</v>
      </c>
      <c r="B14" s="71" t="s">
        <v>9</v>
      </c>
      <c r="C14" t="s">
        <v>223</v>
      </c>
      <c r="D14" s="4" t="s">
        <v>280</v>
      </c>
      <c r="E14" s="4" t="s">
        <v>231</v>
      </c>
      <c r="F14" s="21" t="s">
        <v>105</v>
      </c>
      <c r="G14" s="21" t="s">
        <v>105</v>
      </c>
      <c r="H14" s="8" t="s">
        <v>105</v>
      </c>
      <c r="I14" s="17" t="s">
        <v>105</v>
      </c>
      <c r="J14" s="13">
        <v>796</v>
      </c>
      <c r="K14" s="89">
        <f>sensorCalcs!O10</f>
        <v>379.48755140591953</v>
      </c>
      <c r="L14" s="89">
        <f>sensorCalcs!U10</f>
        <v>5.4795185404134852</v>
      </c>
      <c r="M14" s="89">
        <f>sensorCalcs!P10</f>
        <v>379.58890848525709</v>
      </c>
      <c r="N14" s="58" t="str">
        <f>sensorCalcs!E10</f>
        <v>0.21551</v>
      </c>
      <c r="O14" s="44">
        <v>764.79399999999998</v>
      </c>
    </row>
    <row r="15" spans="1:15" hidden="1" x14ac:dyDescent="0.35">
      <c r="A15" s="9" t="s">
        <v>104</v>
      </c>
      <c r="B15" s="70" t="s">
        <v>26</v>
      </c>
      <c r="C15" s="20" t="s">
        <v>224</v>
      </c>
      <c r="D15" s="16" t="s">
        <v>281</v>
      </c>
      <c r="E15" s="16" t="s">
        <v>233</v>
      </c>
      <c r="F15" s="66" t="s">
        <v>105</v>
      </c>
      <c r="G15" s="66" t="s">
        <v>105</v>
      </c>
      <c r="H15" s="10" t="s">
        <v>105</v>
      </c>
      <c r="I15" s="17" t="s">
        <v>105</v>
      </c>
      <c r="J15" s="11">
        <v>463.5</v>
      </c>
      <c r="K15" s="86">
        <f>sensorCalcs!O11</f>
        <v>138.08403867241739</v>
      </c>
      <c r="L15" s="86">
        <f>sensorCalcs!U11</f>
        <v>1.9437058452293001</v>
      </c>
      <c r="M15" s="86">
        <f>sensorCalcs!O11</f>
        <v>138.08403867241739</v>
      </c>
      <c r="N15" s="57" t="str">
        <f>sensorCalcs!E11</f>
        <v>0.21245</v>
      </c>
      <c r="O15" s="42">
        <v>764.79399999999998</v>
      </c>
    </row>
    <row r="16" spans="1:15" hidden="1" x14ac:dyDescent="0.35">
      <c r="A16" s="6" t="s">
        <v>104</v>
      </c>
      <c r="B16" s="71" t="s">
        <v>25</v>
      </c>
      <c r="C16" t="s">
        <v>225</v>
      </c>
      <c r="D16" s="4" t="s">
        <v>105</v>
      </c>
      <c r="E16" s="4" t="s">
        <v>235</v>
      </c>
      <c r="F16" s="21" t="s">
        <v>105</v>
      </c>
      <c r="G16" s="21" t="s">
        <v>105</v>
      </c>
      <c r="H16" s="8" t="s">
        <v>105</v>
      </c>
      <c r="I16" s="17" t="s">
        <v>105</v>
      </c>
      <c r="J16" s="13">
        <v>12</v>
      </c>
      <c r="K16" s="89">
        <f>sensorCalcs!O12</f>
        <v>4.2649961232155826</v>
      </c>
      <c r="L16" s="89">
        <f>sensorCalcs!U12</f>
        <v>1.9410109080813478</v>
      </c>
      <c r="M16" s="89">
        <f>sensorCalcs!P12</f>
        <v>140.99589349257778</v>
      </c>
      <c r="N16" s="58" t="str">
        <f>sensorCalcs!E12</f>
        <v>0.11844</v>
      </c>
      <c r="O16" s="44">
        <v>764.79399999999998</v>
      </c>
    </row>
    <row r="17" spans="1:15" hidden="1" x14ac:dyDescent="0.35">
      <c r="A17" s="9" t="s">
        <v>3</v>
      </c>
      <c r="B17" s="70" t="s">
        <v>5</v>
      </c>
      <c r="C17" s="20" t="s">
        <v>226</v>
      </c>
      <c r="D17" s="16" t="s">
        <v>105</v>
      </c>
      <c r="E17" s="16" t="s">
        <v>274</v>
      </c>
      <c r="F17" s="15" t="s">
        <v>1465</v>
      </c>
      <c r="G17" s="15" t="s">
        <v>1466</v>
      </c>
      <c r="H17" s="10">
        <v>23</v>
      </c>
      <c r="I17" s="17" t="s">
        <v>105</v>
      </c>
      <c r="J17" s="11">
        <v>249</v>
      </c>
      <c r="K17" s="86">
        <f>sensorCalcs!O13</f>
        <v>242.83840829028108</v>
      </c>
      <c r="L17" s="86">
        <f>sensorCalcs!U13</f>
        <v>5.5420544093373092</v>
      </c>
      <c r="M17" s="86">
        <f>sensorCalcs!P13</f>
        <v>390.29745980145725</v>
      </c>
      <c r="N17" s="57" t="str">
        <f>sensorCalcs!E13</f>
        <v>0.16667</v>
      </c>
      <c r="O17" s="42">
        <v>784.86</v>
      </c>
    </row>
    <row r="18" spans="1:15" hidden="1" x14ac:dyDescent="0.35">
      <c r="A18" s="6" t="s">
        <v>3</v>
      </c>
      <c r="B18" s="71" t="s">
        <v>119</v>
      </c>
      <c r="C18" t="s">
        <v>272</v>
      </c>
      <c r="D18" s="4" t="s">
        <v>105</v>
      </c>
      <c r="E18" s="4" t="s">
        <v>275</v>
      </c>
      <c r="F18" s="21" t="s">
        <v>1467</v>
      </c>
      <c r="G18" s="21" t="s">
        <v>1468</v>
      </c>
      <c r="H18" s="8" t="s">
        <v>105</v>
      </c>
      <c r="I18" s="17" t="s">
        <v>105</v>
      </c>
      <c r="J18" s="13">
        <v>6</v>
      </c>
      <c r="K18" s="87">
        <f>IF(sensorCalcs!O14&lt;0, 0, sensorCalcs!O14)</f>
        <v>0</v>
      </c>
      <c r="L18" s="87" t="s">
        <v>105</v>
      </c>
      <c r="M18" s="87">
        <f>sensorCalcs!P14</f>
        <v>109.17746133174576</v>
      </c>
      <c r="N18" s="58" t="str">
        <f>sensorCalcs!E14</f>
        <v>0.51099</v>
      </c>
      <c r="O18" s="44">
        <v>784.86</v>
      </c>
    </row>
    <row r="19" spans="1:15" hidden="1" x14ac:dyDescent="0.35">
      <c r="A19" s="9" t="s">
        <v>3</v>
      </c>
      <c r="B19" s="70" t="s">
        <v>267</v>
      </c>
      <c r="C19" s="20" t="s">
        <v>273</v>
      </c>
      <c r="D19" s="16" t="s">
        <v>105</v>
      </c>
      <c r="E19" s="16" t="s">
        <v>282</v>
      </c>
      <c r="F19" s="15" t="s">
        <v>1469</v>
      </c>
      <c r="G19" s="15" t="s">
        <v>1470</v>
      </c>
      <c r="H19" s="10" t="s">
        <v>105</v>
      </c>
      <c r="I19" s="17" t="s">
        <v>105</v>
      </c>
      <c r="J19" s="11" t="s">
        <v>105</v>
      </c>
      <c r="K19" s="86" t="s">
        <v>105</v>
      </c>
      <c r="L19" s="86" t="s">
        <v>105</v>
      </c>
      <c r="M19" s="86">
        <f>sensorCalcs!P15</f>
        <v>140.51672423395891</v>
      </c>
      <c r="N19" s="57" t="str">
        <f>sensorCalcs!E15</f>
        <v>0.17277</v>
      </c>
      <c r="O19" s="42">
        <v>784.86</v>
      </c>
    </row>
    <row r="20" spans="1:15" hidden="1" x14ac:dyDescent="0.35">
      <c r="A20" s="6" t="s">
        <v>104</v>
      </c>
      <c r="B20" s="71" t="s">
        <v>9</v>
      </c>
      <c r="C20" t="s">
        <v>232</v>
      </c>
      <c r="D20" s="4" t="s">
        <v>309</v>
      </c>
      <c r="E20" s="4" t="s">
        <v>306</v>
      </c>
      <c r="F20" s="21" t="s">
        <v>1471</v>
      </c>
      <c r="G20" s="21" t="s">
        <v>1472</v>
      </c>
      <c r="H20" s="8" t="s">
        <v>106</v>
      </c>
      <c r="I20" s="17" t="s">
        <v>105</v>
      </c>
      <c r="J20" s="13">
        <v>995</v>
      </c>
      <c r="K20" s="87">
        <f>sensorCalcs!O16</f>
        <v>331.27588044562299</v>
      </c>
      <c r="L20" s="87">
        <f>sensorCalcs!U16</f>
        <v>5.5343860929918973</v>
      </c>
      <c r="M20" s="87">
        <f>sensorCalcs!P16</f>
        <v>331.37588157741095</v>
      </c>
      <c r="N20" s="58" t="str">
        <f>sensorCalcs!E16</f>
        <v>0.47863</v>
      </c>
      <c r="O20" s="44">
        <v>763.77799999999991</v>
      </c>
    </row>
    <row r="21" spans="1:15" hidden="1" x14ac:dyDescent="0.35">
      <c r="A21" s="6" t="s">
        <v>104</v>
      </c>
      <c r="B21" s="29" t="s">
        <v>14</v>
      </c>
      <c r="C21" s="4" t="str">
        <f>sensorCalcs!C197</f>
        <v>2015-11-04 11:34</v>
      </c>
      <c r="D21" s="4" t="s">
        <v>2258</v>
      </c>
      <c r="E21" s="4" t="s">
        <v>2265</v>
      </c>
      <c r="F21" s="17">
        <v>39.026274999999998</v>
      </c>
      <c r="G21" s="17">
        <v>-84.091541000000007</v>
      </c>
      <c r="H21" s="17" t="s">
        <v>105</v>
      </c>
      <c r="I21" s="17">
        <f>sensorCalcs!G197</f>
        <v>14.983888888888886</v>
      </c>
      <c r="J21" s="17">
        <f>(140*6)+5+30+28+29</f>
        <v>932</v>
      </c>
      <c r="K21" s="18">
        <f>sensorCalcs!O197</f>
        <v>398.49449616892076</v>
      </c>
      <c r="L21" s="18">
        <f>sensorCalcs!U197</f>
        <v>5.7613117256477384</v>
      </c>
      <c r="M21" s="18">
        <f>sensorCalcs!P197</f>
        <v>398.66065531537583</v>
      </c>
      <c r="N21" s="17">
        <f>sensorCalcs!E197</f>
        <v>0.10073</v>
      </c>
      <c r="O21" s="44">
        <v>756.66599999999994</v>
      </c>
    </row>
    <row r="22" spans="1:15" hidden="1" x14ac:dyDescent="0.35">
      <c r="A22" s="6" t="s">
        <v>104</v>
      </c>
      <c r="B22" s="71" t="s">
        <v>18</v>
      </c>
      <c r="C22" t="s">
        <v>228</v>
      </c>
      <c r="D22" s="4" t="s">
        <v>283</v>
      </c>
      <c r="E22" s="4" t="s">
        <v>246</v>
      </c>
      <c r="F22" s="21" t="s">
        <v>1475</v>
      </c>
      <c r="G22" s="21" t="s">
        <v>1476</v>
      </c>
      <c r="H22" s="8" t="s">
        <v>107</v>
      </c>
      <c r="I22" s="17" t="s">
        <v>105</v>
      </c>
      <c r="J22" s="13">
        <v>811</v>
      </c>
      <c r="K22" s="89">
        <v>353.77418367121049</v>
      </c>
      <c r="L22" s="89">
        <v>351.1563396466139</v>
      </c>
      <c r="M22" s="89">
        <v>353.77418367121049</v>
      </c>
      <c r="N22" s="58">
        <v>0.316</v>
      </c>
      <c r="O22" s="44">
        <v>763.77799999999991</v>
      </c>
    </row>
    <row r="23" spans="1:15" hidden="1" x14ac:dyDescent="0.35">
      <c r="A23" s="9" t="s">
        <v>104</v>
      </c>
      <c r="B23" s="70" t="s">
        <v>25</v>
      </c>
      <c r="C23" s="20" t="s">
        <v>236</v>
      </c>
      <c r="D23" s="16" t="s">
        <v>105</v>
      </c>
      <c r="E23" s="16" t="s">
        <v>247</v>
      </c>
      <c r="F23" s="15" t="s">
        <v>1477</v>
      </c>
      <c r="G23" s="15" t="s">
        <v>1478</v>
      </c>
      <c r="H23" s="10" t="s">
        <v>108</v>
      </c>
      <c r="I23" s="17" t="s">
        <v>105</v>
      </c>
      <c r="J23" s="11">
        <v>22.2</v>
      </c>
      <c r="K23" s="86">
        <v>1.8643116375643145</v>
      </c>
      <c r="L23" s="86">
        <v>1.8602378781229185</v>
      </c>
      <c r="M23" s="86">
        <v>100.05139121595147</v>
      </c>
      <c r="N23" s="57">
        <v>0.88800000000000001</v>
      </c>
      <c r="O23" s="42">
        <v>763.77799999999991</v>
      </c>
    </row>
    <row r="24" spans="1:15" hidden="1" x14ac:dyDescent="0.35">
      <c r="A24" s="6" t="s">
        <v>104</v>
      </c>
      <c r="B24" s="71" t="s">
        <v>26</v>
      </c>
      <c r="C24" t="s">
        <v>234</v>
      </c>
      <c r="D24" s="4" t="s">
        <v>334</v>
      </c>
      <c r="E24" s="4" t="s">
        <v>249</v>
      </c>
      <c r="F24" s="21" t="s">
        <v>1479</v>
      </c>
      <c r="G24" s="21" t="s">
        <v>1480</v>
      </c>
      <c r="H24" s="8" t="s">
        <v>109</v>
      </c>
      <c r="I24" s="17" t="s">
        <v>105</v>
      </c>
      <c r="J24" s="13">
        <f>28+29+28+(140*3)+20</f>
        <v>525</v>
      </c>
      <c r="K24" s="87">
        <v>119.19440187926958</v>
      </c>
      <c r="L24" s="87">
        <v>119.79507972602471</v>
      </c>
      <c r="M24" s="87">
        <v>119.19440187926958</v>
      </c>
      <c r="N24" s="58">
        <v>0.47599999999999998</v>
      </c>
      <c r="O24" s="44">
        <v>763.77799999999991</v>
      </c>
    </row>
    <row r="25" spans="1:15" hidden="1" x14ac:dyDescent="0.35">
      <c r="A25" s="6" t="s">
        <v>104</v>
      </c>
      <c r="B25" s="71" t="s">
        <v>60</v>
      </c>
      <c r="C25" t="s">
        <v>239</v>
      </c>
      <c r="D25" s="4" t="s">
        <v>105</v>
      </c>
      <c r="E25" s="4" t="s">
        <v>252</v>
      </c>
      <c r="F25" s="21" t="s">
        <v>105</v>
      </c>
      <c r="G25" s="21" t="s">
        <v>105</v>
      </c>
      <c r="H25" s="8" t="s">
        <v>110</v>
      </c>
      <c r="I25" s="17" t="s">
        <v>105</v>
      </c>
      <c r="J25" s="13">
        <v>123.5</v>
      </c>
      <c r="K25" s="87">
        <f>sensorCalcs!O23</f>
        <v>99.906057243751164</v>
      </c>
      <c r="L25" s="87">
        <f>sensorCalcs!U23</f>
        <v>1.9498011255090664</v>
      </c>
      <c r="M25" s="87">
        <f>sensorCalcs!P23</f>
        <v>133.4891672096895</v>
      </c>
      <c r="N25" s="58" t="str">
        <f>sensorCalcs!E23</f>
        <v>0.26007</v>
      </c>
      <c r="O25" s="44">
        <v>763.77799999999991</v>
      </c>
    </row>
    <row r="26" spans="1:15" hidden="1" x14ac:dyDescent="0.35">
      <c r="A26" s="9" t="s">
        <v>104</v>
      </c>
      <c r="B26" s="70" t="s">
        <v>64</v>
      </c>
      <c r="C26" s="20" t="s">
        <v>240</v>
      </c>
      <c r="D26" s="16" t="s">
        <v>105</v>
      </c>
      <c r="E26" s="16" t="s">
        <v>253</v>
      </c>
      <c r="F26" s="66" t="s">
        <v>105</v>
      </c>
      <c r="G26" s="66" t="s">
        <v>105</v>
      </c>
      <c r="H26" s="10" t="s">
        <v>111</v>
      </c>
      <c r="I26" s="17" t="s">
        <v>105</v>
      </c>
      <c r="J26" s="11">
        <v>27.13</v>
      </c>
      <c r="K26" s="86">
        <f>sensorCalcs!O24</f>
        <v>16.339623101734407</v>
      </c>
      <c r="L26" s="86">
        <f>sensorCalcs!U24</f>
        <v>1.9453733832871318</v>
      </c>
      <c r="M26" s="86">
        <f>sensorCalcs!P24</f>
        <v>134.72598409218762</v>
      </c>
      <c r="N26" s="57" t="str">
        <f>sensorCalcs!E24</f>
        <v>0.36569</v>
      </c>
      <c r="O26" s="42">
        <v>763.77799999999991</v>
      </c>
    </row>
    <row r="27" spans="1:15" hidden="1" x14ac:dyDescent="0.35">
      <c r="A27" s="9" t="s">
        <v>104</v>
      </c>
      <c r="B27" s="92" t="s">
        <v>69</v>
      </c>
      <c r="C27" s="16" t="str">
        <f>sensorCalcs!C228</f>
        <v>2015-11-25 14:57</v>
      </c>
      <c r="D27" s="16" t="s">
        <v>105</v>
      </c>
      <c r="E27" s="16" t="s">
        <v>2349</v>
      </c>
      <c r="F27" s="19">
        <v>39.019337999999998</v>
      </c>
      <c r="G27" s="15" t="s">
        <v>2392</v>
      </c>
      <c r="H27" s="19" t="s">
        <v>105</v>
      </c>
      <c r="I27" s="19">
        <f>sensorCalcs!G228</f>
        <v>12.218888888888888</v>
      </c>
      <c r="J27" s="19">
        <f>26+13</f>
        <v>39</v>
      </c>
      <c r="K27" s="78">
        <f>sensorCalcs!O228</f>
        <v>23.322540546299312</v>
      </c>
      <c r="L27" s="78">
        <f>sensorCalcs!U228</f>
        <v>2.0462248375602443</v>
      </c>
      <c r="M27" s="78">
        <f>sensorCalcs!P228</f>
        <v>128.49705426116822</v>
      </c>
      <c r="N27" s="19">
        <f>sensorCalcs!E228</f>
        <v>0.21612000000000001</v>
      </c>
      <c r="O27" s="42">
        <v>736.2</v>
      </c>
    </row>
    <row r="28" spans="1:15" hidden="1" x14ac:dyDescent="0.35">
      <c r="A28" s="9" t="s">
        <v>104</v>
      </c>
      <c r="B28" s="70" t="s">
        <v>9</v>
      </c>
      <c r="C28" s="20" t="s">
        <v>242</v>
      </c>
      <c r="D28" s="16" t="s">
        <v>332</v>
      </c>
      <c r="E28" s="16" t="s">
        <v>308</v>
      </c>
      <c r="F28" s="15" t="s">
        <v>1481</v>
      </c>
      <c r="G28" s="15" t="s">
        <v>1482</v>
      </c>
      <c r="H28" s="15" t="s">
        <v>106</v>
      </c>
      <c r="I28" s="17" t="s">
        <v>105</v>
      </c>
      <c r="J28" s="19">
        <v>1725</v>
      </c>
      <c r="K28" s="78">
        <f>sensorCalcs!O26</f>
        <v>343.48585470065075</v>
      </c>
      <c r="L28" s="78">
        <f>sensorCalcs!U26</f>
        <v>5.4534100865240074</v>
      </c>
      <c r="M28" s="78">
        <f>sensorCalcs!P26</f>
        <v>343.58585583243877</v>
      </c>
      <c r="N28" s="59" t="str">
        <f>sensorCalcs!E26</f>
        <v>0.40415</v>
      </c>
      <c r="O28" s="42">
        <v>758.952</v>
      </c>
    </row>
    <row r="29" spans="1:15" hidden="1" x14ac:dyDescent="0.35">
      <c r="A29" s="9" t="s">
        <v>104</v>
      </c>
      <c r="B29" s="73" t="s">
        <v>14</v>
      </c>
      <c r="C29" s="16" t="str">
        <f>sensorCalcs!C115</f>
        <v>2015-08-31 14:10</v>
      </c>
      <c r="D29" s="16" t="s">
        <v>1741</v>
      </c>
      <c r="E29" s="16" t="s">
        <v>1742</v>
      </c>
      <c r="F29" s="15" t="s">
        <v>1603</v>
      </c>
      <c r="G29" s="15" t="s">
        <v>1604</v>
      </c>
      <c r="H29" s="19">
        <v>11</v>
      </c>
      <c r="I29" s="17" t="s">
        <v>105</v>
      </c>
      <c r="J29" s="19">
        <f>25+25+25+140+140+140+140+140</f>
        <v>775</v>
      </c>
      <c r="K29" s="78">
        <f>sensorCalcs!O115</f>
        <v>363.36195628582658</v>
      </c>
      <c r="L29" s="78">
        <f>sensorCalcs!U115</f>
        <v>5.4154829022516182</v>
      </c>
      <c r="M29" s="78">
        <f>sensorCalcs!P115</f>
        <v>363.53311687816159</v>
      </c>
      <c r="N29" s="19">
        <f>sensorCalcs!E115</f>
        <v>0.37607000000000002</v>
      </c>
      <c r="O29" s="42">
        <v>750.2</v>
      </c>
    </row>
    <row r="30" spans="1:15" hidden="1" x14ac:dyDescent="0.35">
      <c r="A30" s="9" t="s">
        <v>104</v>
      </c>
      <c r="B30" s="70" t="s">
        <v>18</v>
      </c>
      <c r="C30" s="20" t="s">
        <v>244</v>
      </c>
      <c r="D30" s="16" t="s">
        <v>330</v>
      </c>
      <c r="E30" s="16" t="s">
        <v>259</v>
      </c>
      <c r="F30" s="15" t="s">
        <v>1483</v>
      </c>
      <c r="G30" s="15" t="s">
        <v>1484</v>
      </c>
      <c r="H30" s="10" t="s">
        <v>106</v>
      </c>
      <c r="I30" s="17" t="s">
        <v>105</v>
      </c>
      <c r="J30" s="11">
        <v>791</v>
      </c>
      <c r="K30" s="86">
        <f>sensorCalcs!O28</f>
        <v>359.1163844789009</v>
      </c>
      <c r="L30" s="86">
        <f>sensorCalcs!U28</f>
        <v>5.4513293572087163</v>
      </c>
      <c r="M30" s="86">
        <f>sensorCalcs!P28</f>
        <v>359.21875851890076</v>
      </c>
      <c r="N30" s="57" t="str">
        <f>sensorCalcs!E28</f>
        <v>0.35958</v>
      </c>
      <c r="O30" s="42">
        <v>758.952</v>
      </c>
    </row>
    <row r="31" spans="1:15" hidden="1" x14ac:dyDescent="0.35">
      <c r="A31" s="6" t="s">
        <v>104</v>
      </c>
      <c r="B31" s="71" t="s">
        <v>25</v>
      </c>
      <c r="C31" t="s">
        <v>248</v>
      </c>
      <c r="D31" s="4" t="s">
        <v>105</v>
      </c>
      <c r="E31" s="4" t="s">
        <v>261</v>
      </c>
      <c r="F31" s="21" t="s">
        <v>1485</v>
      </c>
      <c r="G31" s="21" t="s">
        <v>1486</v>
      </c>
      <c r="H31" s="8" t="s">
        <v>114</v>
      </c>
      <c r="I31" s="17" t="s">
        <v>105</v>
      </c>
      <c r="J31" s="13">
        <v>26.3</v>
      </c>
      <c r="K31" s="89">
        <f>sensorCalcs!O29</f>
        <v>5.5394913124160947</v>
      </c>
      <c r="L31" s="89">
        <f>sensorCalcs!U29</f>
        <v>1.919055838280886</v>
      </c>
      <c r="M31" s="89">
        <f>sensorCalcs!P29</f>
        <v>108.04990957831487</v>
      </c>
      <c r="N31" s="58" t="str">
        <f>sensorCalcs!E29</f>
        <v>0.76129</v>
      </c>
      <c r="O31" s="44">
        <v>758.952</v>
      </c>
    </row>
    <row r="32" spans="1:15" hidden="1" x14ac:dyDescent="0.35">
      <c r="A32" s="9" t="s">
        <v>104</v>
      </c>
      <c r="B32" s="70" t="s">
        <v>26</v>
      </c>
      <c r="C32" s="20" t="s">
        <v>250</v>
      </c>
      <c r="D32" s="16" t="s">
        <v>329</v>
      </c>
      <c r="E32" s="16" t="s">
        <v>264</v>
      </c>
      <c r="F32" s="15" t="s">
        <v>105</v>
      </c>
      <c r="G32" s="15" t="s">
        <v>105</v>
      </c>
      <c r="H32" s="15" t="s">
        <v>109</v>
      </c>
      <c r="I32" s="17" t="s">
        <v>105</v>
      </c>
      <c r="J32" s="19">
        <v>523</v>
      </c>
      <c r="K32" s="78">
        <f>sensorCalcs!O30</f>
        <v>124.28258666840294</v>
      </c>
      <c r="L32" s="78">
        <f>sensorCalcs!U30</f>
        <v>1.9253061127869953</v>
      </c>
      <c r="M32" s="78">
        <f>sensorCalcs!P30</f>
        <v>124.31858101748529</v>
      </c>
      <c r="N32" s="59" t="str">
        <f>sensorCalcs!E30</f>
        <v>0.39316</v>
      </c>
      <c r="O32" s="42">
        <v>758.952</v>
      </c>
    </row>
    <row r="33" spans="1:15" hidden="1" x14ac:dyDescent="0.35">
      <c r="A33" s="9" t="s">
        <v>3</v>
      </c>
      <c r="B33" s="70" t="s">
        <v>5</v>
      </c>
      <c r="C33" s="20" t="s">
        <v>265</v>
      </c>
      <c r="D33" s="16" t="s">
        <v>333</v>
      </c>
      <c r="E33" s="16" t="s">
        <v>311</v>
      </c>
      <c r="F33" s="15" t="s">
        <v>1489</v>
      </c>
      <c r="G33" s="15" t="s">
        <v>1490</v>
      </c>
      <c r="H33" s="10" t="s">
        <v>132</v>
      </c>
      <c r="I33" s="17" t="s">
        <v>105</v>
      </c>
      <c r="J33" s="11">
        <v>839</v>
      </c>
      <c r="K33" s="86">
        <f>sensorCalcs!O21</f>
        <v>388.15305098030689</v>
      </c>
      <c r="L33" s="86">
        <f>sensorCalcs!U21</f>
        <v>5.4445047952035504</v>
      </c>
      <c r="M33" s="86">
        <f>sensorCalcs!P21</f>
        <v>388.25508603341933</v>
      </c>
      <c r="N33" s="57" t="str">
        <f>sensorCalcs!E21</f>
        <v>0.17888</v>
      </c>
      <c r="O33" s="43">
        <v>742.6</v>
      </c>
    </row>
    <row r="34" spans="1:15" hidden="1" x14ac:dyDescent="0.35">
      <c r="A34" s="6" t="s">
        <v>3</v>
      </c>
      <c r="B34" s="71" t="s">
        <v>119</v>
      </c>
      <c r="C34" t="s">
        <v>266</v>
      </c>
      <c r="D34" s="4" t="s">
        <v>489</v>
      </c>
      <c r="E34" s="4" t="s">
        <v>312</v>
      </c>
      <c r="F34" s="21" t="s">
        <v>1487</v>
      </c>
      <c r="G34" s="21" t="s">
        <v>1488</v>
      </c>
      <c r="H34" s="8" t="s">
        <v>120</v>
      </c>
      <c r="I34" s="17" t="s">
        <v>105</v>
      </c>
      <c r="J34" s="13">
        <v>392</v>
      </c>
      <c r="K34" s="89">
        <f>sensorCalcs!O22</f>
        <v>120.77195062898643</v>
      </c>
      <c r="L34" s="89">
        <f>sensorCalcs!U22</f>
        <v>1.9106084405716504</v>
      </c>
      <c r="M34" s="89">
        <f>sensorCalcs!P22</f>
        <v>120.80543374441189</v>
      </c>
      <c r="N34" s="58" t="str">
        <f>sensorCalcs!E22</f>
        <v>0.29915</v>
      </c>
      <c r="O34" s="45">
        <f>AVERAGE(742.6,745.1)</f>
        <v>743.85</v>
      </c>
    </row>
    <row r="35" spans="1:15" hidden="1" x14ac:dyDescent="0.35">
      <c r="A35" s="9" t="s">
        <v>104</v>
      </c>
      <c r="B35" s="70" t="s">
        <v>69</v>
      </c>
      <c r="C35" s="20" t="s">
        <v>383</v>
      </c>
      <c r="D35" s="16" t="s">
        <v>384</v>
      </c>
      <c r="E35" s="16" t="s">
        <v>385</v>
      </c>
      <c r="F35" s="15" t="s">
        <v>1553</v>
      </c>
      <c r="G35" s="15" t="s">
        <v>1552</v>
      </c>
      <c r="H35" s="15" t="s">
        <v>2386</v>
      </c>
      <c r="I35" s="17" t="s">
        <v>105</v>
      </c>
      <c r="J35" s="19">
        <f>28+30+29+(140*3)+120</f>
        <v>627</v>
      </c>
      <c r="K35" s="78">
        <f>sensorCalcs!O76</f>
        <v>118.59453461516884</v>
      </c>
      <c r="L35" s="78">
        <f>sensorCalcs!U76</f>
        <v>1.909961909288926</v>
      </c>
      <c r="M35" s="78">
        <f>sensorCalcs!P76</f>
        <v>118.62957230381048</v>
      </c>
      <c r="N35" s="59">
        <v>0.43468000000000001</v>
      </c>
      <c r="O35" s="42">
        <v>748.2</v>
      </c>
    </row>
    <row r="36" spans="1:15" hidden="1" x14ac:dyDescent="0.35">
      <c r="A36" s="9" t="s">
        <v>104</v>
      </c>
      <c r="B36" s="70" t="s">
        <v>9</v>
      </c>
      <c r="C36" s="20" t="s">
        <v>256</v>
      </c>
      <c r="D36" s="16" t="s">
        <v>323</v>
      </c>
      <c r="E36" s="16" t="s">
        <v>324</v>
      </c>
      <c r="F36" s="15" t="s">
        <v>1491</v>
      </c>
      <c r="G36" s="15" t="s">
        <v>1492</v>
      </c>
      <c r="H36" s="15" t="s">
        <v>284</v>
      </c>
      <c r="I36" s="17" t="s">
        <v>105</v>
      </c>
      <c r="J36" s="19" t="s">
        <v>285</v>
      </c>
      <c r="K36" s="78">
        <f>sensorCalcs!O34</f>
        <v>355.79583008746647</v>
      </c>
      <c r="L36" s="78">
        <f>sensorCalcs!U34</f>
        <v>5.556645483076263</v>
      </c>
      <c r="M36" s="78">
        <f>sensorCalcs!P34</f>
        <v>355.89583121925443</v>
      </c>
      <c r="N36" s="59" t="str">
        <f>sensorCalcs!E34</f>
        <v>0.32906</v>
      </c>
      <c r="O36" s="42" t="s">
        <v>286</v>
      </c>
    </row>
    <row r="37" spans="1:15" hidden="1" x14ac:dyDescent="0.35">
      <c r="A37" s="6" t="s">
        <v>104</v>
      </c>
      <c r="B37" s="72" t="s">
        <v>14</v>
      </c>
      <c r="C37" s="4" t="str">
        <f>sensorCalcs!C143</f>
        <v>2015-09-23 13:09</v>
      </c>
      <c r="D37" s="4" t="s">
        <v>1981</v>
      </c>
      <c r="E37" s="4" t="s">
        <v>1982</v>
      </c>
      <c r="F37" s="21">
        <v>39.02646</v>
      </c>
      <c r="G37" s="21" t="s">
        <v>1625</v>
      </c>
      <c r="H37" s="17">
        <v>9</v>
      </c>
      <c r="I37" s="17">
        <f>sensorCalcs!G143</f>
        <v>23.641111111111112</v>
      </c>
      <c r="J37" s="17">
        <f>(140*10)+75+29+28.5+28.5</f>
        <v>1561</v>
      </c>
      <c r="K37" s="18">
        <f>sensorCalcs!O143</f>
        <v>386.01760586160577</v>
      </c>
      <c r="L37" s="18">
        <f>sensorCalcs!U143</f>
        <v>5.5425273965925079</v>
      </c>
      <c r="M37" s="18">
        <f>sensorCalcs!P143</f>
        <v>386.18376500806085</v>
      </c>
      <c r="N37" s="17">
        <f>sensorCalcs!E143</f>
        <v>0.17582</v>
      </c>
      <c r="O37" s="44">
        <v>750.2</v>
      </c>
    </row>
    <row r="38" spans="1:15" hidden="1" x14ac:dyDescent="0.35">
      <c r="A38" s="9" t="s">
        <v>104</v>
      </c>
      <c r="B38" s="70" t="s">
        <v>18</v>
      </c>
      <c r="C38" s="20" t="s">
        <v>260</v>
      </c>
      <c r="D38" s="16" t="s">
        <v>319</v>
      </c>
      <c r="E38" s="16" t="s">
        <v>320</v>
      </c>
      <c r="F38" s="15" t="s">
        <v>1495</v>
      </c>
      <c r="G38" s="15" t="s">
        <v>1496</v>
      </c>
      <c r="H38" s="10" t="s">
        <v>288</v>
      </c>
      <c r="I38" s="17" t="s">
        <v>105</v>
      </c>
      <c r="J38" s="11">
        <v>593</v>
      </c>
      <c r="K38" s="86">
        <f>sensorCalcs!O36</f>
        <v>379.81272318838359</v>
      </c>
      <c r="L38" s="86">
        <f>sensorCalcs!U36</f>
        <v>5.4750653114893959</v>
      </c>
      <c r="M38" s="86">
        <f>sensorCalcs!P36</f>
        <v>379.91509722838344</v>
      </c>
      <c r="N38" s="57" t="str">
        <f>sensorCalcs!E36</f>
        <v>0.23626</v>
      </c>
      <c r="O38" s="42" t="s">
        <v>286</v>
      </c>
    </row>
    <row r="39" spans="1:15" hidden="1" x14ac:dyDescent="0.35">
      <c r="A39" s="6" t="s">
        <v>104</v>
      </c>
      <c r="B39" s="71" t="s">
        <v>25</v>
      </c>
      <c r="C39" t="s">
        <v>262</v>
      </c>
      <c r="D39" s="4" t="s">
        <v>317</v>
      </c>
      <c r="E39" s="4" t="s">
        <v>318</v>
      </c>
      <c r="F39" s="21" t="s">
        <v>105</v>
      </c>
      <c r="G39" s="21" t="s">
        <v>105</v>
      </c>
      <c r="H39" s="8" t="s">
        <v>289</v>
      </c>
      <c r="I39" s="17" t="s">
        <v>105</v>
      </c>
      <c r="J39" s="13">
        <v>488</v>
      </c>
      <c r="K39" s="89">
        <f>sensorCalcs!O37</f>
        <v>111.16082426419719</v>
      </c>
      <c r="L39" s="89">
        <f>sensorCalcs!U37</f>
        <v>1.929846197152348</v>
      </c>
      <c r="M39" s="89">
        <f>sensorCalcs!P37</f>
        <v>111.198731934161</v>
      </c>
      <c r="N39" s="58" t="str">
        <f>sensorCalcs!E37</f>
        <v>0.71062</v>
      </c>
      <c r="O39" s="45">
        <v>746.7</v>
      </c>
    </row>
    <row r="40" spans="1:15" hidden="1" x14ac:dyDescent="0.35">
      <c r="A40" s="9" t="s">
        <v>104</v>
      </c>
      <c r="B40" s="70" t="s">
        <v>26</v>
      </c>
      <c r="C40" s="20" t="s">
        <v>263</v>
      </c>
      <c r="D40" s="16" t="s">
        <v>315</v>
      </c>
      <c r="E40" s="16" t="s">
        <v>316</v>
      </c>
      <c r="F40" s="15" t="s">
        <v>1636</v>
      </c>
      <c r="G40" s="15" t="s">
        <v>1637</v>
      </c>
      <c r="H40" s="15" t="s">
        <v>111</v>
      </c>
      <c r="I40" s="17" t="s">
        <v>105</v>
      </c>
      <c r="J40" s="19" t="s">
        <v>290</v>
      </c>
      <c r="K40" s="78">
        <v>93.17225770661716</v>
      </c>
      <c r="L40" s="78">
        <f>sensorCalcs!O38</f>
        <v>94.058544793858047</v>
      </c>
      <c r="M40" s="78">
        <f>sensorCalcs!P38</f>
        <v>94.094539142940405</v>
      </c>
      <c r="N40" s="59" t="str">
        <f>sensorCalcs!E38</f>
        <v>0.90537</v>
      </c>
      <c r="O40" s="42" t="s">
        <v>291</v>
      </c>
    </row>
    <row r="41" spans="1:15" x14ac:dyDescent="0.35">
      <c r="A41" s="6" t="s">
        <v>104</v>
      </c>
      <c r="B41" s="29" t="s">
        <v>167</v>
      </c>
      <c r="C41" s="4" t="str">
        <f>sensorCalcs!C235</f>
        <v>2015-12-02 16:56</v>
      </c>
      <c r="D41" s="4" t="s">
        <v>105</v>
      </c>
      <c r="E41" s="4" t="s">
        <v>2372</v>
      </c>
      <c r="F41" s="17">
        <v>39.021695000000001</v>
      </c>
      <c r="G41" s="17">
        <v>-84.099101000000005</v>
      </c>
      <c r="H41" s="17">
        <v>10</v>
      </c>
      <c r="I41" s="17">
        <f>sensorCalcs!G235</f>
        <v>10.467222222222222</v>
      </c>
      <c r="J41" s="17">
        <v>20</v>
      </c>
      <c r="K41" s="18" t="str">
        <f>sensorCalcs!O235</f>
        <v>NA</v>
      </c>
      <c r="L41" s="18" t="str">
        <f>sensorCalcs!U235</f>
        <v>NA</v>
      </c>
      <c r="M41" s="18">
        <f>sensorCalcs!P235</f>
        <v>142.88767971226667</v>
      </c>
      <c r="N41" s="17">
        <f>sensorCalcs!E235</f>
        <v>6.2269999999999999E-2</v>
      </c>
      <c r="O41" s="44">
        <v>763.524</v>
      </c>
    </row>
    <row r="42" spans="1:15" hidden="1" x14ac:dyDescent="0.35">
      <c r="A42" s="6" t="s">
        <v>104</v>
      </c>
      <c r="B42" s="71" t="s">
        <v>60</v>
      </c>
      <c r="C42" t="s">
        <v>251</v>
      </c>
      <c r="D42" s="4" t="s">
        <v>328</v>
      </c>
      <c r="E42" s="4" t="s">
        <v>302</v>
      </c>
      <c r="F42" s="21" t="s">
        <v>1499</v>
      </c>
      <c r="G42" s="21" t="s">
        <v>1500</v>
      </c>
      <c r="H42" s="17">
        <v>104</v>
      </c>
      <c r="I42" s="17" t="s">
        <v>105</v>
      </c>
      <c r="J42" s="13" t="s">
        <v>295</v>
      </c>
      <c r="K42" s="89">
        <f>sensorCalcs!O31</f>
        <v>125.54767796388589</v>
      </c>
      <c r="L42" s="87">
        <f>sensorCalcs!U31</f>
        <v>1.9182725123979647</v>
      </c>
      <c r="M42" s="87">
        <f>sensorCalcs!P31</f>
        <v>125.58307440019279</v>
      </c>
      <c r="N42" s="58" t="str">
        <f>sensorCalcs!E31</f>
        <v>0.33578</v>
      </c>
      <c r="O42" s="45">
        <v>751.3</v>
      </c>
    </row>
    <row r="43" spans="1:15" hidden="1" x14ac:dyDescent="0.35">
      <c r="A43" s="9" t="s">
        <v>104</v>
      </c>
      <c r="B43" s="70" t="s">
        <v>64</v>
      </c>
      <c r="C43" s="20" t="s">
        <v>254</v>
      </c>
      <c r="D43" s="16" t="s">
        <v>326</v>
      </c>
      <c r="E43" s="16" t="s">
        <v>327</v>
      </c>
      <c r="F43" s="15" t="s">
        <v>1501</v>
      </c>
      <c r="G43" s="15" t="s">
        <v>1502</v>
      </c>
      <c r="H43" s="10" t="s">
        <v>297</v>
      </c>
      <c r="I43" s="17" t="s">
        <v>105</v>
      </c>
      <c r="J43" s="11">
        <v>187</v>
      </c>
      <c r="K43" s="88">
        <f>sensorCalcs!O32</f>
        <v>134.03225236381959</v>
      </c>
      <c r="L43" s="86">
        <f>sensorCalcs!U32</f>
        <v>1.924831790977219</v>
      </c>
      <c r="M43" s="86">
        <f>sensorCalcs!P32</f>
        <v>134.07075794655887</v>
      </c>
      <c r="N43" s="57" t="str">
        <f>sensorCalcs!E32</f>
        <v>0.37607</v>
      </c>
      <c r="O43" s="43">
        <v>751.3</v>
      </c>
    </row>
    <row r="44" spans="1:15" hidden="1" x14ac:dyDescent="0.35">
      <c r="A44" s="9" t="s">
        <v>104</v>
      </c>
      <c r="B44" s="73" t="s">
        <v>69</v>
      </c>
      <c r="C44" s="20" t="s">
        <v>446</v>
      </c>
      <c r="D44" s="16" t="s">
        <v>447</v>
      </c>
      <c r="E44" s="16" t="s">
        <v>448</v>
      </c>
      <c r="F44" s="15" t="s">
        <v>1515</v>
      </c>
      <c r="G44" s="15" t="s">
        <v>1516</v>
      </c>
      <c r="H44" s="19" t="s">
        <v>105</v>
      </c>
      <c r="I44" s="17" t="s">
        <v>105</v>
      </c>
      <c r="J44" s="19">
        <f>32+29+30+140+140+140+140</f>
        <v>651</v>
      </c>
      <c r="K44" s="78">
        <f>sensorCalcs!O54</f>
        <v>106.3916543661302</v>
      </c>
      <c r="L44" s="78">
        <f>sensorCalcs!U54</f>
        <v>1.9115719465453711</v>
      </c>
      <c r="M44" s="78">
        <f>sensorCalcs!P54</f>
        <v>106.42669205477181</v>
      </c>
      <c r="N44" s="59">
        <v>0.64712999999999998</v>
      </c>
      <c r="O44" s="42">
        <v>745.8</v>
      </c>
    </row>
    <row r="45" spans="1:15" hidden="1" x14ac:dyDescent="0.35">
      <c r="A45" s="9" t="s">
        <v>3</v>
      </c>
      <c r="B45" s="70" t="s">
        <v>4</v>
      </c>
      <c r="C45" s="20" t="s">
        <v>335</v>
      </c>
      <c r="D45" s="16" t="s">
        <v>336</v>
      </c>
      <c r="E45" s="16" t="s">
        <v>337</v>
      </c>
      <c r="F45" s="15" t="s">
        <v>1507</v>
      </c>
      <c r="G45" s="15" t="s">
        <v>1508</v>
      </c>
      <c r="H45" s="15" t="s">
        <v>288</v>
      </c>
      <c r="I45" s="17" t="s">
        <v>105</v>
      </c>
      <c r="J45" s="19" t="s">
        <v>338</v>
      </c>
      <c r="K45" s="78">
        <f>sensorCalcs!O40</f>
        <v>137.52658792871836</v>
      </c>
      <c r="L45" s="78">
        <f>sensorCalcs!U40</f>
        <v>1.9378766848909343</v>
      </c>
      <c r="M45" s="78">
        <f>sensorCalcs!P40</f>
        <v>137.56270186035579</v>
      </c>
      <c r="N45" s="59" t="str">
        <f>sensorCalcs!E40</f>
        <v>0.17643</v>
      </c>
      <c r="O45" s="42" t="s">
        <v>339</v>
      </c>
    </row>
    <row r="46" spans="1:15" hidden="1" x14ac:dyDescent="0.35">
      <c r="A46" s="6" t="s">
        <v>3</v>
      </c>
      <c r="B46" s="71" t="s">
        <v>119</v>
      </c>
      <c r="C46" t="s">
        <v>342</v>
      </c>
      <c r="D46" s="4" t="s">
        <v>343</v>
      </c>
      <c r="E46" s="4" t="s">
        <v>344</v>
      </c>
      <c r="F46" s="21" t="s">
        <v>1505</v>
      </c>
      <c r="G46" s="21" t="s">
        <v>1506</v>
      </c>
      <c r="H46" s="17">
        <v>38</v>
      </c>
      <c r="I46" s="17" t="s">
        <v>105</v>
      </c>
      <c r="J46" s="17">
        <v>617</v>
      </c>
      <c r="K46" s="18">
        <f>sensorCalcs!O41</f>
        <v>113.56759177720005</v>
      </c>
      <c r="L46" s="18">
        <f>sensorCalcs!U41</f>
        <v>1.9384322563628043</v>
      </c>
      <c r="M46" s="18">
        <f>sensorCalcs!P41</f>
        <v>113.60107489262549</v>
      </c>
      <c r="N46" s="60" t="str">
        <f>sensorCalcs!E41</f>
        <v>0.43040</v>
      </c>
      <c r="O46" s="44">
        <v>737.5</v>
      </c>
    </row>
    <row r="47" spans="1:15" hidden="1" x14ac:dyDescent="0.35">
      <c r="A47" s="9" t="s">
        <v>3</v>
      </c>
      <c r="B47" s="70" t="s">
        <v>5</v>
      </c>
      <c r="C47" s="20" t="s">
        <v>346</v>
      </c>
      <c r="D47" s="16" t="s">
        <v>349</v>
      </c>
      <c r="E47" s="16" t="s">
        <v>350</v>
      </c>
      <c r="F47" s="15" t="s">
        <v>1509</v>
      </c>
      <c r="G47" s="15" t="s">
        <v>1510</v>
      </c>
      <c r="H47" s="15" t="s">
        <v>347</v>
      </c>
      <c r="I47" s="17" t="s">
        <v>105</v>
      </c>
      <c r="J47" s="19" t="s">
        <v>348</v>
      </c>
      <c r="K47" s="78">
        <f>sensorCalcs!O42</f>
        <v>381.71982451685591</v>
      </c>
      <c r="L47" s="78">
        <f>sensorCalcs!U42</f>
        <v>5.5836066541432166</v>
      </c>
      <c r="M47" s="78">
        <f>sensorCalcs!P42</f>
        <v>381.82185956996835</v>
      </c>
      <c r="N47" s="59">
        <v>0.21734000000000001</v>
      </c>
      <c r="O47" s="42" t="s">
        <v>339</v>
      </c>
    </row>
    <row r="48" spans="1:15" hidden="1" x14ac:dyDescent="0.35">
      <c r="A48" s="9" t="s">
        <v>104</v>
      </c>
      <c r="B48" s="92" t="s">
        <v>14</v>
      </c>
      <c r="C48" s="16" t="str">
        <f>sensorCalcs!C206</f>
        <v>2015-11-12 12:03</v>
      </c>
      <c r="D48" s="16" t="s">
        <v>105</v>
      </c>
      <c r="E48" s="16" t="s">
        <v>2274</v>
      </c>
      <c r="F48" s="19">
        <v>39.026406000000001</v>
      </c>
      <c r="G48" s="19">
        <v>-84.091485000000006</v>
      </c>
      <c r="H48" s="19">
        <v>6</v>
      </c>
      <c r="I48" s="19">
        <f>sensorCalcs!G206</f>
        <v>13.087777777777777</v>
      </c>
      <c r="J48" s="19">
        <f>26+26+26+55</f>
        <v>133</v>
      </c>
      <c r="K48" s="78">
        <f>sensorCalcs!O206</f>
        <v>129.8337661753946</v>
      </c>
      <c r="L48" s="78">
        <f>sensorCalcs!U206</f>
        <v>5.7737777692365926</v>
      </c>
      <c r="M48" s="78">
        <f>sensorCalcs!P206</f>
        <v>390.44408552317009</v>
      </c>
      <c r="N48" s="19">
        <f>sensorCalcs!E206</f>
        <v>0.15018000000000001</v>
      </c>
      <c r="O48" s="42">
        <v>763.01600000000008</v>
      </c>
    </row>
    <row r="49" spans="1:15" hidden="1" x14ac:dyDescent="0.35">
      <c r="A49" s="6" t="s">
        <v>104</v>
      </c>
      <c r="B49" s="72" t="s">
        <v>25</v>
      </c>
      <c r="C49" t="s">
        <v>474</v>
      </c>
      <c r="D49" s="4" t="s">
        <v>475</v>
      </c>
      <c r="E49" s="4" t="s">
        <v>476</v>
      </c>
      <c r="F49" s="21" t="s">
        <v>105</v>
      </c>
      <c r="G49" s="21" t="s">
        <v>105</v>
      </c>
      <c r="H49" s="13">
        <v>42</v>
      </c>
      <c r="I49" s="17" t="s">
        <v>105</v>
      </c>
      <c r="J49" s="13">
        <f>29+30+29+140+140+120</f>
        <v>488</v>
      </c>
      <c r="K49" s="89">
        <f>sensorCalcs!O47</f>
        <v>111.00919358434196</v>
      </c>
      <c r="L49" s="89">
        <f>sensorCalcs!U47</f>
        <v>1.9302513281610416</v>
      </c>
      <c r="M49" s="89">
        <f>sensorCalcs!P47</f>
        <v>111.04710125430577</v>
      </c>
      <c r="N49" s="58" t="str">
        <f>sensorCalcs!E47</f>
        <v>0.71306</v>
      </c>
      <c r="O49" s="45">
        <v>746.2</v>
      </c>
    </row>
    <row r="50" spans="1:15" x14ac:dyDescent="0.35">
      <c r="A50" s="6" t="s">
        <v>104</v>
      </c>
      <c r="B50" s="71" t="s">
        <v>167</v>
      </c>
      <c r="C50" t="str">
        <f>sensorCalcs!C89</f>
        <v>2015-08-11 14:09</v>
      </c>
      <c r="D50" s="4" t="s">
        <v>481</v>
      </c>
      <c r="E50" s="4" t="s">
        <v>482</v>
      </c>
      <c r="F50" s="21" t="s">
        <v>1576</v>
      </c>
      <c r="G50" s="21" t="s">
        <v>1577</v>
      </c>
      <c r="H50" s="21" t="s">
        <v>2390</v>
      </c>
      <c r="I50" s="17" t="s">
        <v>105</v>
      </c>
      <c r="J50" s="17">
        <f>27+27+28+(140*4)+65</f>
        <v>707</v>
      </c>
      <c r="K50" s="18">
        <f>sensorCalcs!O89</f>
        <v>106.56627430210919</v>
      </c>
      <c r="L50" s="18">
        <f>sensorCalcs!U89</f>
        <v>1.9059704923707681</v>
      </c>
      <c r="M50" s="18">
        <f>sensorCalcs!P89</f>
        <v>106.60202948608138</v>
      </c>
      <c r="N50" s="60" t="str">
        <f>sensorCalcs!E89</f>
        <v>0.68132</v>
      </c>
      <c r="O50" s="44" t="str">
        <f>sensorCalcs!I89</f>
        <v>749</v>
      </c>
    </row>
    <row r="51" spans="1:15" hidden="1" x14ac:dyDescent="0.35">
      <c r="A51" s="6" t="s">
        <v>104</v>
      </c>
      <c r="B51" s="72" t="s">
        <v>69</v>
      </c>
      <c r="C51" t="s">
        <v>410</v>
      </c>
      <c r="D51" s="4" t="s">
        <v>411</v>
      </c>
      <c r="E51" s="4" t="s">
        <v>412</v>
      </c>
      <c r="F51" s="21" t="s">
        <v>1535</v>
      </c>
      <c r="G51" s="21" t="s">
        <v>1536</v>
      </c>
      <c r="H51" s="17" t="s">
        <v>105</v>
      </c>
      <c r="I51" s="17" t="s">
        <v>105</v>
      </c>
      <c r="J51" s="17">
        <f>27+28+29+140+140+95</f>
        <v>459</v>
      </c>
      <c r="K51" s="18">
        <f>sensorCalcs!O67</f>
        <v>115.74484508032791</v>
      </c>
      <c r="L51" s="18">
        <f>sensorCalcs!U67</f>
        <v>1.8959589360823978</v>
      </c>
      <c r="M51" s="18">
        <f>sensorCalcs!P67</f>
        <v>115.78083942941026</v>
      </c>
      <c r="N51" s="60">
        <v>0.53785000000000005</v>
      </c>
      <c r="O51" s="44">
        <v>747.2</v>
      </c>
    </row>
    <row r="52" spans="1:15" hidden="1" x14ac:dyDescent="0.35">
      <c r="A52" s="6" t="s">
        <v>104</v>
      </c>
      <c r="B52" s="72" t="s">
        <v>18</v>
      </c>
      <c r="C52" t="s">
        <v>465</v>
      </c>
      <c r="D52" s="4" t="s">
        <v>466</v>
      </c>
      <c r="E52" s="4" t="s">
        <v>467</v>
      </c>
      <c r="F52" s="21" t="s">
        <v>105</v>
      </c>
      <c r="G52" s="21" t="s">
        <v>105</v>
      </c>
      <c r="H52" s="13">
        <v>16.5</v>
      </c>
      <c r="I52" s="17" t="s">
        <v>105</v>
      </c>
      <c r="J52" s="13" t="s">
        <v>105</v>
      </c>
      <c r="K52" s="89">
        <f>sensorCalcs!O45</f>
        <v>374.68898639953744</v>
      </c>
      <c r="L52" s="89">
        <f>sensorCalcs!U45</f>
        <v>5.4452768111039447</v>
      </c>
      <c r="M52" s="89">
        <f>sensorCalcs!P45</f>
        <v>374.79136043953736</v>
      </c>
      <c r="N52" s="58" t="str">
        <f>sensorCalcs!E45</f>
        <v>0.26679</v>
      </c>
      <c r="O52" s="44">
        <v>762.50799999999992</v>
      </c>
    </row>
    <row r="53" spans="1:15" hidden="1" x14ac:dyDescent="0.35">
      <c r="A53" s="9" t="s">
        <v>104</v>
      </c>
      <c r="B53" s="73" t="s">
        <v>64</v>
      </c>
      <c r="C53" s="20" t="s">
        <v>458</v>
      </c>
      <c r="D53" s="16" t="s">
        <v>105</v>
      </c>
      <c r="E53" s="16" t="s">
        <v>459</v>
      </c>
      <c r="F53" s="66" t="s">
        <v>105</v>
      </c>
      <c r="G53" s="66" t="s">
        <v>105</v>
      </c>
      <c r="H53" s="19">
        <v>50</v>
      </c>
      <c r="I53" s="17" t="s">
        <v>105</v>
      </c>
      <c r="J53" s="19">
        <f>26+28+10</f>
        <v>64</v>
      </c>
      <c r="K53" s="78">
        <f>sensorCalcs!O50</f>
        <v>54.491711966668831</v>
      </c>
      <c r="L53" s="78">
        <f>sensorCalcs!U50</f>
        <v>1.9142165772405002</v>
      </c>
      <c r="M53" s="78">
        <f>sensorCalcs!P50</f>
        <v>132.9919703907982</v>
      </c>
      <c r="N53" s="59">
        <v>0.39316000000000001</v>
      </c>
      <c r="O53" s="42">
        <v>762.50799999999992</v>
      </c>
    </row>
    <row r="54" spans="1:15" hidden="1" x14ac:dyDescent="0.35">
      <c r="A54" s="9" t="s">
        <v>104</v>
      </c>
      <c r="B54" s="70" t="s">
        <v>60</v>
      </c>
      <c r="C54" s="20" t="s">
        <v>452</v>
      </c>
      <c r="D54" s="16" t="s">
        <v>453</v>
      </c>
      <c r="E54" s="16" t="s">
        <v>454</v>
      </c>
      <c r="F54" s="66" t="s">
        <v>105</v>
      </c>
      <c r="G54" s="66" t="s">
        <v>105</v>
      </c>
      <c r="H54" s="19" t="s">
        <v>105</v>
      </c>
      <c r="I54" s="17" t="s">
        <v>105</v>
      </c>
      <c r="J54" s="19">
        <f>28+28+27+140+30</f>
        <v>253</v>
      </c>
      <c r="K54" s="78">
        <f>sensorCalcs!O52</f>
        <v>118.21481295388119</v>
      </c>
      <c r="L54" s="78">
        <f>sensorCalcs!U52</f>
        <v>1.9160697453055671</v>
      </c>
      <c r="M54" s="78">
        <f>sensorCalcs!P52</f>
        <v>118.2502093901881</v>
      </c>
      <c r="N54" s="59">
        <v>0.46215000000000001</v>
      </c>
      <c r="O54" s="42">
        <v>762.50799999999992</v>
      </c>
    </row>
    <row r="55" spans="1:15" hidden="1" x14ac:dyDescent="0.35">
      <c r="A55" s="6" t="s">
        <v>104</v>
      </c>
      <c r="B55" s="71" t="s">
        <v>9</v>
      </c>
      <c r="C55" t="s">
        <v>351</v>
      </c>
      <c r="D55" s="4" t="s">
        <v>460</v>
      </c>
      <c r="E55" s="4" t="s">
        <v>461</v>
      </c>
      <c r="F55" s="21">
        <v>39.029253300000001</v>
      </c>
      <c r="G55" s="21" t="s">
        <v>1513</v>
      </c>
      <c r="H55" s="17">
        <v>17</v>
      </c>
      <c r="I55" s="17" t="s">
        <v>105</v>
      </c>
      <c r="J55" s="17">
        <f>31+30+29+140+140+140+140+140+140+20</f>
        <v>950</v>
      </c>
      <c r="K55" s="89">
        <f>sensorCalcs!O43</f>
        <v>345.28751443565017</v>
      </c>
      <c r="L55" s="89">
        <f>sensorCalcs!U43</f>
        <v>5.4174617011918622</v>
      </c>
      <c r="M55" s="89">
        <f>sensorCalcs!P43</f>
        <v>345.38751556743813</v>
      </c>
      <c r="N55" s="58" t="str">
        <f>sensorCalcs!E43</f>
        <v>0.39316</v>
      </c>
      <c r="O55" s="44">
        <v>748</v>
      </c>
    </row>
    <row r="56" spans="1:15" hidden="1" x14ac:dyDescent="0.35">
      <c r="A56" s="9" t="s">
        <v>104</v>
      </c>
      <c r="B56" s="73" t="s">
        <v>26</v>
      </c>
      <c r="C56" s="20" t="s">
        <v>471</v>
      </c>
      <c r="D56" s="16" t="s">
        <v>472</v>
      </c>
      <c r="E56" s="16" t="s">
        <v>473</v>
      </c>
      <c r="F56" s="15" t="s">
        <v>1634</v>
      </c>
      <c r="G56" s="15" t="s">
        <v>1635</v>
      </c>
      <c r="H56" s="11">
        <v>45</v>
      </c>
      <c r="I56" s="17" t="s">
        <v>105</v>
      </c>
      <c r="J56" s="11">
        <f>28+28+29+60+140+140+140+40</f>
        <v>605</v>
      </c>
      <c r="K56" s="78">
        <f>sensorCalcs!O48</f>
        <v>129.93842004470392</v>
      </c>
      <c r="L56" s="78">
        <f>sensorCalcs!P48</f>
        <v>129.97441439378628</v>
      </c>
      <c r="M56" s="78">
        <f>sensorCalcs!P48</f>
        <v>129.97441439378628</v>
      </c>
      <c r="N56" s="59">
        <v>0.29731000000000002</v>
      </c>
      <c r="O56" s="43" t="s">
        <v>1308</v>
      </c>
    </row>
    <row r="57" spans="1:15" hidden="1" x14ac:dyDescent="0.35">
      <c r="A57" s="6" t="s">
        <v>104</v>
      </c>
      <c r="B57" s="71" t="s">
        <v>25</v>
      </c>
      <c r="C57" t="s">
        <v>449</v>
      </c>
      <c r="D57" s="4" t="s">
        <v>450</v>
      </c>
      <c r="E57" s="4" t="s">
        <v>451</v>
      </c>
      <c r="F57" s="21">
        <v>39.121899999999997</v>
      </c>
      <c r="G57" s="21">
        <v>-84.098701000000005</v>
      </c>
      <c r="H57" s="21" t="s">
        <v>513</v>
      </c>
      <c r="I57" s="17" t="s">
        <v>105</v>
      </c>
      <c r="J57" s="17">
        <f>29+29+29+140+140+140+10</f>
        <v>517</v>
      </c>
      <c r="K57" s="18">
        <f>sensorCalcs!O53</f>
        <v>105.20434858217921</v>
      </c>
      <c r="L57" s="18">
        <f>sensorCalcs!U53</f>
        <v>1.9143814975186628</v>
      </c>
      <c r="M57" s="18">
        <f>sensorCalcs!P53</f>
        <v>105.24225625214301</v>
      </c>
      <c r="N57" s="60">
        <v>0.80647000000000002</v>
      </c>
      <c r="O57" s="44" t="s">
        <v>1308</v>
      </c>
    </row>
    <row r="58" spans="1:15" x14ac:dyDescent="0.35">
      <c r="A58" s="9" t="s">
        <v>104</v>
      </c>
      <c r="B58" s="70" t="s">
        <v>167</v>
      </c>
      <c r="C58" s="20" t="s">
        <v>431</v>
      </c>
      <c r="D58" s="16" t="s">
        <v>432</v>
      </c>
      <c r="E58" s="16" t="s">
        <v>433</v>
      </c>
      <c r="F58" s="15" t="s">
        <v>1527</v>
      </c>
      <c r="G58" s="15" t="s">
        <v>1528</v>
      </c>
      <c r="H58" s="15" t="s">
        <v>516</v>
      </c>
      <c r="I58" s="17" t="s">
        <v>105</v>
      </c>
      <c r="J58" s="19">
        <f>29+29+29+(140*5)+105</f>
        <v>892</v>
      </c>
      <c r="K58" s="78">
        <f>sensorCalcs!O62</f>
        <v>107.35347450005391</v>
      </c>
      <c r="L58" s="78">
        <f>sensorCalcs!U62</f>
        <v>1.9079735430145661</v>
      </c>
      <c r="M58" s="78">
        <f>sensorCalcs!P62</f>
        <v>107.38922968402608</v>
      </c>
      <c r="N58" s="59">
        <v>0.66788999999999998</v>
      </c>
      <c r="O58" s="42">
        <v>746.7</v>
      </c>
    </row>
    <row r="59" spans="1:15" hidden="1" x14ac:dyDescent="0.35">
      <c r="A59" s="6" t="s">
        <v>104</v>
      </c>
      <c r="B59" s="71" t="s">
        <v>14</v>
      </c>
      <c r="C59" t="s">
        <v>368</v>
      </c>
      <c r="D59" s="4" t="s">
        <v>369</v>
      </c>
      <c r="E59" s="4" t="s">
        <v>370</v>
      </c>
      <c r="F59" s="21" t="s">
        <v>1556</v>
      </c>
      <c r="G59" s="21" t="s">
        <v>1557</v>
      </c>
      <c r="H59" s="17">
        <v>10</v>
      </c>
      <c r="I59" s="17" t="s">
        <v>105</v>
      </c>
      <c r="J59" s="17">
        <f>30+30+30+(140*11)+60</f>
        <v>1690</v>
      </c>
      <c r="K59" s="18">
        <f>sensorCalcs!O81</f>
        <v>379.31241188552889</v>
      </c>
      <c r="L59" s="18">
        <f>sensorCalcs!U81</f>
        <v>5.4139467722805952</v>
      </c>
      <c r="M59" s="18">
        <f>sensorCalcs!P81</f>
        <v>379.41681984685329</v>
      </c>
      <c r="N59" s="60">
        <v>0.28327000000000002</v>
      </c>
      <c r="O59" s="44">
        <v>746.1</v>
      </c>
    </row>
    <row r="60" spans="1:15" hidden="1" x14ac:dyDescent="0.35">
      <c r="A60" s="6" t="s">
        <v>104</v>
      </c>
      <c r="B60" s="72" t="s">
        <v>18</v>
      </c>
      <c r="C60" t="s">
        <v>434</v>
      </c>
      <c r="D60" s="4" t="s">
        <v>435</v>
      </c>
      <c r="E60" s="4" t="s">
        <v>436</v>
      </c>
      <c r="F60" s="21">
        <v>39.023850000000003</v>
      </c>
      <c r="G60" s="21">
        <v>-84.090911000000006</v>
      </c>
      <c r="H60" s="17">
        <v>17</v>
      </c>
      <c r="I60" s="17" t="s">
        <v>105</v>
      </c>
      <c r="J60" s="17">
        <f>27+28+30+(140*12)+15</f>
        <v>1780</v>
      </c>
      <c r="K60" s="18">
        <f>sensorCalcs!O59</f>
        <v>371.00016443364035</v>
      </c>
      <c r="L60" s="18">
        <f>sensorCalcs!U59</f>
        <v>5.426135898646776</v>
      </c>
      <c r="M60" s="18">
        <f>sensorCalcs!P59</f>
        <v>371.10253847364021</v>
      </c>
      <c r="N60" s="60">
        <v>0.28877000000000003</v>
      </c>
      <c r="O60" s="44">
        <v>748</v>
      </c>
    </row>
    <row r="61" spans="1:15" hidden="1" x14ac:dyDescent="0.35">
      <c r="A61" s="6" t="s">
        <v>104</v>
      </c>
      <c r="B61" s="71" t="s">
        <v>69</v>
      </c>
      <c r="C61" t="s">
        <v>704</v>
      </c>
      <c r="D61" s="4" t="s">
        <v>707</v>
      </c>
      <c r="E61" s="4" t="s">
        <v>706</v>
      </c>
      <c r="F61" s="21" t="s">
        <v>1503</v>
      </c>
      <c r="G61" s="21" t="s">
        <v>1504</v>
      </c>
      <c r="H61" s="8" t="s">
        <v>298</v>
      </c>
      <c r="I61" s="17" t="s">
        <v>105</v>
      </c>
      <c r="J61" s="13">
        <f>30+28+29+140+120</f>
        <v>347</v>
      </c>
      <c r="K61" s="89">
        <f>sensorCalcs!O49</f>
        <v>101.55243261521699</v>
      </c>
      <c r="L61" s="87">
        <f>sensorCalcs!U49</f>
        <v>1.9173369206808519</v>
      </c>
      <c r="M61" s="87">
        <f>sensorCalcs!P49</f>
        <v>101.58747030385862</v>
      </c>
      <c r="N61" s="58" t="str">
        <f>sensorCalcs!E49</f>
        <v>0.73138</v>
      </c>
      <c r="O61" s="45">
        <v>751.3</v>
      </c>
    </row>
    <row r="62" spans="1:15" hidden="1" x14ac:dyDescent="0.35">
      <c r="A62" s="6" t="s">
        <v>104</v>
      </c>
      <c r="B62" s="74" t="s">
        <v>60</v>
      </c>
      <c r="C62" t="s">
        <v>440</v>
      </c>
      <c r="D62" s="4" t="s">
        <v>105</v>
      </c>
      <c r="E62" s="4" t="s">
        <v>1442</v>
      </c>
      <c r="F62" s="21" t="s">
        <v>1519</v>
      </c>
      <c r="G62" s="21" t="s">
        <v>1520</v>
      </c>
      <c r="H62" s="17" t="s">
        <v>105</v>
      </c>
      <c r="I62" s="17" t="s">
        <v>105</v>
      </c>
      <c r="J62" s="17">
        <f>29+28+28+140+140+140+20</f>
        <v>525</v>
      </c>
      <c r="K62" s="18" t="s">
        <v>105</v>
      </c>
      <c r="L62" s="18" t="s">
        <v>105</v>
      </c>
      <c r="M62" s="18" t="s">
        <v>105</v>
      </c>
      <c r="N62" s="59" t="s">
        <v>105</v>
      </c>
      <c r="O62" s="44">
        <v>745.8</v>
      </c>
    </row>
    <row r="63" spans="1:15" hidden="1" x14ac:dyDescent="0.35">
      <c r="A63" s="9" t="s">
        <v>104</v>
      </c>
      <c r="B63" s="70" t="s">
        <v>64</v>
      </c>
      <c r="C63" s="20" t="s">
        <v>437</v>
      </c>
      <c r="D63" s="16" t="s">
        <v>438</v>
      </c>
      <c r="E63" s="16" t="s">
        <v>439</v>
      </c>
      <c r="F63" s="15" t="s">
        <v>1517</v>
      </c>
      <c r="G63" s="15" t="s">
        <v>1518</v>
      </c>
      <c r="H63" s="15" t="s">
        <v>105</v>
      </c>
      <c r="I63" s="17" t="s">
        <v>105</v>
      </c>
      <c r="J63" s="19">
        <f>29+30+27+140+140+90</f>
        <v>456</v>
      </c>
      <c r="K63" s="78">
        <f>sensorCalcs!O58</f>
        <v>127.55826455113319</v>
      </c>
      <c r="L63" s="78">
        <f>sensorCalcs!U58</f>
        <v>1.9166257983554926</v>
      </c>
      <c r="M63" s="78">
        <f>sensorCalcs!P58</f>
        <v>127.59677013387243</v>
      </c>
      <c r="N63" s="59">
        <v>0.47863</v>
      </c>
      <c r="O63" s="42">
        <v>745.8</v>
      </c>
    </row>
    <row r="64" spans="1:15" hidden="1" x14ac:dyDescent="0.35">
      <c r="A64" s="9" t="s">
        <v>104</v>
      </c>
      <c r="B64" s="70" t="s">
        <v>25</v>
      </c>
      <c r="C64" s="20" t="s">
        <v>428</v>
      </c>
      <c r="D64" s="16" t="s">
        <v>429</v>
      </c>
      <c r="E64" s="16" t="s">
        <v>430</v>
      </c>
      <c r="F64" s="15" t="s">
        <v>1529</v>
      </c>
      <c r="G64" s="15" t="s">
        <v>1530</v>
      </c>
      <c r="H64" s="15" t="s">
        <v>108</v>
      </c>
      <c r="I64" s="17" t="s">
        <v>105</v>
      </c>
      <c r="J64" s="19">
        <f>30+29+29+(140*5)</f>
        <v>788</v>
      </c>
      <c r="K64" s="78">
        <f>sensorCalcs!O60</f>
        <v>108.35317093802533</v>
      </c>
      <c r="L64" s="78">
        <f>sensorCalcs!U60</f>
        <v>1.9082994149879235</v>
      </c>
      <c r="M64" s="78">
        <f>sensorCalcs!P60</f>
        <v>108.39107860798914</v>
      </c>
      <c r="N64" s="59">
        <v>0.75580000000000003</v>
      </c>
      <c r="O64" s="42">
        <v>746.7</v>
      </c>
    </row>
    <row r="65" spans="1:15" hidden="1" x14ac:dyDescent="0.35">
      <c r="A65" s="6" t="s">
        <v>104</v>
      </c>
      <c r="B65" s="71" t="s">
        <v>26</v>
      </c>
      <c r="C65" t="s">
        <v>426</v>
      </c>
      <c r="D65" s="4" t="s">
        <v>425</v>
      </c>
      <c r="E65" s="4" t="s">
        <v>427</v>
      </c>
      <c r="F65" s="21" t="s">
        <v>1531</v>
      </c>
      <c r="G65" s="21" t="s">
        <v>1532</v>
      </c>
      <c r="H65" s="17">
        <v>41</v>
      </c>
      <c r="I65" s="17" t="s">
        <v>105</v>
      </c>
      <c r="J65" s="17">
        <f>30+29+30+(140*6)+70+85</f>
        <v>1084</v>
      </c>
      <c r="K65" s="18">
        <f>sensorCalcs!O61</f>
        <v>117.83428754099373</v>
      </c>
      <c r="L65" s="18">
        <f>sensorCalcs!U61</f>
        <v>1.9068206124493425</v>
      </c>
      <c r="M65" s="18">
        <f>sensorCalcs!P61</f>
        <v>118.84271938659607</v>
      </c>
      <c r="N65" s="60">
        <v>0.48596</v>
      </c>
      <c r="O65" s="44">
        <v>746.7</v>
      </c>
    </row>
    <row r="66" spans="1:15" x14ac:dyDescent="0.35">
      <c r="A66" s="9" t="s">
        <v>104</v>
      </c>
      <c r="B66" s="73" t="s">
        <v>167</v>
      </c>
      <c r="C66" s="20" t="s">
        <v>468</v>
      </c>
      <c r="D66" s="16" t="s">
        <v>469</v>
      </c>
      <c r="E66" s="16" t="s">
        <v>470</v>
      </c>
      <c r="F66" s="15" t="s">
        <v>2395</v>
      </c>
      <c r="G66" s="15" t="s">
        <v>2393</v>
      </c>
      <c r="H66" s="11">
        <v>39</v>
      </c>
      <c r="I66" s="17" t="s">
        <v>105</v>
      </c>
      <c r="J66" s="11">
        <f>30+29+29+140+140+140+135</f>
        <v>643</v>
      </c>
      <c r="K66" s="88">
        <f>sensorCalcs!O46</f>
        <v>109.71566124444492</v>
      </c>
      <c r="L66" s="88">
        <f>sensorCalcs!U46</f>
        <v>1.9318093671804197</v>
      </c>
      <c r="M66" s="88">
        <f>sensorCalcs!P46</f>
        <v>109.75141642841709</v>
      </c>
      <c r="N66" s="57" t="str">
        <f>sensorCalcs!E46</f>
        <v>0.62759</v>
      </c>
      <c r="O66" s="43">
        <v>746.2</v>
      </c>
    </row>
    <row r="67" spans="1:15" hidden="1" x14ac:dyDescent="0.35">
      <c r="A67" s="9" t="s">
        <v>104</v>
      </c>
      <c r="B67" s="70" t="s">
        <v>14</v>
      </c>
      <c r="C67" s="20" t="s">
        <v>392</v>
      </c>
      <c r="D67" s="16" t="s">
        <v>393</v>
      </c>
      <c r="E67" s="16" t="s">
        <v>394</v>
      </c>
      <c r="F67" s="15" t="s">
        <v>1541</v>
      </c>
      <c r="G67" s="15" t="s">
        <v>1542</v>
      </c>
      <c r="H67" s="15" t="s">
        <v>107</v>
      </c>
      <c r="I67" s="17" t="s">
        <v>105</v>
      </c>
      <c r="J67" s="19">
        <f>29+31+29+140+140+140+140+140+140+140+140+75</f>
        <v>1284</v>
      </c>
      <c r="K67" s="78">
        <f>sensorCalcs!O72</f>
        <v>374.29569492418887</v>
      </c>
      <c r="L67" s="78">
        <f>sensorCalcs!U72</f>
        <v>5.398184228902509</v>
      </c>
      <c r="M67" s="78">
        <f>sensorCalcs!P72</f>
        <v>374.40010288551326</v>
      </c>
      <c r="N67" s="59">
        <v>0.31258000000000002</v>
      </c>
      <c r="O67" s="42">
        <v>743.3</v>
      </c>
    </row>
    <row r="68" spans="1:15" hidden="1" x14ac:dyDescent="0.35">
      <c r="A68" s="9" t="s">
        <v>104</v>
      </c>
      <c r="B68" s="70" t="s">
        <v>18</v>
      </c>
      <c r="C68" s="20" t="s">
        <v>422</v>
      </c>
      <c r="D68" s="16" t="s">
        <v>423</v>
      </c>
      <c r="E68" s="16" t="s">
        <v>424</v>
      </c>
      <c r="F68" s="15" t="s">
        <v>1525</v>
      </c>
      <c r="G68" s="15" t="s">
        <v>1526</v>
      </c>
      <c r="H68" s="15" t="s">
        <v>106</v>
      </c>
      <c r="I68" s="17" t="s">
        <v>105</v>
      </c>
      <c r="J68" s="19">
        <f>29+30+29+(140*10)+15</f>
        <v>1503</v>
      </c>
      <c r="K68" s="78">
        <f>sensorCalcs!O64</f>
        <v>369.25812749069172</v>
      </c>
      <c r="L68" s="78">
        <f>sensorCalcs!U64</f>
        <v>5.3927813691179542</v>
      </c>
      <c r="M68" s="78">
        <f>sensorCalcs!P64</f>
        <v>369.36050153069158</v>
      </c>
      <c r="N68" s="59">
        <v>0.29915000000000003</v>
      </c>
      <c r="O68" s="42">
        <v>746.7</v>
      </c>
    </row>
    <row r="69" spans="1:15" hidden="1" x14ac:dyDescent="0.35">
      <c r="A69" s="6" t="s">
        <v>104</v>
      </c>
      <c r="B69" s="71" t="s">
        <v>9</v>
      </c>
      <c r="C69" t="s">
        <v>416</v>
      </c>
      <c r="D69" s="4" t="s">
        <v>417</v>
      </c>
      <c r="E69" s="4" t="s">
        <v>418</v>
      </c>
      <c r="F69" s="21" t="s">
        <v>1521</v>
      </c>
      <c r="G69" s="21" t="s">
        <v>1522</v>
      </c>
      <c r="H69" s="17">
        <v>13</v>
      </c>
      <c r="I69" s="17" t="s">
        <v>105</v>
      </c>
      <c r="J69" s="17">
        <f>30+29+29+(140*6)+25</f>
        <v>953</v>
      </c>
      <c r="K69" s="18">
        <f>sensorCalcs!O65</f>
        <v>351.79250609031584</v>
      </c>
      <c r="L69" s="18">
        <f>sensorCalcs!U65</f>
        <v>5.4068739970184891</v>
      </c>
      <c r="M69" s="18">
        <f>sensorCalcs!P65</f>
        <v>351.8925072221038</v>
      </c>
      <c r="N69" s="60">
        <v>0.35348000000000002</v>
      </c>
      <c r="O69" s="44">
        <v>746.7</v>
      </c>
    </row>
    <row r="70" spans="1:15" hidden="1" x14ac:dyDescent="0.35">
      <c r="A70" s="9" t="s">
        <v>104</v>
      </c>
      <c r="B70" s="70" t="s">
        <v>64</v>
      </c>
      <c r="C70" s="20" t="s">
        <v>407</v>
      </c>
      <c r="D70" s="16" t="s">
        <v>408</v>
      </c>
      <c r="E70" s="16" t="s">
        <v>409</v>
      </c>
      <c r="F70" s="15" t="s">
        <v>1537</v>
      </c>
      <c r="G70" s="15" t="s">
        <v>1538</v>
      </c>
      <c r="H70" s="15" t="s">
        <v>111</v>
      </c>
      <c r="I70" s="17" t="s">
        <v>105</v>
      </c>
      <c r="J70" s="19">
        <f>29+29+29+(140*4)+100</f>
        <v>747</v>
      </c>
      <c r="K70" s="78">
        <f>sensorCalcs!O66</f>
        <v>131.02629195391197</v>
      </c>
      <c r="L70" s="78">
        <f>sensorCalcs!U66</f>
        <v>1.9011386984212988</v>
      </c>
      <c r="M70" s="78">
        <f>sensorCalcs!P66</f>
        <v>131.06479753665121</v>
      </c>
      <c r="N70" s="59">
        <v>0.42369000000000001</v>
      </c>
      <c r="O70" s="42">
        <v>747.2</v>
      </c>
    </row>
    <row r="71" spans="1:15" hidden="1" x14ac:dyDescent="0.35">
      <c r="A71" s="6" t="s">
        <v>104</v>
      </c>
      <c r="B71" s="72" t="s">
        <v>69</v>
      </c>
      <c r="C71" s="4" t="str">
        <f>sensorCalcs!C128</f>
        <v>2015-09-15 14:30</v>
      </c>
      <c r="D71" s="4" t="s">
        <v>105</v>
      </c>
      <c r="E71" s="4" t="s">
        <v>1930</v>
      </c>
      <c r="F71" s="21" t="s">
        <v>1619</v>
      </c>
      <c r="G71" s="21" t="s">
        <v>1620</v>
      </c>
      <c r="H71" s="17" t="s">
        <v>105</v>
      </c>
      <c r="I71" s="17">
        <f>sensorCalcs!G128</f>
        <v>24.314999999999998</v>
      </c>
      <c r="J71" s="17">
        <f>22+28+28+28</f>
        <v>106</v>
      </c>
      <c r="K71" s="18">
        <f>sensorCalcs!O128</f>
        <v>87.862206110025326</v>
      </c>
      <c r="L71" s="18">
        <f>sensorCalcs!U128</f>
        <v>1.9439313445587314</v>
      </c>
      <c r="M71" s="18">
        <f>sensorCalcs!P128</f>
        <v>126.37202912906874</v>
      </c>
      <c r="N71" s="17">
        <f>sensorCalcs!E128</f>
        <v>0.35836000000000001</v>
      </c>
      <c r="O71" s="44">
        <v>769.62</v>
      </c>
    </row>
    <row r="72" spans="1:15" hidden="1" x14ac:dyDescent="0.35">
      <c r="A72" s="9" t="s">
        <v>104</v>
      </c>
      <c r="B72" s="70" t="s">
        <v>60</v>
      </c>
      <c r="C72" s="20" t="s">
        <v>413</v>
      </c>
      <c r="D72" s="16" t="s">
        <v>414</v>
      </c>
      <c r="E72" s="16" t="s">
        <v>415</v>
      </c>
      <c r="F72" s="15" t="s">
        <v>1533</v>
      </c>
      <c r="G72" s="15" t="s">
        <v>1534</v>
      </c>
      <c r="H72" s="15" t="s">
        <v>110</v>
      </c>
      <c r="I72" s="17" t="s">
        <v>105</v>
      </c>
      <c r="J72" s="19">
        <f>29+29+30+(140*4)+30</f>
        <v>678</v>
      </c>
      <c r="K72" s="78">
        <f>sensorCalcs!O68</f>
        <v>122.82041155991168</v>
      </c>
      <c r="L72" s="78">
        <f>sensorCalcs!U68</f>
        <v>1.8919260551677248</v>
      </c>
      <c r="M72" s="78">
        <f>sensorCalcs!P68</f>
        <v>122.85580799621859</v>
      </c>
      <c r="N72" s="59">
        <v>0.38278000000000001</v>
      </c>
      <c r="O72" s="42">
        <v>747.2</v>
      </c>
    </row>
    <row r="73" spans="1:15" hidden="1" x14ac:dyDescent="0.35">
      <c r="A73" s="6" t="s">
        <v>104</v>
      </c>
      <c r="B73" s="71" t="s">
        <v>25</v>
      </c>
      <c r="C73" t="s">
        <v>401</v>
      </c>
      <c r="D73" s="4" t="s">
        <v>402</v>
      </c>
      <c r="E73" s="4" t="s">
        <v>403</v>
      </c>
      <c r="F73" s="21" t="s">
        <v>1545</v>
      </c>
      <c r="G73" s="21" t="s">
        <v>1546</v>
      </c>
      <c r="H73" s="17">
        <v>32</v>
      </c>
      <c r="I73" s="17" t="s">
        <v>105</v>
      </c>
      <c r="J73" s="17">
        <f>30+29+29+140+140+140+140+140</f>
        <v>788</v>
      </c>
      <c r="K73" s="18" t="str">
        <f>sensorCalcs!O69</f>
        <v>NA</v>
      </c>
      <c r="L73" s="18" t="str">
        <f>sensorCalcs!U69</f>
        <v>NA</v>
      </c>
      <c r="M73" s="18" t="str">
        <f>sensorCalcs!P69</f>
        <v>NA</v>
      </c>
      <c r="N73" s="60">
        <v>1.34615</v>
      </c>
      <c r="O73" s="44">
        <v>743.3</v>
      </c>
    </row>
    <row r="74" spans="1:15" hidden="1" x14ac:dyDescent="0.35">
      <c r="A74" s="9" t="s">
        <v>104</v>
      </c>
      <c r="B74" s="70" t="s">
        <v>26</v>
      </c>
      <c r="C74" s="20" t="s">
        <v>405</v>
      </c>
      <c r="D74" s="16" t="s">
        <v>404</v>
      </c>
      <c r="E74" s="16" t="s">
        <v>406</v>
      </c>
      <c r="F74" s="15" t="s">
        <v>1547</v>
      </c>
      <c r="G74" s="15" t="s">
        <v>1548</v>
      </c>
      <c r="H74" s="15" t="s">
        <v>515</v>
      </c>
      <c r="I74" s="17" t="s">
        <v>105</v>
      </c>
      <c r="J74" s="19">
        <f>29+30+29+140+140+23</f>
        <v>391</v>
      </c>
      <c r="K74" s="78">
        <f>sensorCalcs!O70</f>
        <v>126.44401782723344</v>
      </c>
      <c r="L74" s="78">
        <f>sensorCalcs!U70</f>
        <v>1.9078428163010035</v>
      </c>
      <c r="M74" s="78">
        <f>sensorCalcs!P70</f>
        <v>126.48001217631578</v>
      </c>
      <c r="N74" s="59">
        <v>0.35653000000000001</v>
      </c>
      <c r="O74" s="42">
        <v>743.3</v>
      </c>
    </row>
    <row r="75" spans="1:15" x14ac:dyDescent="0.35">
      <c r="A75" s="6" t="s">
        <v>104</v>
      </c>
      <c r="B75" s="71" t="s">
        <v>167</v>
      </c>
      <c r="C75" t="s">
        <v>443</v>
      </c>
      <c r="D75" s="4" t="s">
        <v>444</v>
      </c>
      <c r="E75" s="4" t="s">
        <v>445</v>
      </c>
      <c r="F75" s="21">
        <v>39.021095000000003</v>
      </c>
      <c r="G75" s="21" t="s">
        <v>1514</v>
      </c>
      <c r="H75" s="21" t="s">
        <v>289</v>
      </c>
      <c r="I75" s="17" t="s">
        <v>105</v>
      </c>
      <c r="J75" s="17">
        <f>30+30+28+40+140+140+140+140+105</f>
        <v>793</v>
      </c>
      <c r="K75" s="18">
        <f>sensorCalcs!O55</f>
        <v>106.74505022197006</v>
      </c>
      <c r="L75" s="18">
        <f>sensorCalcs!U55</f>
        <v>1.9154904361886473</v>
      </c>
      <c r="M75" s="18">
        <f>sensorCalcs!P55</f>
        <v>106.78080540594223</v>
      </c>
      <c r="N75" s="60">
        <v>0.67827000000000004</v>
      </c>
      <c r="O75" s="44">
        <v>748</v>
      </c>
    </row>
    <row r="76" spans="1:15" hidden="1" x14ac:dyDescent="0.35">
      <c r="A76" s="9" t="s">
        <v>104</v>
      </c>
      <c r="B76" s="92" t="s">
        <v>14</v>
      </c>
      <c r="C76" s="16" t="str">
        <f>sensorCalcs!C224</f>
        <v>2015-11-25 11:44</v>
      </c>
      <c r="D76" s="16" t="s">
        <v>105</v>
      </c>
      <c r="E76" s="16" t="s">
        <v>2343</v>
      </c>
      <c r="F76" s="19">
        <v>39.026350000000001</v>
      </c>
      <c r="G76" s="19">
        <v>-84.091470999999999</v>
      </c>
      <c r="H76" s="19">
        <v>6</v>
      </c>
      <c r="I76" s="19">
        <f>sensorCalcs!G224</f>
        <v>9.4849999999999994</v>
      </c>
      <c r="J76" s="19">
        <f>25+25+25+140+140+25</f>
        <v>380</v>
      </c>
      <c r="K76" s="78">
        <f>sensorCalcs!O224</f>
        <v>387.70412119812522</v>
      </c>
      <c r="L76" s="78">
        <f>sensorCalcs!U224</f>
        <v>5.9021955649467897</v>
      </c>
      <c r="M76" s="78">
        <f>sensorCalcs!P224</f>
        <v>403.12368998916037</v>
      </c>
      <c r="N76" s="19">
        <f>sensorCalcs!E224</f>
        <v>7.3870000000000005E-2</v>
      </c>
      <c r="O76" s="42">
        <v>736.2</v>
      </c>
    </row>
    <row r="77" spans="1:15" hidden="1" x14ac:dyDescent="0.35">
      <c r="A77" s="6" t="s">
        <v>104</v>
      </c>
      <c r="B77" s="71" t="s">
        <v>18</v>
      </c>
      <c r="C77" t="s">
        <v>395</v>
      </c>
      <c r="D77" s="4" t="s">
        <v>396</v>
      </c>
      <c r="E77" s="4" t="s">
        <v>397</v>
      </c>
      <c r="F77" s="21" t="s">
        <v>1543</v>
      </c>
      <c r="G77" s="21" t="s">
        <v>1544</v>
      </c>
      <c r="H77" s="17">
        <v>12</v>
      </c>
      <c r="I77" s="17" t="s">
        <v>105</v>
      </c>
      <c r="J77" s="17">
        <f>27+28+29+(140*8)+60</f>
        <v>1264</v>
      </c>
      <c r="K77" s="18">
        <f>sensorCalcs!O73</f>
        <v>364.64793916479567</v>
      </c>
      <c r="L77" s="18">
        <f>sensorCalcs!U73</f>
        <v>5.4020781666802682</v>
      </c>
      <c r="M77" s="18">
        <f>sensorCalcs!P73</f>
        <v>364.75031320479553</v>
      </c>
      <c r="N77" s="60">
        <v>0.32662000000000002</v>
      </c>
      <c r="O77" s="44">
        <v>743.3</v>
      </c>
    </row>
    <row r="78" spans="1:15" hidden="1" x14ac:dyDescent="0.35">
      <c r="A78" s="9" t="s">
        <v>104</v>
      </c>
      <c r="B78" s="70" t="s">
        <v>9</v>
      </c>
      <c r="C78" s="20" t="s">
        <v>389</v>
      </c>
      <c r="D78" s="16" t="s">
        <v>390</v>
      </c>
      <c r="E78" s="16" t="s">
        <v>391</v>
      </c>
      <c r="F78" s="15" t="s">
        <v>1539</v>
      </c>
      <c r="G78" s="15" t="s">
        <v>1540</v>
      </c>
      <c r="H78" s="15" t="s">
        <v>514</v>
      </c>
      <c r="I78" s="17" t="s">
        <v>105</v>
      </c>
      <c r="J78" s="19">
        <f>28+29+29+(140*6)+75</f>
        <v>1001</v>
      </c>
      <c r="K78" s="78">
        <f>sensorCalcs!O74</f>
        <v>358.29749774498157</v>
      </c>
      <c r="L78" s="78">
        <f>sensorCalcs!U74</f>
        <v>5.4002496343281994</v>
      </c>
      <c r="M78" s="78">
        <f>sensorCalcs!P74</f>
        <v>358.39749887676953</v>
      </c>
      <c r="N78" s="59">
        <v>0.31380000000000002</v>
      </c>
      <c r="O78" s="42">
        <v>743.3</v>
      </c>
    </row>
    <row r="79" spans="1:15" hidden="1" x14ac:dyDescent="0.35">
      <c r="A79" s="6" t="s">
        <v>104</v>
      </c>
      <c r="B79" s="72" t="s">
        <v>64</v>
      </c>
      <c r="C79" t="s">
        <v>386</v>
      </c>
      <c r="D79" s="4" t="s">
        <v>387</v>
      </c>
      <c r="E79" s="4" t="s">
        <v>388</v>
      </c>
      <c r="F79" s="21" t="s">
        <v>1537</v>
      </c>
      <c r="G79" s="21" t="s">
        <v>1554</v>
      </c>
      <c r="H79" s="17">
        <v>44</v>
      </c>
      <c r="I79" s="17" t="s">
        <v>105</v>
      </c>
      <c r="J79" s="17">
        <f>29+28+29+140+140+140</f>
        <v>506</v>
      </c>
      <c r="K79" s="18" t="str">
        <f>sensorCalcs!O75</f>
        <v>NA</v>
      </c>
      <c r="L79" s="18" t="str">
        <f>sensorCalcs!U75</f>
        <v>NA</v>
      </c>
      <c r="M79" s="18" t="str">
        <f>sensorCalcs!P75</f>
        <v>NA</v>
      </c>
      <c r="N79" s="60">
        <v>0.31380000000000002</v>
      </c>
      <c r="O79" s="44">
        <v>748.2</v>
      </c>
    </row>
    <row r="80" spans="1:15" hidden="1" x14ac:dyDescent="0.35">
      <c r="A80" s="9" t="s">
        <v>104</v>
      </c>
      <c r="B80" s="70" t="s">
        <v>69</v>
      </c>
      <c r="C80" s="16" t="str">
        <f>sensorCalcs!C94</f>
        <v>2015-08-12 13:19</v>
      </c>
      <c r="D80" s="16" t="s">
        <v>1041</v>
      </c>
      <c r="E80" s="16" t="s">
        <v>1042</v>
      </c>
      <c r="F80" s="15" t="s">
        <v>1584</v>
      </c>
      <c r="G80" s="15" t="s">
        <v>1585</v>
      </c>
      <c r="H80" s="15" t="s">
        <v>2391</v>
      </c>
      <c r="I80" s="17" t="s">
        <v>105</v>
      </c>
      <c r="J80" s="19">
        <f>27+28+29+140+140+140+45</f>
        <v>549</v>
      </c>
      <c r="K80" s="78">
        <f>sensorCalcs!O94</f>
        <v>122.39468786193939</v>
      </c>
      <c r="L80" s="78">
        <f>sensorCalcs!U94</f>
        <v>1.916922287203126</v>
      </c>
      <c r="M80" s="78">
        <f>sensorCalcs!P94</f>
        <v>122.45212669577812</v>
      </c>
      <c r="N80" s="59" t="str">
        <f>sensorCalcs!E94</f>
        <v>0.36813</v>
      </c>
      <c r="O80" s="42">
        <v>759.71400000000006</v>
      </c>
    </row>
    <row r="81" spans="1:15" hidden="1" x14ac:dyDescent="0.35">
      <c r="A81" s="6" t="s">
        <v>104</v>
      </c>
      <c r="B81" s="71" t="s">
        <v>60</v>
      </c>
      <c r="C81" t="s">
        <v>380</v>
      </c>
      <c r="D81" s="4" t="s">
        <v>381</v>
      </c>
      <c r="E81" s="4" t="s">
        <v>382</v>
      </c>
      <c r="F81" s="21" t="s">
        <v>1551</v>
      </c>
      <c r="G81" s="21" t="s">
        <v>1552</v>
      </c>
      <c r="H81" s="17">
        <v>100</v>
      </c>
      <c r="I81" s="17" t="s">
        <v>105</v>
      </c>
      <c r="J81" s="17">
        <f>29+28+29+140+140+140</f>
        <v>506</v>
      </c>
      <c r="K81" s="18">
        <f>sensorCalcs!O77</f>
        <v>123.52892055549734</v>
      </c>
      <c r="L81" s="18">
        <f>sensorCalcs!U77</f>
        <v>1.9131456547494941</v>
      </c>
      <c r="M81" s="18">
        <f>sensorCalcs!P77</f>
        <v>123.56431699180423</v>
      </c>
      <c r="N81" s="60">
        <v>0.37057000000000001</v>
      </c>
      <c r="O81" s="44">
        <v>748.2</v>
      </c>
    </row>
    <row r="82" spans="1:15" hidden="1" x14ac:dyDescent="0.35">
      <c r="A82" s="9" t="s">
        <v>104</v>
      </c>
      <c r="B82" s="70" t="s">
        <v>25</v>
      </c>
      <c r="C82" s="20" t="s">
        <v>372</v>
      </c>
      <c r="D82" s="16" t="s">
        <v>371</v>
      </c>
      <c r="E82" s="16" t="s">
        <v>373</v>
      </c>
      <c r="F82" s="15" t="s">
        <v>1560</v>
      </c>
      <c r="G82" s="15" t="s">
        <v>1561</v>
      </c>
      <c r="H82" s="15" t="s">
        <v>2387</v>
      </c>
      <c r="I82" s="17" t="s">
        <v>105</v>
      </c>
      <c r="J82" s="19">
        <f>30+27+28+140+140+140+95</f>
        <v>600</v>
      </c>
      <c r="K82" s="78">
        <f>sensorCalcs!O78</f>
        <v>100.99286859292143</v>
      </c>
      <c r="L82" s="78">
        <f>sensorCalcs!U78</f>
        <v>1.9126679882491946</v>
      </c>
      <c r="M82" s="78">
        <f>sensorCalcs!P78</f>
        <v>101.03077626288524</v>
      </c>
      <c r="N82" s="59">
        <v>0.87424000000000002</v>
      </c>
      <c r="O82" s="42">
        <v>746.1</v>
      </c>
    </row>
    <row r="83" spans="1:15" hidden="1" x14ac:dyDescent="0.35">
      <c r="A83" s="6" t="s">
        <v>104</v>
      </c>
      <c r="B83" s="72" t="s">
        <v>26</v>
      </c>
      <c r="C83" t="s">
        <v>374</v>
      </c>
      <c r="D83" s="4" t="s">
        <v>375</v>
      </c>
      <c r="E83" s="4" t="s">
        <v>376</v>
      </c>
      <c r="F83" s="21" t="s">
        <v>1564</v>
      </c>
      <c r="G83" s="21" t="s">
        <v>1565</v>
      </c>
      <c r="H83" s="17">
        <v>41</v>
      </c>
      <c r="I83" s="17" t="s">
        <v>105</v>
      </c>
      <c r="J83" s="17">
        <f>29+29+29+(140*5)</f>
        <v>787</v>
      </c>
      <c r="K83" s="18">
        <f>sensorCalcs!O79</f>
        <v>124.67852450830883</v>
      </c>
      <c r="L83" s="18">
        <f>sensorCalcs!U79</f>
        <v>1.9114889125295018</v>
      </c>
      <c r="M83" s="18">
        <f>sensorCalcs!P79</f>
        <v>124.71451885739118</v>
      </c>
      <c r="N83" s="60">
        <v>0.38645000000000002</v>
      </c>
      <c r="O83" s="44">
        <v>746.1</v>
      </c>
    </row>
    <row r="84" spans="1:15" x14ac:dyDescent="0.35">
      <c r="A84" s="6" t="s">
        <v>104</v>
      </c>
      <c r="B84" s="71" t="s">
        <v>167</v>
      </c>
      <c r="C84" t="s">
        <v>294</v>
      </c>
      <c r="D84" s="4" t="s">
        <v>314</v>
      </c>
      <c r="E84" s="4" t="s">
        <v>313</v>
      </c>
      <c r="F84" s="21" t="s">
        <v>1497</v>
      </c>
      <c r="G84" s="21" t="s">
        <v>1498</v>
      </c>
      <c r="H84" s="17">
        <v>34</v>
      </c>
      <c r="I84" s="17" t="s">
        <v>105</v>
      </c>
      <c r="J84" s="17">
        <v>643</v>
      </c>
      <c r="K84" s="18">
        <f>sensorCalcs!O39</f>
        <v>105.99360520799752</v>
      </c>
      <c r="L84" s="18">
        <f>sensorCalcs!U39</f>
        <v>1.9261315721196663</v>
      </c>
      <c r="M84" s="18">
        <f>sensorCalcs!P39</f>
        <v>106.02936039196969</v>
      </c>
      <c r="N84" s="60" t="str">
        <f>sensorCalcs!E39</f>
        <v>0.69109</v>
      </c>
      <c r="O84" s="44">
        <v>747.5</v>
      </c>
    </row>
    <row r="85" spans="1:15" hidden="1" x14ac:dyDescent="0.35">
      <c r="A85" s="9" t="s">
        <v>104</v>
      </c>
      <c r="B85" s="70" t="s">
        <v>14</v>
      </c>
      <c r="C85" s="20" t="s">
        <v>230</v>
      </c>
      <c r="D85" s="16" t="s">
        <v>310</v>
      </c>
      <c r="E85" s="16" t="s">
        <v>245</v>
      </c>
      <c r="F85" s="15" t="s">
        <v>1473</v>
      </c>
      <c r="G85" s="15" t="s">
        <v>1474</v>
      </c>
      <c r="H85" s="10" t="s">
        <v>107</v>
      </c>
      <c r="I85" s="17" t="s">
        <v>105</v>
      </c>
      <c r="J85" s="11">
        <v>1685</v>
      </c>
      <c r="K85" s="86">
        <f>sensorCalcs!O17</f>
        <v>354.65159374189636</v>
      </c>
      <c r="L85" s="86">
        <f>sensorCalcs!U17</f>
        <v>5.5149145120845482</v>
      </c>
      <c r="M85" s="86">
        <f>sensorCalcs!P17</f>
        <v>354.7560017032207</v>
      </c>
      <c r="N85" s="57" t="str">
        <f>sensorCalcs!E17</f>
        <v>0.42735</v>
      </c>
      <c r="O85" s="42">
        <v>763.77799999999991</v>
      </c>
    </row>
    <row r="86" spans="1:15" hidden="1" x14ac:dyDescent="0.35">
      <c r="A86" s="9" t="s">
        <v>104</v>
      </c>
      <c r="B86" s="70" t="s">
        <v>18</v>
      </c>
      <c r="C86" s="20" t="s">
        <v>367</v>
      </c>
      <c r="D86" s="16" t="s">
        <v>365</v>
      </c>
      <c r="E86" s="16" t="s">
        <v>366</v>
      </c>
      <c r="F86" s="15" t="s">
        <v>1558</v>
      </c>
      <c r="G86" s="15" t="s">
        <v>1559</v>
      </c>
      <c r="H86" s="15" t="s">
        <v>106</v>
      </c>
      <c r="I86" s="17" t="s">
        <v>105</v>
      </c>
      <c r="J86" s="19">
        <f>30+30+10+30</f>
        <v>100</v>
      </c>
      <c r="K86" s="78" t="str">
        <f>sensorCalcs!O82</f>
        <v>NA</v>
      </c>
      <c r="L86" s="78" t="str">
        <f>sensorCalcs!U82</f>
        <v>NA</v>
      </c>
      <c r="M86" s="78" t="str">
        <f>sensorCalcs!P82</f>
        <v>NA</v>
      </c>
      <c r="N86" s="59">
        <v>0.75824000000000003</v>
      </c>
      <c r="O86" s="42">
        <v>746.1</v>
      </c>
    </row>
    <row r="87" spans="1:15" hidden="1" x14ac:dyDescent="0.35">
      <c r="A87" s="6" t="s">
        <v>104</v>
      </c>
      <c r="B87" s="72" t="s">
        <v>9</v>
      </c>
      <c r="C87" t="s">
        <v>364</v>
      </c>
      <c r="D87" s="4" t="s">
        <v>362</v>
      </c>
      <c r="E87" s="4" t="s">
        <v>363</v>
      </c>
      <c r="F87" s="21" t="s">
        <v>1555</v>
      </c>
      <c r="G87" s="21" t="s">
        <v>1526</v>
      </c>
      <c r="H87" s="17">
        <v>13</v>
      </c>
      <c r="I87" s="17" t="s">
        <v>105</v>
      </c>
      <c r="J87" s="17">
        <f>29+29+30+(140*7)+60+65</f>
        <v>1193</v>
      </c>
      <c r="K87" s="18">
        <f>sensorCalcs!O83</f>
        <v>349.09083616922493</v>
      </c>
      <c r="L87" s="18">
        <f>sensorCalcs!U83</f>
        <v>5.4225397692123058</v>
      </c>
      <c r="M87" s="18">
        <f>sensorCalcs!P83</f>
        <v>349.19083730101289</v>
      </c>
      <c r="N87" s="60">
        <v>0.36996000000000001</v>
      </c>
      <c r="O87" s="44">
        <v>746.1</v>
      </c>
    </row>
    <row r="88" spans="1:15" hidden="1" x14ac:dyDescent="0.35">
      <c r="A88" s="9" t="s">
        <v>104</v>
      </c>
      <c r="B88" s="70" t="s">
        <v>64</v>
      </c>
      <c r="C88" s="20" t="s">
        <v>361</v>
      </c>
      <c r="D88" s="16" t="s">
        <v>359</v>
      </c>
      <c r="E88" s="16" t="s">
        <v>360</v>
      </c>
      <c r="F88" s="15" t="s">
        <v>1566</v>
      </c>
      <c r="G88" s="15" t="s">
        <v>1567</v>
      </c>
      <c r="H88" s="15" t="s">
        <v>2388</v>
      </c>
      <c r="I88" s="17" t="s">
        <v>105</v>
      </c>
      <c r="J88" s="19">
        <f>27+28+30+143+(140*5)</f>
        <v>928</v>
      </c>
      <c r="K88" s="78">
        <f>sensorCalcs!O84</f>
        <v>133.91673561560182</v>
      </c>
      <c r="L88" s="78">
        <f>sensorCalcs!U84</f>
        <v>1.9181393017962443</v>
      </c>
      <c r="M88" s="78">
        <f>sensorCalcs!P84</f>
        <v>133.9552411983411</v>
      </c>
      <c r="N88" s="59">
        <v>0.37790000000000001</v>
      </c>
      <c r="O88" s="42">
        <v>750.2</v>
      </c>
    </row>
    <row r="89" spans="1:15" hidden="1" x14ac:dyDescent="0.35">
      <c r="A89" s="6" t="s">
        <v>104</v>
      </c>
      <c r="B89" s="72" t="s">
        <v>69</v>
      </c>
      <c r="C89" s="4" t="str">
        <f>sensorCalcs!C103</f>
        <v>2015-08-20 12:30</v>
      </c>
      <c r="D89" s="4" t="s">
        <v>1718</v>
      </c>
      <c r="E89" s="4" t="s">
        <v>1719</v>
      </c>
      <c r="F89" s="21">
        <v>39.019660000000002</v>
      </c>
      <c r="G89" s="21">
        <v>-84.130255000000005</v>
      </c>
      <c r="H89" s="17">
        <v>64</v>
      </c>
      <c r="I89" s="17" t="s">
        <v>105</v>
      </c>
      <c r="J89" s="17">
        <f>28+27+29+140+140+140+5</f>
        <v>509</v>
      </c>
      <c r="K89" s="18">
        <f>sensorCalcs!O103</f>
        <v>116.54339385878772</v>
      </c>
      <c r="L89" s="18">
        <f>sensorCalcs!U103</f>
        <v>1.9264283895773517</v>
      </c>
      <c r="M89" s="18">
        <f>sensorCalcs!P103</f>
        <v>116.60083269262647</v>
      </c>
      <c r="N89" s="17">
        <f>sensorCalcs!E103</f>
        <v>0.47</v>
      </c>
      <c r="O89" s="44">
        <v>748.3</v>
      </c>
    </row>
    <row r="90" spans="1:15" hidden="1" x14ac:dyDescent="0.35">
      <c r="A90" s="9" t="s">
        <v>104</v>
      </c>
      <c r="B90" s="70" t="s">
        <v>60</v>
      </c>
      <c r="C90" s="20" t="s">
        <v>355</v>
      </c>
      <c r="D90" s="16" t="s">
        <v>353</v>
      </c>
      <c r="E90" s="16" t="s">
        <v>354</v>
      </c>
      <c r="F90" s="15" t="s">
        <v>1568</v>
      </c>
      <c r="G90" s="15" t="s">
        <v>1569</v>
      </c>
      <c r="H90" s="15" t="s">
        <v>2389</v>
      </c>
      <c r="I90" s="17" t="s">
        <v>105</v>
      </c>
      <c r="J90" s="19">
        <f>29+29+29+140+140+140+140</f>
        <v>647</v>
      </c>
      <c r="K90" s="78">
        <f>sensorCalcs!O86</f>
        <v>60.081678879551809</v>
      </c>
      <c r="L90" s="78">
        <f>sensorCalcs!U86</f>
        <v>1.9243185162682779</v>
      </c>
      <c r="M90" s="78">
        <f>sensorCalcs!P86</f>
        <v>130.43644806037159</v>
      </c>
      <c r="N90" s="59">
        <v>0.25213999999999998</v>
      </c>
      <c r="O90" s="42">
        <v>750.2</v>
      </c>
    </row>
    <row r="91" spans="1:15" hidden="1" x14ac:dyDescent="0.35">
      <c r="A91" s="6" t="s">
        <v>104</v>
      </c>
      <c r="B91" s="71" t="s">
        <v>25</v>
      </c>
      <c r="C91" t="s">
        <v>710</v>
      </c>
      <c r="D91" s="4" t="s">
        <v>477</v>
      </c>
      <c r="E91" s="4" t="s">
        <v>478</v>
      </c>
      <c r="F91" s="21" t="s">
        <v>1578</v>
      </c>
      <c r="G91" s="21" t="s">
        <v>1579</v>
      </c>
      <c r="H91" s="21" t="s">
        <v>114</v>
      </c>
      <c r="I91" s="17" t="s">
        <v>105</v>
      </c>
      <c r="J91" s="17">
        <f>28+27+28+(140*5)+80</f>
        <v>863</v>
      </c>
      <c r="K91" s="18">
        <f>sensorCalcs!O87</f>
        <v>112.14704512046872</v>
      </c>
      <c r="L91" s="18">
        <f>sensorCalcs!U87</f>
        <v>1.9099439058945646</v>
      </c>
      <c r="M91" s="18">
        <f>sensorCalcs!P87</f>
        <v>112.18495279043252</v>
      </c>
      <c r="N91" s="60">
        <v>0.69474999999999998</v>
      </c>
      <c r="O91" s="44" t="str">
        <f>sensorCalcs!I87</f>
        <v>749</v>
      </c>
    </row>
    <row r="92" spans="1:15" hidden="1" x14ac:dyDescent="0.35">
      <c r="A92" s="9" t="s">
        <v>104</v>
      </c>
      <c r="B92" s="73" t="s">
        <v>26</v>
      </c>
      <c r="C92" s="20" t="str">
        <f>sensorCalcs!C88</f>
        <v>2015-08-11 14:36</v>
      </c>
      <c r="D92" s="16" t="s">
        <v>479</v>
      </c>
      <c r="E92" s="16" t="s">
        <v>480</v>
      </c>
      <c r="F92" s="15" t="s">
        <v>1580</v>
      </c>
      <c r="G92" s="15" t="s">
        <v>1581</v>
      </c>
      <c r="H92" s="19">
        <v>40</v>
      </c>
      <c r="I92" s="17" t="s">
        <v>105</v>
      </c>
      <c r="J92" s="19">
        <f>28+30+29+(140*6)+10</f>
        <v>937</v>
      </c>
      <c r="K92" s="78">
        <f>sensorCalcs!O88</f>
        <v>125.79552947245466</v>
      </c>
      <c r="L92" s="78">
        <f>sensorCalcs!U88</f>
        <v>1.9085069480728263</v>
      </c>
      <c r="M92" s="78">
        <f>sensorCalcs!P88</f>
        <v>125.83152382153702</v>
      </c>
      <c r="N92" s="59" t="str">
        <f>sensorCalcs!E88</f>
        <v>0.36752</v>
      </c>
      <c r="O92" s="42" t="str">
        <f>sensorCalcs!I88</f>
        <v>749</v>
      </c>
    </row>
    <row r="93" spans="1:15" x14ac:dyDescent="0.35">
      <c r="A93" s="6" t="s">
        <v>104</v>
      </c>
      <c r="B93" s="72" t="s">
        <v>167</v>
      </c>
      <c r="C93" t="s">
        <v>399</v>
      </c>
      <c r="D93" s="4" t="s">
        <v>398</v>
      </c>
      <c r="E93" s="4" t="s">
        <v>400</v>
      </c>
      <c r="F93" s="21" t="s">
        <v>1549</v>
      </c>
      <c r="G93" s="21" t="s">
        <v>1550</v>
      </c>
      <c r="H93" s="17">
        <v>31</v>
      </c>
      <c r="I93" s="17" t="s">
        <v>105</v>
      </c>
      <c r="J93" s="17">
        <f>29+29+29+140+140+140+140+140+105</f>
        <v>892</v>
      </c>
      <c r="K93" s="18">
        <f>sensorCalcs!O71</f>
        <v>112.29179294211207</v>
      </c>
      <c r="L93" s="18">
        <f>sensorCalcs!U71</f>
        <v>1.9070848800779931</v>
      </c>
      <c r="M93" s="18">
        <f>sensorCalcs!P71</f>
        <v>112.32754812608424</v>
      </c>
      <c r="N93" s="60">
        <v>0.58364000000000005</v>
      </c>
      <c r="O93" s="44">
        <v>743.3</v>
      </c>
    </row>
    <row r="94" spans="1:15" hidden="1" x14ac:dyDescent="0.35">
      <c r="A94" s="6" t="s">
        <v>104</v>
      </c>
      <c r="B94" s="71" t="s">
        <v>153</v>
      </c>
      <c r="C94" t="s">
        <v>257</v>
      </c>
      <c r="D94" s="4" t="s">
        <v>321</v>
      </c>
      <c r="E94" s="4" t="s">
        <v>322</v>
      </c>
      <c r="F94" s="21" t="s">
        <v>1493</v>
      </c>
      <c r="G94" s="21" t="s">
        <v>1494</v>
      </c>
      <c r="H94" s="8" t="s">
        <v>287</v>
      </c>
      <c r="I94" s="17" t="s">
        <v>105</v>
      </c>
      <c r="J94" s="13">
        <v>706</v>
      </c>
      <c r="K94" s="87">
        <f>sensorCalcs!O35</f>
        <v>378.99918800155586</v>
      </c>
      <c r="L94" s="87">
        <f>sensorCalcs!U35</f>
        <v>5.5519186239518552</v>
      </c>
      <c r="M94" s="87">
        <f>sensorCalcs!P35</f>
        <v>379.10359596288021</v>
      </c>
      <c r="N94" s="58" t="str">
        <f>sensorCalcs!E35</f>
        <v>0.28510</v>
      </c>
      <c r="O94" s="45" t="s">
        <v>286</v>
      </c>
    </row>
    <row r="95" spans="1:15" hidden="1" x14ac:dyDescent="0.35">
      <c r="A95" s="6" t="s">
        <v>104</v>
      </c>
      <c r="B95" s="71" t="s">
        <v>18</v>
      </c>
      <c r="C95" s="4" t="str">
        <f>sensorCalcs!C91</f>
        <v>2015-08-11 12:38</v>
      </c>
      <c r="D95" s="4" t="s">
        <v>485</v>
      </c>
      <c r="E95" s="4" t="s">
        <v>486</v>
      </c>
      <c r="F95" s="21" t="s">
        <v>1574</v>
      </c>
      <c r="G95" s="21" t="s">
        <v>1575</v>
      </c>
      <c r="H95" s="21" t="s">
        <v>106</v>
      </c>
      <c r="I95" s="17" t="s">
        <v>105</v>
      </c>
      <c r="J95" s="17">
        <f>27+28+28+(140*10)+105</f>
        <v>1588</v>
      </c>
      <c r="K95" s="18">
        <f>sensorCalcs!O91</f>
        <v>398.05085124788553</v>
      </c>
      <c r="L95" s="18">
        <f>sensorCalcs!U91</f>
        <v>5.4078662002280966</v>
      </c>
      <c r="M95" s="18">
        <f>sensorCalcs!P91</f>
        <v>398.15220832722315</v>
      </c>
      <c r="N95" s="60" t="str">
        <f>sensorCalcs!E91</f>
        <v>0.10379</v>
      </c>
      <c r="O95" s="44" t="str">
        <f>sensorCalcs!I91</f>
        <v>749</v>
      </c>
    </row>
    <row r="96" spans="1:15" hidden="1" x14ac:dyDescent="0.35">
      <c r="A96" s="9" t="s">
        <v>104</v>
      </c>
      <c r="B96" s="73" t="s">
        <v>9</v>
      </c>
      <c r="C96" s="16" t="str">
        <f>sensorCalcs!C92</f>
        <v>2015-08-11 11:23</v>
      </c>
      <c r="D96" s="16" t="s">
        <v>487</v>
      </c>
      <c r="E96" s="16" t="s">
        <v>488</v>
      </c>
      <c r="F96" s="15" t="s">
        <v>1570</v>
      </c>
      <c r="G96" s="15" t="s">
        <v>1571</v>
      </c>
      <c r="H96" s="19">
        <v>13</v>
      </c>
      <c r="I96" s="17" t="s">
        <v>105</v>
      </c>
      <c r="J96" s="19">
        <f>34+29+27+(140*13)+120</f>
        <v>2030</v>
      </c>
      <c r="K96" s="78">
        <f>sensorCalcs!O92</f>
        <v>370.00746634106963</v>
      </c>
      <c r="L96" s="78">
        <f>sensorCalcs!U92</f>
        <v>5.3817909751104995</v>
      </c>
      <c r="M96" s="78">
        <f>sensorCalcs!P92</f>
        <v>370.10746747285759</v>
      </c>
      <c r="N96" s="59" t="str">
        <f>sensorCalcs!E92</f>
        <v>0.24237</v>
      </c>
      <c r="O96" s="42" t="str">
        <f>sensorCalcs!I92</f>
        <v>749</v>
      </c>
    </row>
    <row r="97" spans="1:15" hidden="1" x14ac:dyDescent="0.35">
      <c r="A97" s="6" t="s">
        <v>104</v>
      </c>
      <c r="B97" s="72" t="s">
        <v>64</v>
      </c>
      <c r="C97" s="4" t="str">
        <f>sensorCalcs!C93</f>
        <v>2015-08-12 11:50</v>
      </c>
      <c r="D97" s="4" t="s">
        <v>1036</v>
      </c>
      <c r="E97" s="4" t="s">
        <v>1037</v>
      </c>
      <c r="F97" s="21" t="s">
        <v>1582</v>
      </c>
      <c r="G97" s="21" t="s">
        <v>1583</v>
      </c>
      <c r="H97" s="17">
        <v>48</v>
      </c>
      <c r="I97" s="17" t="s">
        <v>105</v>
      </c>
      <c r="J97" s="17">
        <f>29+29+29+140+140+140+70</f>
        <v>577</v>
      </c>
      <c r="K97" s="18">
        <f>sensorCalcs!O93</f>
        <v>139.5183510455725</v>
      </c>
      <c r="L97" s="18">
        <f>sensorCalcs!U93</f>
        <v>1.9114873039574509</v>
      </c>
      <c r="M97" s="18">
        <f>sensorCalcs!P93</f>
        <v>139.58147495170243</v>
      </c>
      <c r="N97" s="60">
        <f>sensorCalcs!E93</f>
        <v>0.28877000000000003</v>
      </c>
      <c r="O97" s="44">
        <v>759.71400000000006</v>
      </c>
    </row>
    <row r="98" spans="1:15" hidden="1" x14ac:dyDescent="0.35">
      <c r="A98" s="6" t="s">
        <v>104</v>
      </c>
      <c r="B98" s="72" t="s">
        <v>69</v>
      </c>
      <c r="C98" s="4" t="str">
        <f>sensorCalcs!C121</f>
        <v>2015-09-02 13:48</v>
      </c>
      <c r="D98" s="4" t="s">
        <v>1790</v>
      </c>
      <c r="E98" s="4" t="s">
        <v>1791</v>
      </c>
      <c r="F98" s="21" t="s">
        <v>1614</v>
      </c>
      <c r="G98" s="21" t="s">
        <v>1615</v>
      </c>
      <c r="H98" s="17">
        <v>65</v>
      </c>
      <c r="I98" s="17" t="s">
        <v>105</v>
      </c>
      <c r="J98" s="17">
        <f>30+29+30+(140*4)+5</f>
        <v>654</v>
      </c>
      <c r="K98" s="18">
        <f>sensorCalcs!O121</f>
        <v>120.95699385095593</v>
      </c>
      <c r="L98" s="18">
        <f>sensorCalcs!U121</f>
        <v>1.9227715526677649</v>
      </c>
      <c r="M98" s="18">
        <f>sensorCalcs!P121</f>
        <v>121.01443268479464</v>
      </c>
      <c r="N98" s="17">
        <f>sensorCalcs!E121</f>
        <v>0.39316000000000001</v>
      </c>
      <c r="O98" s="44">
        <v>746.1</v>
      </c>
    </row>
    <row r="99" spans="1:15" hidden="1" x14ac:dyDescent="0.35">
      <c r="A99" s="6" t="s">
        <v>104</v>
      </c>
      <c r="B99" s="71" t="s">
        <v>60</v>
      </c>
      <c r="C99" s="4" t="str">
        <f>sensorCalcs!C95</f>
        <v>2015-08-12 14:04</v>
      </c>
      <c r="D99" s="4" t="s">
        <v>1045</v>
      </c>
      <c r="E99" s="4" t="s">
        <v>1046</v>
      </c>
      <c r="F99" s="21" t="s">
        <v>1586</v>
      </c>
      <c r="G99" s="21" t="s">
        <v>1587</v>
      </c>
      <c r="H99" s="17">
        <v>102</v>
      </c>
      <c r="I99" s="17" t="s">
        <v>105</v>
      </c>
      <c r="J99" s="17">
        <f>29+28+28+140+140+140+80</f>
        <v>585</v>
      </c>
      <c r="K99" s="18">
        <f>sensorCalcs!O95</f>
        <v>122.72698817883938</v>
      </c>
      <c r="L99" s="18">
        <f>sensorCalcs!U95</f>
        <v>1.9165224554308271</v>
      </c>
      <c r="M99" s="18">
        <f>sensorCalcs!P95</f>
        <v>122.78501512360479</v>
      </c>
      <c r="N99" s="60">
        <f>sensorCalcs!E95</f>
        <v>0.38400000000000001</v>
      </c>
      <c r="O99" s="44">
        <v>759.71400000000006</v>
      </c>
    </row>
    <row r="100" spans="1:15" hidden="1" x14ac:dyDescent="0.35">
      <c r="A100" s="9" t="s">
        <v>104</v>
      </c>
      <c r="B100" s="70" t="s">
        <v>9</v>
      </c>
      <c r="C100" s="16" t="str">
        <f>sensorCalcs!C96</f>
        <v>2015-08-17 11:53</v>
      </c>
      <c r="D100" s="16" t="s">
        <v>1050</v>
      </c>
      <c r="E100" s="16" t="s">
        <v>1051</v>
      </c>
      <c r="F100" s="15" t="s">
        <v>1594</v>
      </c>
      <c r="G100" s="15" t="s">
        <v>1595</v>
      </c>
      <c r="H100" s="15" t="s">
        <v>514</v>
      </c>
      <c r="I100" s="17" t="s">
        <v>105</v>
      </c>
      <c r="J100" s="19">
        <f>30+29+31+(140*9)</f>
        <v>1350</v>
      </c>
      <c r="K100" s="78">
        <f>sensorCalcs!O96</f>
        <v>368.94351987335847</v>
      </c>
      <c r="L100" s="78">
        <f>sensorCalcs!U96</f>
        <v>5.4054496242345556</v>
      </c>
      <c r="M100" s="78">
        <f>sensorCalcs!P96</f>
        <v>369.10745615497797</v>
      </c>
      <c r="N100" s="59">
        <f>sensorCalcs!E96</f>
        <v>0.24847</v>
      </c>
      <c r="O100" s="42" t="str">
        <f>sensorCalcs!I96</f>
        <v>745.8</v>
      </c>
    </row>
    <row r="101" spans="1:15" hidden="1" x14ac:dyDescent="0.35">
      <c r="A101" s="9" t="s">
        <v>104</v>
      </c>
      <c r="B101" s="92" t="s">
        <v>14</v>
      </c>
      <c r="C101" s="16" t="str">
        <f>sensorCalcs!C188</f>
        <v>2015-10-26 12:35</v>
      </c>
      <c r="D101" s="16" t="s">
        <v>2210</v>
      </c>
      <c r="E101" s="16" t="s">
        <v>2209</v>
      </c>
      <c r="F101" s="19">
        <v>39.026353329999999</v>
      </c>
      <c r="G101" s="19">
        <v>-84.091446660000003</v>
      </c>
      <c r="H101" s="19">
        <v>8</v>
      </c>
      <c r="I101" s="19">
        <f>sensorCalcs!G188</f>
        <v>16.319999999999997</v>
      </c>
      <c r="J101" s="19" t="s">
        <v>105</v>
      </c>
      <c r="K101" s="78">
        <f>sensorCalcs!O188</f>
        <v>391.59556840810416</v>
      </c>
      <c r="L101" s="78">
        <f>sensorCalcs!U188</f>
        <v>5.7238959313704605</v>
      </c>
      <c r="M101" s="78">
        <f>sensorCalcs!P188</f>
        <v>391.76172755455923</v>
      </c>
      <c r="N101" s="19">
        <f>sensorCalcs!E188</f>
        <v>0.14224999999999999</v>
      </c>
      <c r="O101" s="42">
        <v>767.84199999999998</v>
      </c>
    </row>
    <row r="102" spans="1:15" hidden="1" x14ac:dyDescent="0.35">
      <c r="A102" s="9" t="s">
        <v>104</v>
      </c>
      <c r="B102" s="70" t="s">
        <v>18</v>
      </c>
      <c r="C102" s="16" t="str">
        <f>sensorCalcs!C98</f>
        <v>2015-08-17 13:09</v>
      </c>
      <c r="D102" s="16" t="s">
        <v>1057</v>
      </c>
      <c r="E102" s="16" t="s">
        <v>1058</v>
      </c>
      <c r="F102" s="15" t="s">
        <v>1598</v>
      </c>
      <c r="G102" s="15" t="s">
        <v>1599</v>
      </c>
      <c r="H102" s="15" t="s">
        <v>106</v>
      </c>
      <c r="I102" s="17" t="s">
        <v>105</v>
      </c>
      <c r="J102" s="19">
        <f>28+30+29+(140*6)+85</f>
        <v>1012</v>
      </c>
      <c r="K102" s="78">
        <f>sensorCalcs!O98</f>
        <v>415.23170699134499</v>
      </c>
      <c r="L102" s="78">
        <f>sensorCalcs!U98</f>
        <v>5.4247214203175043</v>
      </c>
      <c r="M102" s="78">
        <f>sensorCalcs!P98</f>
        <v>415.39786613780007</v>
      </c>
      <c r="N102" s="59">
        <f>sensorCalcs!E98</f>
        <v>0</v>
      </c>
      <c r="O102" s="42" t="str">
        <f>sensorCalcs!I98</f>
        <v>745.8</v>
      </c>
    </row>
    <row r="103" spans="1:15" x14ac:dyDescent="0.35">
      <c r="A103" s="9" t="s">
        <v>104</v>
      </c>
      <c r="B103" s="73" t="s">
        <v>167</v>
      </c>
      <c r="C103" s="16" t="str">
        <f>sensorCalcs!C110</f>
        <v>2015-08-24 13:35</v>
      </c>
      <c r="D103" s="16" t="s">
        <v>1731</v>
      </c>
      <c r="E103" s="16" t="s">
        <v>1732</v>
      </c>
      <c r="F103" s="15">
        <v>39.021011600000001</v>
      </c>
      <c r="G103" s="15">
        <v>-84.097297999999995</v>
      </c>
      <c r="H103" s="19">
        <v>31</v>
      </c>
      <c r="I103" s="17" t="s">
        <v>105</v>
      </c>
      <c r="J103" s="19">
        <f>30+29+28+140+140+140+140+140</f>
        <v>787</v>
      </c>
      <c r="K103" s="78">
        <f>sensorCalcs!O110</f>
        <v>111.30999075926964</v>
      </c>
      <c r="L103" s="78">
        <f>sensorCalcs!U110</f>
        <v>1.9184117483734922</v>
      </c>
      <c r="M103" s="78">
        <f>sensorCalcs!P110</f>
        <v>111.36860581496173</v>
      </c>
      <c r="N103" s="19">
        <f>sensorCalcs!E110</f>
        <v>0.6</v>
      </c>
      <c r="O103" s="42">
        <v>751.2</v>
      </c>
    </row>
    <row r="104" spans="1:15" hidden="1" x14ac:dyDescent="0.35">
      <c r="A104" s="9" t="s">
        <v>104</v>
      </c>
      <c r="B104" s="70" t="s">
        <v>25</v>
      </c>
      <c r="C104" s="16" t="str">
        <f>sensorCalcs!C100</f>
        <v>2015-08-17 14:38</v>
      </c>
      <c r="D104" s="16" t="s">
        <v>2118</v>
      </c>
      <c r="E104" s="16" t="s">
        <v>1066</v>
      </c>
      <c r="F104" s="15" t="s">
        <v>1590</v>
      </c>
      <c r="G104" s="15" t="s">
        <v>1591</v>
      </c>
      <c r="H104" s="15" t="s">
        <v>108</v>
      </c>
      <c r="I104" s="17" t="s">
        <v>105</v>
      </c>
      <c r="J104" s="19">
        <f>29+30+28+(140*6)</f>
        <v>927</v>
      </c>
      <c r="K104" s="78">
        <f>sensorCalcs!O100</f>
        <v>111.17511732008519</v>
      </c>
      <c r="L104" s="78">
        <f>sensorCalcs!U100</f>
        <v>1.9197298930295672</v>
      </c>
      <c r="M104" s="78">
        <f>sensorCalcs!P100</f>
        <v>111.23726104133733</v>
      </c>
      <c r="N104" s="59">
        <f>sensorCalcs!E100</f>
        <v>0.71</v>
      </c>
      <c r="O104" s="42" t="str">
        <f>sensorCalcs!I100</f>
        <v>745.8</v>
      </c>
    </row>
    <row r="105" spans="1:15" hidden="1" x14ac:dyDescent="0.35">
      <c r="A105" s="6" t="s">
        <v>104</v>
      </c>
      <c r="B105" s="72" t="s">
        <v>26</v>
      </c>
      <c r="C105" s="4" t="str">
        <f>sensorCalcs!C101</f>
        <v>2015-08-17 14:59</v>
      </c>
      <c r="D105" s="4" t="s">
        <v>2119</v>
      </c>
      <c r="E105" s="4" t="s">
        <v>1069</v>
      </c>
      <c r="F105" s="21" t="s">
        <v>1588</v>
      </c>
      <c r="G105" s="21" t="s">
        <v>1589</v>
      </c>
      <c r="H105" s="17">
        <v>42</v>
      </c>
      <c r="I105" s="17" t="s">
        <v>105</v>
      </c>
      <c r="J105" s="17">
        <f>28+30+28+140+140+140+45</f>
        <v>551</v>
      </c>
      <c r="K105" s="18">
        <f>sensorCalcs!O101</f>
        <v>127.21937151074513</v>
      </c>
      <c r="L105" s="18">
        <f>sensorCalcs!U101</f>
        <v>1.9210371761597984</v>
      </c>
      <c r="M105" s="18">
        <f>sensorCalcs!P101</f>
        <v>127.27837864038834</v>
      </c>
      <c r="N105" s="60">
        <f>sensorCalcs!E101</f>
        <v>0.34300000000000003</v>
      </c>
      <c r="O105" s="44" t="str">
        <f>sensorCalcs!I101</f>
        <v>745.8</v>
      </c>
    </row>
    <row r="106" spans="1:15" hidden="1" x14ac:dyDescent="0.35">
      <c r="A106" s="9" t="s">
        <v>104</v>
      </c>
      <c r="B106" s="73" t="s">
        <v>64</v>
      </c>
      <c r="C106" s="16" t="str">
        <f>sensorCalcs!C102</f>
        <v>2015-08-20 11:45</v>
      </c>
      <c r="D106" s="20" t="s">
        <v>105</v>
      </c>
      <c r="E106" s="16" t="s">
        <v>1717</v>
      </c>
      <c r="F106" s="15">
        <v>39.036906000000002</v>
      </c>
      <c r="G106" s="15">
        <v>-84.137973000000002</v>
      </c>
      <c r="H106" s="19">
        <v>45</v>
      </c>
      <c r="I106" s="17" t="s">
        <v>105</v>
      </c>
      <c r="J106" s="19">
        <f>29+29+28+140+140+50</f>
        <v>416</v>
      </c>
      <c r="K106" s="78" t="str">
        <f>sensorCalcs!O102</f>
        <v>NA</v>
      </c>
      <c r="L106" s="78" t="str">
        <f>sensorCalcs!U102</f>
        <v>NA</v>
      </c>
      <c r="M106" s="78" t="str">
        <f>sensorCalcs!P102</f>
        <v>NA</v>
      </c>
      <c r="N106" s="19" t="str">
        <f>sensorCalcs!E102</f>
        <v>NA</v>
      </c>
      <c r="O106" s="42">
        <v>748.3</v>
      </c>
    </row>
    <row r="107" spans="1:15" hidden="1" x14ac:dyDescent="0.35">
      <c r="A107" s="9" t="s">
        <v>104</v>
      </c>
      <c r="B107" s="73" t="s">
        <v>69</v>
      </c>
      <c r="C107" s="16" t="str">
        <f>sensorCalcs!C113</f>
        <v>2015-08-26 12:41</v>
      </c>
      <c r="D107" s="16" t="s">
        <v>1737</v>
      </c>
      <c r="E107" s="16" t="s">
        <v>1738</v>
      </c>
      <c r="F107" s="15">
        <v>39.019913299999999</v>
      </c>
      <c r="G107" s="15" t="s">
        <v>1600</v>
      </c>
      <c r="H107" s="19">
        <v>66</v>
      </c>
      <c r="I107" s="17" t="s">
        <v>105</v>
      </c>
      <c r="J107" s="19">
        <f>28+30+28+110+140+102</f>
        <v>438</v>
      </c>
      <c r="K107" s="78">
        <f>sensorCalcs!O113</f>
        <v>117.27516460189317</v>
      </c>
      <c r="L107" s="78">
        <f>sensorCalcs!U113</f>
        <v>1.9120915328017465</v>
      </c>
      <c r="M107" s="78">
        <f>sensorCalcs!P113</f>
        <v>117.33260343573193</v>
      </c>
      <c r="N107" s="19">
        <f>sensorCalcs!E113</f>
        <v>0.45726</v>
      </c>
      <c r="O107" s="42">
        <v>751.9</v>
      </c>
    </row>
    <row r="108" spans="1:15" hidden="1" x14ac:dyDescent="0.35">
      <c r="A108" s="9" t="s">
        <v>104</v>
      </c>
      <c r="B108" s="73" t="s">
        <v>60</v>
      </c>
      <c r="C108" s="16" t="str">
        <f>sensorCalcs!C104</f>
        <v>2015-08-20 13:16</v>
      </c>
      <c r="D108" s="16" t="s">
        <v>1720</v>
      </c>
      <c r="E108" s="16" t="s">
        <v>1721</v>
      </c>
      <c r="F108" s="15">
        <v>39.019945</v>
      </c>
      <c r="G108" s="15">
        <v>-84.153440000000003</v>
      </c>
      <c r="H108" s="19">
        <v>102</v>
      </c>
      <c r="I108" s="17" t="s">
        <v>105</v>
      </c>
      <c r="J108" s="19">
        <f>29+29+29+140+140+140+10</f>
        <v>517</v>
      </c>
      <c r="K108" s="78">
        <f>sensorCalcs!O104</f>
        <v>117.96877870807586</v>
      </c>
      <c r="L108" s="78">
        <f>sensorCalcs!U104</f>
        <v>1.9274806910776683</v>
      </c>
      <c r="M108" s="78">
        <f>sensorCalcs!P104</f>
        <v>118.02680565284125</v>
      </c>
      <c r="N108" s="19">
        <f>sensorCalcs!E104</f>
        <v>0.46600000000000003</v>
      </c>
      <c r="O108" s="42">
        <v>748.3</v>
      </c>
    </row>
    <row r="109" spans="1:15" hidden="1" x14ac:dyDescent="0.35">
      <c r="A109" s="6" t="s">
        <v>104</v>
      </c>
      <c r="B109" s="72" t="s">
        <v>26</v>
      </c>
      <c r="C109" s="4" t="str">
        <f>sensorCalcs!C105</f>
        <v>2015-08-24 12:07</v>
      </c>
      <c r="D109" s="4" t="s">
        <v>1722</v>
      </c>
      <c r="E109" s="4" t="s">
        <v>1723</v>
      </c>
      <c r="F109" s="21">
        <v>39.017592999999998</v>
      </c>
      <c r="G109" s="21">
        <v>-84.013333000000003</v>
      </c>
      <c r="H109" s="17">
        <v>42</v>
      </c>
      <c r="I109" s="17" t="s">
        <v>105</v>
      </c>
      <c r="J109" s="17">
        <f>28+29+28+140+140+140+140+140+65</f>
        <v>850</v>
      </c>
      <c r="K109" s="18">
        <f>sensorCalcs!O105</f>
        <v>130.77986171341601</v>
      </c>
      <c r="L109" s="18">
        <f>sensorCalcs!U105</f>
        <v>1.9228613461434614</v>
      </c>
      <c r="M109" s="18">
        <f>sensorCalcs!P105</f>
        <v>130.83886884305917</v>
      </c>
      <c r="N109" s="17">
        <f>sensorCalcs!E105</f>
        <v>0.28266000000000002</v>
      </c>
      <c r="O109" s="44">
        <v>751.5</v>
      </c>
    </row>
    <row r="110" spans="1:15" hidden="1" x14ac:dyDescent="0.35">
      <c r="A110" s="9" t="s">
        <v>104</v>
      </c>
      <c r="B110" s="73" t="s">
        <v>25</v>
      </c>
      <c r="C110" s="16" t="str">
        <f>sensorCalcs!C106</f>
        <v>2015-08-24 12:41</v>
      </c>
      <c r="D110" s="16" t="s">
        <v>1724</v>
      </c>
      <c r="E110" s="16" t="s">
        <v>1725</v>
      </c>
      <c r="F110" s="66" t="s">
        <v>105</v>
      </c>
      <c r="G110" s="66" t="s">
        <v>105</v>
      </c>
      <c r="H110" s="19">
        <v>32</v>
      </c>
      <c r="I110" s="17" t="s">
        <v>105</v>
      </c>
      <c r="J110" s="19">
        <f>30+28+29+140+140+140+70</f>
        <v>577</v>
      </c>
      <c r="K110" s="78">
        <f>sensorCalcs!O106</f>
        <v>111.0508298775809</v>
      </c>
      <c r="L110" s="78">
        <f>sensorCalcs!U106</f>
        <v>1.9227226568019498</v>
      </c>
      <c r="M110" s="78">
        <f>sensorCalcs!P106</f>
        <v>111.11297359883304</v>
      </c>
      <c r="N110" s="19">
        <f>sensorCalcs!E106</f>
        <v>0.71199999999999997</v>
      </c>
      <c r="O110" s="42">
        <v>751.2</v>
      </c>
    </row>
    <row r="111" spans="1:15" hidden="1" x14ac:dyDescent="0.35">
      <c r="A111" s="6" t="s">
        <v>104</v>
      </c>
      <c r="B111" s="72" t="s">
        <v>9</v>
      </c>
      <c r="C111" s="4" t="str">
        <f>sensorCalcs!C107</f>
        <v>2015-08-24 14:20</v>
      </c>
      <c r="D111" s="4" t="s">
        <v>1726</v>
      </c>
      <c r="E111" s="4" t="s">
        <v>1727</v>
      </c>
      <c r="F111" s="21">
        <v>39.029263</v>
      </c>
      <c r="G111" s="21">
        <v>-84.090950000000007</v>
      </c>
      <c r="H111" s="17">
        <v>12</v>
      </c>
      <c r="I111" s="17" t="s">
        <v>105</v>
      </c>
      <c r="J111" s="17">
        <f>30+28+29+140+140+140+140+140+140+140+140+140+140+140+45</f>
        <v>1672</v>
      </c>
      <c r="K111" s="18">
        <f>sensorCalcs!O107</f>
        <v>351.31545151080292</v>
      </c>
      <c r="L111" s="18">
        <f>sensorCalcs!U107</f>
        <v>5.4305273742732751</v>
      </c>
      <c r="M111" s="18">
        <f>sensorCalcs!P107</f>
        <v>351.47938779242247</v>
      </c>
      <c r="N111" s="17">
        <f>sensorCalcs!E107</f>
        <v>0.35599999999999998</v>
      </c>
      <c r="O111" s="44">
        <v>751.5</v>
      </c>
    </row>
    <row r="112" spans="1:15" hidden="1" x14ac:dyDescent="0.35">
      <c r="A112" s="9" t="s">
        <v>104</v>
      </c>
      <c r="B112" s="70" t="s">
        <v>14</v>
      </c>
      <c r="C112" s="20" t="s">
        <v>441</v>
      </c>
      <c r="D112" s="16" t="s">
        <v>105</v>
      </c>
      <c r="E112" s="16" t="s">
        <v>442</v>
      </c>
      <c r="F112" s="15">
        <v>39.026384999999998</v>
      </c>
      <c r="G112" s="15">
        <v>-84.091446000000005</v>
      </c>
      <c r="H112" s="19">
        <v>17</v>
      </c>
      <c r="I112" s="17" t="s">
        <v>105</v>
      </c>
      <c r="J112" s="19" t="s">
        <v>105</v>
      </c>
      <c r="K112" s="78" t="s">
        <v>105</v>
      </c>
      <c r="L112" s="78" t="s">
        <v>105</v>
      </c>
      <c r="M112" s="78" t="s">
        <v>105</v>
      </c>
      <c r="N112" s="59">
        <v>0.55066999999999999</v>
      </c>
      <c r="O112" s="43">
        <v>748</v>
      </c>
    </row>
    <row r="113" spans="1:15" hidden="1" x14ac:dyDescent="0.35">
      <c r="A113" s="6" t="s">
        <v>104</v>
      </c>
      <c r="B113" s="72" t="s">
        <v>18</v>
      </c>
      <c r="C113" s="4" t="str">
        <f>sensorCalcs!C109</f>
        <v>2015-08-24 15:22</v>
      </c>
      <c r="D113" s="4" t="s">
        <v>2120</v>
      </c>
      <c r="E113" s="4" t="s">
        <v>1730</v>
      </c>
      <c r="F113" s="21">
        <v>39.024259999999998</v>
      </c>
      <c r="G113" s="21">
        <v>-84.090968000000004</v>
      </c>
      <c r="H113" s="17">
        <v>12</v>
      </c>
      <c r="I113" s="17" t="s">
        <v>105</v>
      </c>
      <c r="J113" s="17">
        <f>32+33+33+145+140+140+140+140+140+140+15</f>
        <v>1098</v>
      </c>
      <c r="K113" s="18">
        <f>sensorCalcs!O109</f>
        <v>395.2926094167305</v>
      </c>
      <c r="L113" s="18">
        <f>sensorCalcs!U109</f>
        <v>5.433673480077875</v>
      </c>
      <c r="M113" s="18">
        <f>sensorCalcs!P109</f>
        <v>395.45876856318563</v>
      </c>
      <c r="N113" s="17">
        <f>sensorCalcs!E109</f>
        <v>0.12</v>
      </c>
      <c r="O113" s="44">
        <v>751.5</v>
      </c>
    </row>
    <row r="114" spans="1:15" x14ac:dyDescent="0.35">
      <c r="A114" s="9" t="s">
        <v>104</v>
      </c>
      <c r="B114" s="70" t="s">
        <v>167</v>
      </c>
      <c r="C114" s="20" t="s">
        <v>377</v>
      </c>
      <c r="D114" s="16" t="s">
        <v>378</v>
      </c>
      <c r="E114" s="16" t="s">
        <v>379</v>
      </c>
      <c r="F114" s="15" t="s">
        <v>1562</v>
      </c>
      <c r="G114" s="15" t="s">
        <v>1563</v>
      </c>
      <c r="H114" s="15" t="s">
        <v>516</v>
      </c>
      <c r="I114" s="17" t="s">
        <v>105</v>
      </c>
      <c r="J114" s="19">
        <f>29+27+28+(140*6)+40</f>
        <v>964</v>
      </c>
      <c r="K114" s="78">
        <f>sensorCalcs!O80</f>
        <v>105.5287878163593</v>
      </c>
      <c r="L114" s="78">
        <f>sensorCalcs!U80</f>
        <v>1.9127113503621</v>
      </c>
      <c r="M114" s="78">
        <f>sensorCalcs!P80</f>
        <v>105.56454300033147</v>
      </c>
      <c r="N114" s="59">
        <v>0.69901999999999997</v>
      </c>
      <c r="O114" s="42" t="str">
        <f>sensorCalcs!I80</f>
        <v>746.1</v>
      </c>
    </row>
    <row r="115" spans="1:15" hidden="1" x14ac:dyDescent="0.35">
      <c r="A115" s="6" t="s">
        <v>104</v>
      </c>
      <c r="B115" s="72" t="s">
        <v>60</v>
      </c>
      <c r="C115" s="4" t="str">
        <f>sensorCalcs!C111</f>
        <v>2015-08-26 14:52</v>
      </c>
      <c r="D115" s="4" t="s">
        <v>1733</v>
      </c>
      <c r="E115" s="4" t="s">
        <v>1734</v>
      </c>
      <c r="F115" s="21">
        <v>39.020166600000003</v>
      </c>
      <c r="G115" s="21">
        <v>-84.152327999999997</v>
      </c>
      <c r="H115" s="17">
        <v>101</v>
      </c>
      <c r="I115" s="17" t="s">
        <v>105</v>
      </c>
      <c r="J115" s="17">
        <f>29+30+33+140+140+140+75</f>
        <v>587</v>
      </c>
      <c r="K115" s="18">
        <f>sensorCalcs!O111</f>
        <v>118.89720982432239</v>
      </c>
      <c r="L115" s="18">
        <f>sensorCalcs!U111</f>
        <v>1.9209756875711996</v>
      </c>
      <c r="M115" s="18">
        <f>sensorCalcs!P111</f>
        <v>118.9552367690878</v>
      </c>
      <c r="N115" s="17">
        <f>sensorCalcs!E111</f>
        <v>0.45</v>
      </c>
      <c r="O115" s="44">
        <v>751.9</v>
      </c>
    </row>
    <row r="116" spans="1:15" hidden="1" x14ac:dyDescent="0.35">
      <c r="A116" s="6" t="s">
        <v>104</v>
      </c>
      <c r="B116" s="72" t="s">
        <v>64</v>
      </c>
      <c r="C116" s="4" t="str">
        <f>sensorCalcs!C112</f>
        <v>2015-08-26 11:57</v>
      </c>
      <c r="D116" s="4" t="s">
        <v>1735</v>
      </c>
      <c r="E116" s="4" t="s">
        <v>1736</v>
      </c>
      <c r="F116" s="21" t="s">
        <v>1638</v>
      </c>
      <c r="G116" s="21" t="s">
        <v>1639</v>
      </c>
      <c r="H116" s="17">
        <v>46</v>
      </c>
      <c r="I116" s="17" t="s">
        <v>105</v>
      </c>
      <c r="J116" s="17">
        <f>29+29+28+140+140+140+45</f>
        <v>551</v>
      </c>
      <c r="K116" s="18">
        <f>sensorCalcs!O112</f>
        <v>146.42001704487754</v>
      </c>
      <c r="L116" s="18">
        <f>sensorCalcs!U112</f>
        <v>1.9189513155951323</v>
      </c>
      <c r="M116" s="18">
        <f>sensorCalcs!P112</f>
        <v>146.48039643334965</v>
      </c>
      <c r="N116" s="17">
        <f>sensorCalcs!E112</f>
        <v>7.3999999999999996E-2</v>
      </c>
      <c r="O116" s="44">
        <v>751.9</v>
      </c>
    </row>
    <row r="117" spans="1:15" hidden="1" x14ac:dyDescent="0.35">
      <c r="A117" s="6" t="s">
        <v>104</v>
      </c>
      <c r="B117" s="72" t="s">
        <v>69</v>
      </c>
      <c r="C117" s="4" t="s">
        <v>1872</v>
      </c>
      <c r="D117" s="4" t="s">
        <v>105</v>
      </c>
      <c r="E117" s="4" t="s">
        <v>1809</v>
      </c>
      <c r="F117" s="21" t="s">
        <v>1644</v>
      </c>
      <c r="G117" s="21" t="s">
        <v>1645</v>
      </c>
      <c r="H117" s="17">
        <v>66</v>
      </c>
      <c r="I117" s="17">
        <v>24.9</v>
      </c>
      <c r="J117" s="17">
        <f>27+27+26.5+10</f>
        <v>90.5</v>
      </c>
      <c r="K117" s="18" t="s">
        <v>105</v>
      </c>
      <c r="L117" s="18" t="s">
        <v>105</v>
      </c>
      <c r="M117" s="18" t="s">
        <v>105</v>
      </c>
      <c r="N117" s="17" t="s">
        <v>105</v>
      </c>
      <c r="O117" s="27">
        <v>763.01600000000008</v>
      </c>
    </row>
    <row r="118" spans="1:15" hidden="1" x14ac:dyDescent="0.35">
      <c r="A118" s="6" t="s">
        <v>104</v>
      </c>
      <c r="B118" s="72" t="s">
        <v>9</v>
      </c>
      <c r="C118" s="4" t="str">
        <f>sensorCalcs!C114</f>
        <v>2015-08-31 13:45</v>
      </c>
      <c r="D118" s="4" t="s">
        <v>1739</v>
      </c>
      <c r="E118" s="4" t="s">
        <v>1740</v>
      </c>
      <c r="F118" s="21" t="s">
        <v>1601</v>
      </c>
      <c r="G118" s="21" t="s">
        <v>1602</v>
      </c>
      <c r="H118" s="17">
        <v>13</v>
      </c>
      <c r="I118" s="17" t="s">
        <v>105</v>
      </c>
      <c r="J118" s="17">
        <f>33+33+33+140+140+140+140+140+140+140+140+140+125</f>
        <v>1484</v>
      </c>
      <c r="K118" s="18">
        <f>sensorCalcs!O114</f>
        <v>347.9252492069096</v>
      </c>
      <c r="L118" s="18">
        <f>sensorCalcs!U114</f>
        <v>5.4235962646036828</v>
      </c>
      <c r="M118" s="18">
        <f>sensorCalcs!P114</f>
        <v>348.08918548852915</v>
      </c>
      <c r="N118" s="17">
        <f>sensorCalcs!E114</f>
        <v>0.37668000000000001</v>
      </c>
      <c r="O118" s="44">
        <v>750.2</v>
      </c>
    </row>
    <row r="119" spans="1:15" hidden="1" x14ac:dyDescent="0.35">
      <c r="A119" s="6" t="s">
        <v>104</v>
      </c>
      <c r="B119" s="72" t="s">
        <v>14</v>
      </c>
      <c r="C119" s="4" t="str">
        <f>sensorCalcs!C161</f>
        <v>2015-10-05 14:58</v>
      </c>
      <c r="D119" s="4" t="s">
        <v>2078</v>
      </c>
      <c r="E119" s="4" t="s">
        <v>2077</v>
      </c>
      <c r="F119" s="21" t="s">
        <v>2041</v>
      </c>
      <c r="G119" s="21" t="s">
        <v>2044</v>
      </c>
      <c r="H119" s="17">
        <v>6</v>
      </c>
      <c r="I119" s="17">
        <f>sensorCalcs!G161</f>
        <v>20.722222222222221</v>
      </c>
      <c r="J119" s="17">
        <f>27+28+26+(140*7)+60</f>
        <v>1121</v>
      </c>
      <c r="K119" s="18">
        <f>sensorCalcs!O161</f>
        <v>394.63960397116188</v>
      </c>
      <c r="L119" s="18">
        <f>sensorCalcs!U161</f>
        <v>5.6160282158239392</v>
      </c>
      <c r="M119" s="18">
        <f>sensorCalcs!P161</f>
        <v>394.805763117617</v>
      </c>
      <c r="N119" s="17">
        <f>sensorCalcs!E161</f>
        <v>0.12393</v>
      </c>
      <c r="O119" s="42">
        <v>749.7</v>
      </c>
    </row>
    <row r="120" spans="1:15" hidden="1" x14ac:dyDescent="0.35">
      <c r="A120" s="6" t="s">
        <v>104</v>
      </c>
      <c r="B120" s="72" t="s">
        <v>18</v>
      </c>
      <c r="C120" s="4" t="str">
        <f>sensorCalcs!C116</f>
        <v>2015-08-31 14:41</v>
      </c>
      <c r="D120" s="4" t="s">
        <v>1743</v>
      </c>
      <c r="E120" s="4" t="s">
        <v>1744</v>
      </c>
      <c r="F120" s="21" t="s">
        <v>1605</v>
      </c>
      <c r="G120" s="21" t="s">
        <v>1606</v>
      </c>
      <c r="H120" s="17">
        <v>12</v>
      </c>
      <c r="I120" s="17" t="s">
        <v>105</v>
      </c>
      <c r="J120" s="17">
        <f>29+29+27+140+140+140+140+140+145+140+140+140+140+140+140+140+10</f>
        <v>1920</v>
      </c>
      <c r="K120" s="18">
        <f>sensorCalcs!O116</f>
        <v>388.35048027783569</v>
      </c>
      <c r="L120" s="18">
        <f>sensorCalcs!U116</f>
        <v>5.4207329355736116</v>
      </c>
      <c r="M120" s="18">
        <f>sensorCalcs!P116</f>
        <v>388.51663942429076</v>
      </c>
      <c r="N120" s="17">
        <f>sensorCalcs!E116</f>
        <v>0.16178000000000001</v>
      </c>
      <c r="O120" s="44">
        <v>750.2</v>
      </c>
    </row>
    <row r="121" spans="1:15" hidden="1" x14ac:dyDescent="0.35">
      <c r="A121" s="9" t="s">
        <v>104</v>
      </c>
      <c r="B121" s="73" t="s">
        <v>26</v>
      </c>
      <c r="C121" s="16" t="str">
        <f>sensorCalcs!C117</f>
        <v>2015-08-31 12:14</v>
      </c>
      <c r="D121" s="16" t="s">
        <v>1745</v>
      </c>
      <c r="E121" s="16" t="s">
        <v>1746</v>
      </c>
      <c r="F121" s="15" t="s">
        <v>1607</v>
      </c>
      <c r="G121" s="15" t="s">
        <v>1608</v>
      </c>
      <c r="H121" s="19">
        <v>41</v>
      </c>
      <c r="I121" s="17" t="s">
        <v>105</v>
      </c>
      <c r="J121" s="19">
        <f>30+29+30+140+140+140+140+140+140+100</f>
        <v>1029</v>
      </c>
      <c r="K121" s="78">
        <f>sensorCalcs!O117</f>
        <v>127.32145384502786</v>
      </c>
      <c r="L121" s="78">
        <f>sensorCalcs!U117</f>
        <v>1.9301841883926072</v>
      </c>
      <c r="M121" s="78">
        <f>sensorCalcs!P117</f>
        <v>127.38046097467107</v>
      </c>
      <c r="N121" s="19">
        <f>sensorCalcs!E117</f>
        <v>0.34127000000000002</v>
      </c>
      <c r="O121" s="42">
        <v>750.2</v>
      </c>
    </row>
    <row r="122" spans="1:15" x14ac:dyDescent="0.35">
      <c r="A122" s="6" t="s">
        <v>104</v>
      </c>
      <c r="B122" s="72" t="s">
        <v>167</v>
      </c>
      <c r="C122" s="4" t="str">
        <f>sensorCalcs!C99</f>
        <v>2015-08-17 14:07</v>
      </c>
      <c r="D122" s="4" t="s">
        <v>2117</v>
      </c>
      <c r="E122" s="4" t="s">
        <v>1061</v>
      </c>
      <c r="F122" s="21" t="s">
        <v>1592</v>
      </c>
      <c r="G122" s="21" t="s">
        <v>1593</v>
      </c>
      <c r="H122" s="17">
        <v>31</v>
      </c>
      <c r="I122" s="17" t="s">
        <v>105</v>
      </c>
      <c r="J122" s="17">
        <f>30+31+30+(140*4)+5</f>
        <v>656</v>
      </c>
      <c r="K122" s="18">
        <f>sensorCalcs!O99</f>
        <v>110.95830042511714</v>
      </c>
      <c r="L122" s="18">
        <f>sensorCalcs!U99</f>
        <v>1.9194257528509526</v>
      </c>
      <c r="M122" s="18">
        <f>sensorCalcs!P99</f>
        <v>111.01691548080923</v>
      </c>
      <c r="N122" s="60">
        <f>sensorCalcs!E99</f>
        <v>0.60599999999999998</v>
      </c>
      <c r="O122" s="44" t="str">
        <f>sensorCalcs!I99</f>
        <v>745.8</v>
      </c>
    </row>
    <row r="123" spans="1:15" hidden="1" x14ac:dyDescent="0.35">
      <c r="A123" s="9" t="s">
        <v>104</v>
      </c>
      <c r="B123" s="73" t="s">
        <v>60</v>
      </c>
      <c r="C123" s="16" t="str">
        <f>sensorCalcs!C119</f>
        <v>2015-09-02 12:21</v>
      </c>
      <c r="D123" s="16" t="s">
        <v>1783</v>
      </c>
      <c r="E123" s="16" t="s">
        <v>1784</v>
      </c>
      <c r="F123" s="15" t="s">
        <v>1611</v>
      </c>
      <c r="G123" s="15" t="s">
        <v>1534</v>
      </c>
      <c r="H123" s="19">
        <v>100</v>
      </c>
      <c r="I123" s="17" t="s">
        <v>105</v>
      </c>
      <c r="J123" s="19">
        <f>27+29+28+(140*5)</f>
        <v>784</v>
      </c>
      <c r="K123" s="78">
        <f>sensorCalcs!O119</f>
        <v>120.2469165595658</v>
      </c>
      <c r="L123" s="78">
        <f>sensorCalcs!U119</f>
        <v>1.9395963735120194</v>
      </c>
      <c r="M123" s="78">
        <f>sensorCalcs!P119</f>
        <v>120.30494350433121</v>
      </c>
      <c r="N123" s="19">
        <f>sensorCalcs!E119</f>
        <v>0.42674000000000001</v>
      </c>
      <c r="O123" s="42">
        <v>746.1</v>
      </c>
    </row>
    <row r="124" spans="1:15" hidden="1" x14ac:dyDescent="0.35">
      <c r="A124" s="6" t="s">
        <v>104</v>
      </c>
      <c r="B124" s="72" t="s">
        <v>64</v>
      </c>
      <c r="C124" s="4" t="str">
        <f>sensorCalcs!C120</f>
        <v>2015-09-02 12:58</v>
      </c>
      <c r="D124" s="4" t="s">
        <v>1788</v>
      </c>
      <c r="E124" s="4" t="s">
        <v>1787</v>
      </c>
      <c r="F124" s="21" t="s">
        <v>1612</v>
      </c>
      <c r="G124" s="21" t="s">
        <v>1613</v>
      </c>
      <c r="H124" s="17">
        <v>49</v>
      </c>
      <c r="I124" s="17" t="s">
        <v>105</v>
      </c>
      <c r="J124" s="17">
        <f>30+30+29+(140*3)+77</f>
        <v>586</v>
      </c>
      <c r="K124" s="18">
        <f>sensorCalcs!O120</f>
        <v>148.52906908420849</v>
      </c>
      <c r="L124" s="18">
        <f>sensorCalcs!U120</f>
        <v>1.9272570274422964</v>
      </c>
      <c r="M124" s="18">
        <f>sensorCalcs!P120</f>
        <v>148.5894484726806</v>
      </c>
      <c r="N124" s="17">
        <f>sensorCalcs!E120</f>
        <v>3.9070000000000001E-2</v>
      </c>
      <c r="O124" s="44">
        <v>746.1</v>
      </c>
    </row>
    <row r="125" spans="1:15" hidden="1" x14ac:dyDescent="0.35">
      <c r="A125" s="9" t="s">
        <v>104</v>
      </c>
      <c r="B125" s="73" t="s">
        <v>69</v>
      </c>
      <c r="C125" s="16" t="str">
        <f>sensorCalcs!C148</f>
        <v>2015-09-25 13:21</v>
      </c>
      <c r="D125" s="16" t="s">
        <v>1994</v>
      </c>
      <c r="E125" s="16" t="s">
        <v>1993</v>
      </c>
      <c r="F125" s="15" t="s">
        <v>1631</v>
      </c>
      <c r="G125" s="15" t="s">
        <v>1632</v>
      </c>
      <c r="H125" s="19">
        <v>63</v>
      </c>
      <c r="I125" s="19">
        <f>sensorCalcs!G148</f>
        <v>23.857222222222219</v>
      </c>
      <c r="J125" s="19">
        <f>140+8</f>
        <v>148</v>
      </c>
      <c r="K125" s="78">
        <f>sensorCalcs!O148</f>
        <v>125.80851104097616</v>
      </c>
      <c r="L125" s="78">
        <f>sensorCalcs!U148</f>
        <v>1.9547461860318096</v>
      </c>
      <c r="M125" s="78">
        <f>sensorCalcs!P148</f>
        <v>125.86751817061936</v>
      </c>
      <c r="N125" s="19">
        <f>sensorCalcs!E148</f>
        <v>0.36691000000000001</v>
      </c>
      <c r="O125" s="42">
        <v>750.2</v>
      </c>
    </row>
    <row r="126" spans="1:15" hidden="1" x14ac:dyDescent="0.35">
      <c r="A126" s="9" t="s">
        <v>104</v>
      </c>
      <c r="B126" s="73" t="s">
        <v>9</v>
      </c>
      <c r="C126" s="16" t="str">
        <f>sensorCalcs!C122</f>
        <v>2015-09-08 12:02</v>
      </c>
      <c r="D126" s="16" t="s">
        <v>1798</v>
      </c>
      <c r="E126" s="16" t="s">
        <v>1797</v>
      </c>
      <c r="F126" s="15" t="s">
        <v>105</v>
      </c>
      <c r="G126" s="15" t="s">
        <v>105</v>
      </c>
      <c r="H126" s="17" t="s">
        <v>105</v>
      </c>
      <c r="I126" s="17" t="s">
        <v>105</v>
      </c>
      <c r="J126" s="19">
        <f>25.5+27+27+(140*11)+39</f>
        <v>1658.5</v>
      </c>
      <c r="K126" s="78">
        <f>sensorCalcs!O122</f>
        <v>354.63024312515114</v>
      </c>
      <c r="L126" s="78">
        <f>sensorCalcs!U122</f>
        <v>5.5303952246387187</v>
      </c>
      <c r="M126" s="78">
        <f>sensorCalcs!P122</f>
        <v>354.79417940677075</v>
      </c>
      <c r="N126" s="19">
        <f>sensorCalcs!E122</f>
        <v>0.33578000000000002</v>
      </c>
      <c r="O126" s="42">
        <v>758.952</v>
      </c>
    </row>
    <row r="127" spans="1:15" hidden="1" x14ac:dyDescent="0.35">
      <c r="A127" s="6" t="s">
        <v>104</v>
      </c>
      <c r="B127" s="72" t="s">
        <v>14</v>
      </c>
      <c r="C127" s="4" t="str">
        <f>sensorCalcs!C97</f>
        <v>2015-08-17 12:40</v>
      </c>
      <c r="D127" s="4" t="s">
        <v>1053</v>
      </c>
      <c r="E127" s="4" t="s">
        <v>1054</v>
      </c>
      <c r="F127" s="21" t="s">
        <v>1596</v>
      </c>
      <c r="G127" s="21" t="s">
        <v>1597</v>
      </c>
      <c r="H127" s="17">
        <v>9</v>
      </c>
      <c r="I127" s="17" t="s">
        <v>105</v>
      </c>
      <c r="J127" s="17">
        <f>29+29+29+(140*8)+60</f>
        <v>1267</v>
      </c>
      <c r="K127" s="18">
        <f>sensorCalcs!O97</f>
        <v>387.18751073886409</v>
      </c>
      <c r="L127" s="18">
        <f>sensorCalcs!U97</f>
        <v>5.4223688956550271</v>
      </c>
      <c r="M127" s="18">
        <f>sensorCalcs!P97</f>
        <v>387.3586713311991</v>
      </c>
      <c r="N127" s="60">
        <f>sensorCalcs!E97</f>
        <v>0.23687</v>
      </c>
      <c r="O127" s="44" t="str">
        <f>sensorCalcs!I97</f>
        <v>745.8</v>
      </c>
    </row>
    <row r="128" spans="1:15" hidden="1" x14ac:dyDescent="0.35">
      <c r="A128" s="9" t="s">
        <v>104</v>
      </c>
      <c r="B128" s="73" t="s">
        <v>26</v>
      </c>
      <c r="C128" s="16" t="str">
        <f>sensorCalcs!C124</f>
        <v>2015-09-08 14:59</v>
      </c>
      <c r="D128" s="16" t="s">
        <v>1802</v>
      </c>
      <c r="E128" s="16" t="s">
        <v>1803</v>
      </c>
      <c r="F128" s="15" t="s">
        <v>105</v>
      </c>
      <c r="G128" s="15" t="s">
        <v>105</v>
      </c>
      <c r="H128" s="17" t="s">
        <v>105</v>
      </c>
      <c r="I128" s="17" t="s">
        <v>105</v>
      </c>
      <c r="J128" s="19">
        <f>26+26+26+140+140+140+95</f>
        <v>593</v>
      </c>
      <c r="K128" s="78">
        <f>sensorCalcs!O124</f>
        <v>135.5706505691476</v>
      </c>
      <c r="L128" s="78">
        <f>sensorCalcs!U124</f>
        <v>1.955472750195421</v>
      </c>
      <c r="M128" s="78">
        <f>sensorCalcs!P124</f>
        <v>135.62965769879082</v>
      </c>
      <c r="N128" s="19">
        <f>sensorCalcs!E124</f>
        <v>0.20147000000000001</v>
      </c>
      <c r="O128" s="42">
        <v>758.952</v>
      </c>
    </row>
    <row r="129" spans="1:15" x14ac:dyDescent="0.35">
      <c r="A129" s="6" t="s">
        <v>104</v>
      </c>
      <c r="B129" s="72" t="s">
        <v>167</v>
      </c>
      <c r="C129" s="4" t="str">
        <f>sensorCalcs!C118</f>
        <v>2015-08-31 15:16</v>
      </c>
      <c r="D129" s="4" t="s">
        <v>1747</v>
      </c>
      <c r="E129" s="4" t="s">
        <v>1748</v>
      </c>
      <c r="F129" s="21" t="s">
        <v>1609</v>
      </c>
      <c r="G129" s="21" t="s">
        <v>1610</v>
      </c>
      <c r="H129" s="17">
        <v>30</v>
      </c>
      <c r="I129" s="17" t="s">
        <v>105</v>
      </c>
      <c r="J129" s="17">
        <f>30+30+28+140+140+140+140+140</f>
        <v>788</v>
      </c>
      <c r="K129" s="18">
        <f>sensorCalcs!O118</f>
        <v>110.48000157066971</v>
      </c>
      <c r="L129" s="18">
        <f>sensorCalcs!U118</f>
        <v>1.911026602045794</v>
      </c>
      <c r="M129" s="18">
        <f>sensorCalcs!P118</f>
        <v>110.5386166263618</v>
      </c>
      <c r="N129" s="17">
        <f>sensorCalcs!E118</f>
        <v>0.61416000000000004</v>
      </c>
      <c r="O129" s="44">
        <v>750.2</v>
      </c>
    </row>
    <row r="130" spans="1:15" hidden="1" x14ac:dyDescent="0.35">
      <c r="A130" s="6" t="s">
        <v>8</v>
      </c>
      <c r="B130" s="72" t="s">
        <v>18</v>
      </c>
      <c r="C130" s="4" t="str">
        <f>sensorCalcs!C126</f>
        <v>2015-09-08 14:11</v>
      </c>
      <c r="D130" s="4" t="s">
        <v>1882</v>
      </c>
      <c r="E130" s="4" t="s">
        <v>1881</v>
      </c>
      <c r="F130" s="21" t="s">
        <v>105</v>
      </c>
      <c r="G130" s="21" t="s">
        <v>105</v>
      </c>
      <c r="H130" s="17" t="s">
        <v>105</v>
      </c>
      <c r="I130" s="17" t="s">
        <v>105</v>
      </c>
      <c r="J130" s="17">
        <f>27+26.5+27+(140*4)+102</f>
        <v>742.5</v>
      </c>
      <c r="K130" s="78">
        <f>sensorCalcs!O126</f>
        <v>395.65317476453816</v>
      </c>
      <c r="L130" s="78">
        <f>sensorCalcs!U126</f>
        <v>5.6005463501605819</v>
      </c>
      <c r="M130" s="78">
        <f>sensorCalcs!P126</f>
        <v>395.81933391099324</v>
      </c>
      <c r="N130" s="78">
        <f>sensorCalcs!E126</f>
        <v>0.11783</v>
      </c>
      <c r="O130" s="44" t="str">
        <f>sensorCalcs!I126</f>
        <v>763</v>
      </c>
    </row>
    <row r="131" spans="1:15" hidden="1" x14ac:dyDescent="0.35">
      <c r="A131" s="6" t="s">
        <v>104</v>
      </c>
      <c r="B131" s="72" t="s">
        <v>64</v>
      </c>
      <c r="C131" s="4" t="s">
        <v>1869</v>
      </c>
      <c r="D131" s="4" t="s">
        <v>105</v>
      </c>
      <c r="E131" s="4" t="s">
        <v>1807</v>
      </c>
      <c r="F131" s="21" t="s">
        <v>1640</v>
      </c>
      <c r="G131" s="21" t="s">
        <v>1641</v>
      </c>
      <c r="H131" s="17">
        <v>48</v>
      </c>
      <c r="I131" s="17">
        <v>24.7</v>
      </c>
      <c r="J131" s="17">
        <f>27+27+28+30</f>
        <v>112</v>
      </c>
      <c r="K131" s="18" t="s">
        <v>105</v>
      </c>
      <c r="L131" s="18" t="s">
        <v>105</v>
      </c>
      <c r="M131" s="18" t="s">
        <v>105</v>
      </c>
      <c r="N131" s="17" t="s">
        <v>105</v>
      </c>
      <c r="O131" s="27">
        <v>763</v>
      </c>
    </row>
    <row r="132" spans="1:15" hidden="1" x14ac:dyDescent="0.35">
      <c r="A132" s="9" t="s">
        <v>104</v>
      </c>
      <c r="B132" s="73" t="s">
        <v>60</v>
      </c>
      <c r="C132" s="16" t="s">
        <v>1874</v>
      </c>
      <c r="D132" s="16" t="s">
        <v>105</v>
      </c>
      <c r="E132" s="16" t="s">
        <v>1808</v>
      </c>
      <c r="F132" s="15" t="s">
        <v>1642</v>
      </c>
      <c r="G132" s="15" t="s">
        <v>1643</v>
      </c>
      <c r="H132" s="19">
        <v>101</v>
      </c>
      <c r="I132" s="15" t="s">
        <v>1875</v>
      </c>
      <c r="J132" s="19">
        <f>26+26.5+27+140+35</f>
        <v>254.5</v>
      </c>
      <c r="K132" s="78" t="s">
        <v>105</v>
      </c>
      <c r="L132" s="78" t="s">
        <v>105</v>
      </c>
      <c r="M132" s="78" t="s">
        <v>105</v>
      </c>
      <c r="N132" s="19" t="s">
        <v>105</v>
      </c>
      <c r="O132" s="109">
        <v>763.01600000000008</v>
      </c>
    </row>
    <row r="133" spans="1:15" hidden="1" x14ac:dyDescent="0.35">
      <c r="A133" s="6" t="s">
        <v>104</v>
      </c>
      <c r="B133" s="29" t="s">
        <v>69</v>
      </c>
      <c r="C133" s="4" t="str">
        <f>sensorCalcs!C185</f>
        <v>2015-10-21 12:16</v>
      </c>
      <c r="D133" s="4" t="s">
        <v>2195</v>
      </c>
      <c r="E133" s="4" t="s">
        <v>2194</v>
      </c>
      <c r="F133" s="17">
        <v>39.019388300000003</v>
      </c>
      <c r="G133" s="17">
        <v>-84.129783000000003</v>
      </c>
      <c r="H133" s="17">
        <v>64</v>
      </c>
      <c r="I133" s="17">
        <f>sensorCalcs!G185</f>
        <v>18.010000000000002</v>
      </c>
      <c r="J133" s="17">
        <f>26+28+28+140+3</f>
        <v>225</v>
      </c>
      <c r="K133" s="18">
        <f>sensorCalcs!O185</f>
        <v>125.52132471326152</v>
      </c>
      <c r="L133" s="18">
        <f>sensorCalcs!U185</f>
        <v>2.0061582374358911</v>
      </c>
      <c r="M133" s="18">
        <f>sensorCalcs!P185</f>
        <v>125.5775873252469</v>
      </c>
      <c r="N133" s="17">
        <f>sensorCalcs!E185</f>
        <v>0.26801000000000003</v>
      </c>
      <c r="O133" s="17">
        <v>745.8</v>
      </c>
    </row>
    <row r="134" spans="1:15" hidden="1" x14ac:dyDescent="0.35">
      <c r="A134" s="9" t="s">
        <v>104</v>
      </c>
      <c r="B134" s="73" t="s">
        <v>9</v>
      </c>
      <c r="C134" s="16" t="s">
        <v>1887</v>
      </c>
      <c r="D134" s="16" t="s">
        <v>105</v>
      </c>
      <c r="E134" s="16" t="s">
        <v>1810</v>
      </c>
      <c r="F134" s="15" t="s">
        <v>1646</v>
      </c>
      <c r="G134" s="15" t="s">
        <v>1647</v>
      </c>
      <c r="H134" s="19">
        <v>14</v>
      </c>
      <c r="I134" s="19">
        <v>25</v>
      </c>
      <c r="J134" s="19">
        <f>((PI()*(0.875^2)*24)*16.387)+(28+26+25.5)</f>
        <v>1025.468498214158</v>
      </c>
      <c r="K134" s="78" t="s">
        <v>105</v>
      </c>
      <c r="L134" s="78" t="s">
        <v>105</v>
      </c>
      <c r="M134" s="78" t="s">
        <v>105</v>
      </c>
      <c r="N134" s="19" t="s">
        <v>105</v>
      </c>
      <c r="O134" s="109">
        <v>763.01600000000008</v>
      </c>
    </row>
    <row r="135" spans="1:15" hidden="1" x14ac:dyDescent="0.35">
      <c r="A135" s="9" t="s">
        <v>104</v>
      </c>
      <c r="B135" s="73" t="s">
        <v>14</v>
      </c>
      <c r="C135" s="16" t="str">
        <f>sensorCalcs!C170</f>
        <v>2015-10-14 12:22</v>
      </c>
      <c r="D135" s="16" t="s">
        <v>2104</v>
      </c>
      <c r="E135" s="16" t="s">
        <v>2103</v>
      </c>
      <c r="F135" s="15" t="s">
        <v>2057</v>
      </c>
      <c r="G135" s="15" t="s">
        <v>2058</v>
      </c>
      <c r="H135" s="19">
        <v>10</v>
      </c>
      <c r="I135" s="19">
        <f>sensorCalcs!G170</f>
        <v>18.39</v>
      </c>
      <c r="J135" s="19">
        <f>25+25+26+26+(140*3)+35</f>
        <v>557</v>
      </c>
      <c r="K135" s="78">
        <f>sensorCalcs!O170</f>
        <v>401.63822721985161</v>
      </c>
      <c r="L135" s="78">
        <f>sensorCalcs!U170</f>
        <v>5.66888181947796</v>
      </c>
      <c r="M135" s="78">
        <f>sensorCalcs!P170</f>
        <v>401.80438636630674</v>
      </c>
      <c r="N135" s="19">
        <f>sensorCalcs!E170</f>
        <v>8.1809999999999994E-2</v>
      </c>
      <c r="O135" s="44">
        <v>758.7</v>
      </c>
    </row>
    <row r="136" spans="1:15" hidden="1" x14ac:dyDescent="0.35">
      <c r="A136" s="9" t="s">
        <v>104</v>
      </c>
      <c r="B136" s="73" t="s">
        <v>25</v>
      </c>
      <c r="C136" s="16" t="s">
        <v>1871</v>
      </c>
      <c r="D136" s="16" t="s">
        <v>105</v>
      </c>
      <c r="E136" s="16" t="s">
        <v>1812</v>
      </c>
      <c r="F136" s="15" t="s">
        <v>1627</v>
      </c>
      <c r="G136" s="15" t="s">
        <v>1650</v>
      </c>
      <c r="H136" s="19">
        <v>33</v>
      </c>
      <c r="I136" s="19">
        <v>25.2</v>
      </c>
      <c r="J136" s="19">
        <f>27+25+25+140</f>
        <v>217</v>
      </c>
      <c r="K136" s="78" t="s">
        <v>105</v>
      </c>
      <c r="L136" s="78" t="s">
        <v>105</v>
      </c>
      <c r="M136" s="78" t="s">
        <v>105</v>
      </c>
      <c r="N136" s="19" t="s">
        <v>105</v>
      </c>
      <c r="O136" s="109">
        <v>763.01600000000008</v>
      </c>
    </row>
    <row r="137" spans="1:15" x14ac:dyDescent="0.35">
      <c r="A137" s="6" t="s">
        <v>104</v>
      </c>
      <c r="B137" s="72" t="s">
        <v>167</v>
      </c>
      <c r="C137" s="4" t="str">
        <f>sensorCalcs!C136</f>
        <v>2015-09-17 11:45</v>
      </c>
      <c r="D137" s="18" t="s">
        <v>105</v>
      </c>
      <c r="E137" s="4" t="s">
        <v>2123</v>
      </c>
      <c r="F137" s="21">
        <v>39.021287999999998</v>
      </c>
      <c r="G137" s="21">
        <v>-84.096676000000002</v>
      </c>
      <c r="H137" s="17">
        <v>27</v>
      </c>
      <c r="I137" s="17">
        <f>sensorCalcs!G136</f>
        <v>25</v>
      </c>
      <c r="J137" s="17">
        <f>67+26+26+26</f>
        <v>145</v>
      </c>
      <c r="K137" s="18" t="s">
        <v>105</v>
      </c>
      <c r="L137" s="18" t="s">
        <v>105</v>
      </c>
      <c r="M137" s="18" t="s">
        <v>105</v>
      </c>
      <c r="N137" s="18" t="s">
        <v>105</v>
      </c>
      <c r="O137" s="44">
        <v>767.58800000000008</v>
      </c>
    </row>
    <row r="138" spans="1:15" hidden="1" x14ac:dyDescent="0.35">
      <c r="A138" s="9" t="s">
        <v>104</v>
      </c>
      <c r="B138" s="73" t="s">
        <v>26</v>
      </c>
      <c r="C138" s="16" t="s">
        <v>1873</v>
      </c>
      <c r="D138" s="16" t="s">
        <v>105</v>
      </c>
      <c r="E138" s="16" t="s">
        <v>1814</v>
      </c>
      <c r="F138" s="15" t="s">
        <v>105</v>
      </c>
      <c r="G138" s="15" t="s">
        <v>105</v>
      </c>
      <c r="H138" s="19">
        <v>42</v>
      </c>
      <c r="I138" s="19">
        <v>25.4</v>
      </c>
      <c r="J138" s="19">
        <f>27+26+30+50</f>
        <v>133</v>
      </c>
      <c r="K138" s="78" t="s">
        <v>105</v>
      </c>
      <c r="L138" s="78" t="s">
        <v>105</v>
      </c>
      <c r="M138" s="78" t="s">
        <v>105</v>
      </c>
      <c r="N138" s="19" t="s">
        <v>105</v>
      </c>
      <c r="O138" s="109">
        <v>763.01600000000008</v>
      </c>
    </row>
    <row r="139" spans="1:15" hidden="1" x14ac:dyDescent="0.35">
      <c r="A139" s="6" t="s">
        <v>104</v>
      </c>
      <c r="B139" s="72" t="s">
        <v>26</v>
      </c>
      <c r="C139" s="4" t="s">
        <v>1884</v>
      </c>
      <c r="D139" s="4" t="s">
        <v>105</v>
      </c>
      <c r="E139" s="4" t="s">
        <v>1815</v>
      </c>
      <c r="F139" s="21" t="s">
        <v>105</v>
      </c>
      <c r="G139" s="21" t="s">
        <v>105</v>
      </c>
      <c r="H139" s="17">
        <v>45</v>
      </c>
      <c r="I139" s="17">
        <v>24.4</v>
      </c>
      <c r="J139" s="17">
        <f>26+27+26+17</f>
        <v>96</v>
      </c>
      <c r="K139" s="18" t="s">
        <v>105</v>
      </c>
      <c r="L139" s="18" t="s">
        <v>105</v>
      </c>
      <c r="M139" s="18" t="s">
        <v>105</v>
      </c>
      <c r="N139" s="17" t="s">
        <v>105</v>
      </c>
      <c r="O139" s="44">
        <v>767.33399999999995</v>
      </c>
    </row>
    <row r="140" spans="1:15" hidden="1" x14ac:dyDescent="0.35">
      <c r="A140" s="9" t="s">
        <v>104</v>
      </c>
      <c r="B140" s="73" t="s">
        <v>69</v>
      </c>
      <c r="C140" s="16" t="str">
        <f>sensorCalcs!C176</f>
        <v>2015-10-16 13:02</v>
      </c>
      <c r="D140" s="16" t="s">
        <v>2162</v>
      </c>
      <c r="E140" s="16" t="s">
        <v>2161</v>
      </c>
      <c r="F140" s="15" t="s">
        <v>2066</v>
      </c>
      <c r="G140" s="15" t="s">
        <v>2067</v>
      </c>
      <c r="H140" s="19">
        <v>64</v>
      </c>
      <c r="I140" s="19">
        <f>sensorCalcs!G176</f>
        <v>19.412777777777777</v>
      </c>
      <c r="J140" s="19">
        <f>26+26+27+140+62</f>
        <v>281</v>
      </c>
      <c r="K140" s="78">
        <f>sensorCalcs!O176</f>
        <v>119.7853514213521</v>
      </c>
      <c r="L140" s="78">
        <f>sensorCalcs!U176</f>
        <v>1.9928851386297151</v>
      </c>
      <c r="M140" s="78">
        <f>sensorCalcs!P176</f>
        <v>119.84161403333746</v>
      </c>
      <c r="N140" s="19">
        <f>sensorCalcs!E176</f>
        <v>0.36996000000000001</v>
      </c>
      <c r="O140" s="42">
        <v>750.7</v>
      </c>
    </row>
    <row r="141" spans="1:15" hidden="1" x14ac:dyDescent="0.35">
      <c r="A141" s="6" t="s">
        <v>104</v>
      </c>
      <c r="B141" s="72" t="s">
        <v>64</v>
      </c>
      <c r="C141" s="4" t="s">
        <v>1886</v>
      </c>
      <c r="D141" s="4" t="s">
        <v>105</v>
      </c>
      <c r="E141" s="4" t="s">
        <v>1817</v>
      </c>
      <c r="F141" s="21" t="s">
        <v>105</v>
      </c>
      <c r="G141" s="21" t="s">
        <v>105</v>
      </c>
      <c r="H141" s="17">
        <v>40</v>
      </c>
      <c r="I141" s="17">
        <v>24.1</v>
      </c>
      <c r="J141" s="17">
        <v>28</v>
      </c>
      <c r="K141" s="18" t="s">
        <v>105</v>
      </c>
      <c r="L141" s="18" t="s">
        <v>105</v>
      </c>
      <c r="M141" s="18" t="s">
        <v>105</v>
      </c>
      <c r="N141" s="17" t="s">
        <v>105</v>
      </c>
      <c r="O141" s="44">
        <v>767.33399999999995</v>
      </c>
    </row>
    <row r="142" spans="1:15" hidden="1" x14ac:dyDescent="0.35">
      <c r="A142" s="9" t="s">
        <v>104</v>
      </c>
      <c r="B142" s="73" t="s">
        <v>60</v>
      </c>
      <c r="C142" s="16" t="s">
        <v>1889</v>
      </c>
      <c r="D142" s="16" t="s">
        <v>105</v>
      </c>
      <c r="E142" s="16" t="s">
        <v>1818</v>
      </c>
      <c r="F142" s="15" t="s">
        <v>105</v>
      </c>
      <c r="G142" s="15" t="s">
        <v>105</v>
      </c>
      <c r="H142" s="19">
        <v>103</v>
      </c>
      <c r="I142" s="19">
        <v>24.3</v>
      </c>
      <c r="J142" s="19">
        <f>20+27</f>
        <v>47</v>
      </c>
      <c r="K142" s="78" t="s">
        <v>105</v>
      </c>
      <c r="L142" s="78" t="s">
        <v>105</v>
      </c>
      <c r="M142" s="78" t="s">
        <v>105</v>
      </c>
      <c r="N142" s="19" t="s">
        <v>105</v>
      </c>
      <c r="O142" s="42">
        <v>767.33399999999995</v>
      </c>
    </row>
    <row r="143" spans="1:15" hidden="1" x14ac:dyDescent="0.35">
      <c r="A143" s="9" t="s">
        <v>104</v>
      </c>
      <c r="B143" s="92" t="s">
        <v>69</v>
      </c>
      <c r="C143" s="16" t="str">
        <f>sensorCalcs!C220</f>
        <v>2015-11-20 11:37</v>
      </c>
      <c r="D143" s="16" t="s">
        <v>105</v>
      </c>
      <c r="E143" s="16" t="s">
        <v>2289</v>
      </c>
      <c r="F143" s="19">
        <v>39.019370000000002</v>
      </c>
      <c r="G143" s="19">
        <v>-84.129660999999999</v>
      </c>
      <c r="H143" s="19">
        <v>63</v>
      </c>
      <c r="I143" s="19">
        <f>sensorCalcs!G220</f>
        <v>13.232777777777779</v>
      </c>
      <c r="J143" s="19">
        <f>26+25+20</f>
        <v>71</v>
      </c>
      <c r="K143" s="78">
        <f>sensorCalcs!O220</f>
        <v>57.602224776751257</v>
      </c>
      <c r="L143" s="78">
        <f>sensorCalcs!U220</f>
        <v>2.0411850911673781</v>
      </c>
      <c r="M143" s="78">
        <f>sensorCalcs!P220</f>
        <v>127.020160696552</v>
      </c>
      <c r="N143" s="19">
        <f>sensorCalcs!E220</f>
        <v>0.24237</v>
      </c>
      <c r="O143" s="19">
        <v>754.5</v>
      </c>
    </row>
    <row r="144" spans="1:15" hidden="1" x14ac:dyDescent="0.35">
      <c r="A144" s="9" t="s">
        <v>104</v>
      </c>
      <c r="B144" s="73" t="s">
        <v>64</v>
      </c>
      <c r="C144" s="16" t="s">
        <v>1891</v>
      </c>
      <c r="D144" s="16" t="s">
        <v>105</v>
      </c>
      <c r="E144" s="16" t="s">
        <v>1820</v>
      </c>
      <c r="F144" s="15" t="s">
        <v>105</v>
      </c>
      <c r="G144" s="15" t="s">
        <v>105</v>
      </c>
      <c r="H144" s="19" t="s">
        <v>105</v>
      </c>
      <c r="I144" s="19" t="s">
        <v>105</v>
      </c>
      <c r="J144" s="19">
        <v>12.5</v>
      </c>
      <c r="K144" s="78" t="s">
        <v>105</v>
      </c>
      <c r="L144" s="78" t="s">
        <v>105</v>
      </c>
      <c r="M144" s="78" t="s">
        <v>105</v>
      </c>
      <c r="N144" s="19" t="s">
        <v>105</v>
      </c>
      <c r="O144" s="42">
        <v>767.33399999999995</v>
      </c>
    </row>
    <row r="145" spans="1:15" hidden="1" x14ac:dyDescent="0.35">
      <c r="A145" s="6" t="s">
        <v>104</v>
      </c>
      <c r="B145" s="72" t="s">
        <v>60</v>
      </c>
      <c r="C145" s="4" t="s">
        <v>1892</v>
      </c>
      <c r="D145" s="4" t="s">
        <v>105</v>
      </c>
      <c r="E145" s="4" t="s">
        <v>1821</v>
      </c>
      <c r="F145" s="21" t="s">
        <v>105</v>
      </c>
      <c r="G145" s="21" t="s">
        <v>105</v>
      </c>
      <c r="H145" s="17" t="s">
        <v>105</v>
      </c>
      <c r="I145" s="17" t="s">
        <v>105</v>
      </c>
      <c r="J145" s="17">
        <v>35</v>
      </c>
      <c r="K145" s="18" t="s">
        <v>105</v>
      </c>
      <c r="L145" s="18" t="s">
        <v>105</v>
      </c>
      <c r="M145" s="18" t="s">
        <v>105</v>
      </c>
      <c r="N145" s="17" t="s">
        <v>105</v>
      </c>
      <c r="O145" s="44">
        <v>767.33399999999995</v>
      </c>
    </row>
    <row r="146" spans="1:15" hidden="1" x14ac:dyDescent="0.35">
      <c r="A146" s="9" t="s">
        <v>104</v>
      </c>
      <c r="B146" s="73" t="s">
        <v>60</v>
      </c>
      <c r="C146" s="16" t="s">
        <v>1894</v>
      </c>
      <c r="D146" s="16" t="s">
        <v>105</v>
      </c>
      <c r="E146" s="16" t="s">
        <v>1893</v>
      </c>
      <c r="F146" s="15" t="s">
        <v>105</v>
      </c>
      <c r="G146" s="15" t="s">
        <v>105</v>
      </c>
      <c r="H146" s="19">
        <v>102</v>
      </c>
      <c r="I146" s="19">
        <v>25.3</v>
      </c>
      <c r="J146" s="19">
        <f>27+16</f>
        <v>43</v>
      </c>
      <c r="K146" s="78" t="s">
        <v>105</v>
      </c>
      <c r="L146" s="78" t="s">
        <v>105</v>
      </c>
      <c r="M146" s="78" t="s">
        <v>105</v>
      </c>
      <c r="N146" s="19" t="s">
        <v>105</v>
      </c>
      <c r="O146" s="42">
        <v>767.33399999999995</v>
      </c>
    </row>
    <row r="147" spans="1:15" hidden="1" x14ac:dyDescent="0.35">
      <c r="A147" s="6" t="s">
        <v>104</v>
      </c>
      <c r="B147" s="72" t="s">
        <v>64</v>
      </c>
      <c r="C147" s="4" t="s">
        <v>1895</v>
      </c>
      <c r="D147" s="4" t="s">
        <v>105</v>
      </c>
      <c r="E147" s="4" t="s">
        <v>1822</v>
      </c>
      <c r="F147" s="21" t="s">
        <v>105</v>
      </c>
      <c r="G147" s="21" t="s">
        <v>105</v>
      </c>
      <c r="H147" s="17" t="s">
        <v>105</v>
      </c>
      <c r="I147" s="17">
        <v>25.4</v>
      </c>
      <c r="J147" s="17">
        <f>27+12</f>
        <v>39</v>
      </c>
      <c r="K147" s="18" t="s">
        <v>105</v>
      </c>
      <c r="L147" s="18" t="s">
        <v>105</v>
      </c>
      <c r="M147" s="18" t="s">
        <v>105</v>
      </c>
      <c r="N147" s="17" t="s">
        <v>105</v>
      </c>
      <c r="O147" s="44">
        <v>767.33399999999995</v>
      </c>
    </row>
    <row r="148" spans="1:15" hidden="1" x14ac:dyDescent="0.35">
      <c r="A148" s="9" t="s">
        <v>104</v>
      </c>
      <c r="B148" s="92" t="s">
        <v>69</v>
      </c>
      <c r="C148" s="16" t="str">
        <f>sensorCalcs!C194</f>
        <v>2015-10-30 12:43</v>
      </c>
      <c r="D148" s="16" t="s">
        <v>2224</v>
      </c>
      <c r="E148" s="16" t="s">
        <v>2223</v>
      </c>
      <c r="F148" s="19">
        <v>39.019356600000002</v>
      </c>
      <c r="G148" s="19">
        <v>-84.129608329999996</v>
      </c>
      <c r="H148" s="19">
        <v>64</v>
      </c>
      <c r="I148" s="19">
        <f>sensorCalcs!G194</f>
        <v>17.84277777777778</v>
      </c>
      <c r="J148" s="19">
        <f>27+27+27+140+10</f>
        <v>231</v>
      </c>
      <c r="K148" s="78">
        <f>sensorCalcs!O194</f>
        <v>126.92957789125555</v>
      </c>
      <c r="L148" s="78">
        <f>sensorCalcs!U194</f>
        <v>2.0093962948702084</v>
      </c>
      <c r="M148" s="78">
        <f>sensorCalcs!P194</f>
        <v>126.98584050324092</v>
      </c>
      <c r="N148" s="19">
        <f>sensorCalcs!E194</f>
        <v>0.24298</v>
      </c>
      <c r="O148" s="42">
        <v>766.82600000000002</v>
      </c>
    </row>
    <row r="149" spans="1:15" hidden="1" x14ac:dyDescent="0.35">
      <c r="A149" s="6" t="s">
        <v>104</v>
      </c>
      <c r="B149" s="72" t="s">
        <v>26</v>
      </c>
      <c r="C149" s="4" t="s">
        <v>1883</v>
      </c>
      <c r="D149" s="4" t="s">
        <v>105</v>
      </c>
      <c r="E149" s="4" t="s">
        <v>1824</v>
      </c>
      <c r="F149" s="21" t="s">
        <v>105</v>
      </c>
      <c r="G149" s="21" t="s">
        <v>105</v>
      </c>
      <c r="H149" s="17" t="s">
        <v>105</v>
      </c>
      <c r="I149" s="17">
        <v>25.8</v>
      </c>
      <c r="J149" s="17">
        <f>140+10+(27*3)</f>
        <v>231</v>
      </c>
      <c r="K149" s="18" t="s">
        <v>105</v>
      </c>
      <c r="L149" s="18" t="s">
        <v>105</v>
      </c>
      <c r="M149" s="18" t="s">
        <v>105</v>
      </c>
      <c r="N149" s="17" t="s">
        <v>105</v>
      </c>
      <c r="O149" s="44">
        <v>767.33399999999995</v>
      </c>
    </row>
    <row r="150" spans="1:15" hidden="1" x14ac:dyDescent="0.35">
      <c r="A150" s="9" t="s">
        <v>104</v>
      </c>
      <c r="B150" s="73" t="s">
        <v>9</v>
      </c>
      <c r="C150" s="16" t="s">
        <v>1897</v>
      </c>
      <c r="D150" s="16" t="s">
        <v>105</v>
      </c>
      <c r="E150" s="16" t="s">
        <v>1847</v>
      </c>
      <c r="F150" s="15" t="s">
        <v>105</v>
      </c>
      <c r="G150" s="15" t="s">
        <v>105</v>
      </c>
      <c r="H150" s="19" t="s">
        <v>105</v>
      </c>
      <c r="I150" s="19">
        <v>26</v>
      </c>
      <c r="J150" s="19">
        <f>((PI()*(0.875^2)*18)*16.387)+29+33+28</f>
        <v>799.47637366061838</v>
      </c>
      <c r="K150" s="78" t="s">
        <v>105</v>
      </c>
      <c r="L150" s="78" t="s">
        <v>105</v>
      </c>
      <c r="M150" s="78" t="s">
        <v>105</v>
      </c>
      <c r="N150" s="19" t="s">
        <v>105</v>
      </c>
      <c r="O150" s="42">
        <v>767.33399999999995</v>
      </c>
    </row>
    <row r="151" spans="1:15" hidden="1" x14ac:dyDescent="0.35">
      <c r="A151" s="6" t="s">
        <v>104</v>
      </c>
      <c r="B151" s="72" t="s">
        <v>18</v>
      </c>
      <c r="C151" s="4" t="s">
        <v>1898</v>
      </c>
      <c r="D151" s="4" t="s">
        <v>105</v>
      </c>
      <c r="E151" s="4" t="s">
        <v>1846</v>
      </c>
      <c r="F151" s="21" t="s">
        <v>105</v>
      </c>
      <c r="G151" s="21" t="s">
        <v>105</v>
      </c>
      <c r="H151" s="17" t="s">
        <v>105</v>
      </c>
      <c r="I151" s="17">
        <v>23</v>
      </c>
      <c r="J151" s="17">
        <f>((PI()*(0.875^2)*19.5)*16.387)+30+30+29</f>
        <v>857.5994047990032</v>
      </c>
      <c r="K151" s="18" t="s">
        <v>105</v>
      </c>
      <c r="L151" s="18" t="s">
        <v>105</v>
      </c>
      <c r="M151" s="18" t="s">
        <v>105</v>
      </c>
      <c r="N151" s="17" t="s">
        <v>105</v>
      </c>
      <c r="O151" s="44">
        <v>767.33399999999995</v>
      </c>
    </row>
    <row r="152" spans="1:15" hidden="1" x14ac:dyDescent="0.35">
      <c r="A152" s="9" t="s">
        <v>104</v>
      </c>
      <c r="B152" s="73" t="s">
        <v>25</v>
      </c>
      <c r="C152" s="16" t="s">
        <v>1813</v>
      </c>
      <c r="D152" s="16" t="s">
        <v>105</v>
      </c>
      <c r="E152" s="16" t="s">
        <v>1845</v>
      </c>
      <c r="F152" s="15" t="s">
        <v>105</v>
      </c>
      <c r="G152" s="15" t="s">
        <v>105</v>
      </c>
      <c r="H152" s="19" t="s">
        <v>105</v>
      </c>
      <c r="I152" s="19">
        <v>24.5</v>
      </c>
      <c r="J152" s="19">
        <f>29+21+4</f>
        <v>54</v>
      </c>
      <c r="K152" s="78" t="s">
        <v>105</v>
      </c>
      <c r="L152" s="78" t="s">
        <v>105</v>
      </c>
      <c r="M152" s="78" t="s">
        <v>105</v>
      </c>
      <c r="N152" s="19" t="s">
        <v>105</v>
      </c>
      <c r="O152" s="42">
        <v>767.33399999999995</v>
      </c>
    </row>
    <row r="153" spans="1:15" x14ac:dyDescent="0.35">
      <c r="A153" s="9" t="s">
        <v>104</v>
      </c>
      <c r="B153" s="92" t="s">
        <v>167</v>
      </c>
      <c r="C153" s="16" t="str">
        <f>sensorCalcs!C192</f>
        <v>2015-10-26 15:51</v>
      </c>
      <c r="D153" s="16" t="s">
        <v>2219</v>
      </c>
      <c r="E153" s="16" t="s">
        <v>2218</v>
      </c>
      <c r="F153" s="19">
        <v>39.021511599999997</v>
      </c>
      <c r="G153" s="19">
        <v>-84.096226599999994</v>
      </c>
      <c r="H153" s="19">
        <v>21</v>
      </c>
      <c r="I153" s="19">
        <f>sensorCalcs!G192</f>
        <v>17.605</v>
      </c>
      <c r="J153" s="19">
        <f>27+26+26+140+10</f>
        <v>229</v>
      </c>
      <c r="K153" s="78">
        <f>sensorCalcs!O192</f>
        <v>110.65877749053058</v>
      </c>
      <c r="L153" s="78">
        <f>sensorCalcs!U192</f>
        <v>2.008603463874425</v>
      </c>
      <c r="M153" s="78">
        <f>sensorCalcs!P192</f>
        <v>110.71739254622265</v>
      </c>
      <c r="N153" s="19">
        <f>sensorCalcs!E192</f>
        <v>0.61111000000000004</v>
      </c>
      <c r="O153" s="42">
        <v>767.84199999999998</v>
      </c>
    </row>
    <row r="154" spans="1:15" hidden="1" x14ac:dyDescent="0.35">
      <c r="A154" s="6" t="s">
        <v>104</v>
      </c>
      <c r="B154" s="72" t="s">
        <v>14</v>
      </c>
      <c r="C154" t="s">
        <v>419</v>
      </c>
      <c r="D154" s="4" t="s">
        <v>420</v>
      </c>
      <c r="E154" s="4" t="s">
        <v>421</v>
      </c>
      <c r="F154" s="21" t="s">
        <v>1523</v>
      </c>
      <c r="G154" s="21" t="s">
        <v>1524</v>
      </c>
      <c r="H154" s="17">
        <v>14</v>
      </c>
      <c r="I154" s="17" t="s">
        <v>105</v>
      </c>
      <c r="J154" s="17">
        <f>29+31+29+(140*8)+75</f>
        <v>1284</v>
      </c>
      <c r="K154" s="18">
        <f>sensorCalcs!O63</f>
        <v>375.65471002732909</v>
      </c>
      <c r="L154" s="18">
        <f>sensorCalcs!U63</f>
        <v>5.4092994925081159</v>
      </c>
      <c r="M154" s="18">
        <f>sensorCalcs!P63</f>
        <v>375.75911798865349</v>
      </c>
      <c r="N154" s="60">
        <v>0.30464000000000002</v>
      </c>
      <c r="O154" s="44">
        <v>746.7</v>
      </c>
    </row>
    <row r="155" spans="1:15" hidden="1" x14ac:dyDescent="0.35">
      <c r="A155" s="9" t="s">
        <v>104</v>
      </c>
      <c r="B155" s="73" t="s">
        <v>9</v>
      </c>
      <c r="C155" s="16" t="s">
        <v>1902</v>
      </c>
      <c r="D155" s="16" t="s">
        <v>105</v>
      </c>
      <c r="E155" s="16" t="s">
        <v>1826</v>
      </c>
      <c r="F155" s="15" t="s">
        <v>105</v>
      </c>
      <c r="G155" s="15" t="s">
        <v>105</v>
      </c>
      <c r="H155" s="19" t="s">
        <v>105</v>
      </c>
      <c r="I155" s="19">
        <v>24.5</v>
      </c>
      <c r="J155" s="19">
        <f>((PI()*(0.875^2)*11)*16.387)+29+29+28</f>
        <v>519.56889501482237</v>
      </c>
      <c r="K155" s="78" t="s">
        <v>105</v>
      </c>
      <c r="L155" s="78" t="s">
        <v>105</v>
      </c>
      <c r="M155" s="78" t="s">
        <v>105</v>
      </c>
      <c r="N155" s="19" t="s">
        <v>105</v>
      </c>
      <c r="O155" s="42">
        <v>767.33399999999995</v>
      </c>
    </row>
    <row r="156" spans="1:15" hidden="1" x14ac:dyDescent="0.35">
      <c r="A156" s="6" t="s">
        <v>104</v>
      </c>
      <c r="B156" s="29" t="s">
        <v>14</v>
      </c>
      <c r="C156" s="4" t="str">
        <f>sensorCalcs!C215</f>
        <v>2015-11-19 15:51</v>
      </c>
      <c r="D156" s="4" t="s">
        <v>105</v>
      </c>
      <c r="E156" s="4" t="s">
        <v>2281</v>
      </c>
      <c r="F156" s="17">
        <v>39.026423000000001</v>
      </c>
      <c r="G156" s="17">
        <v>-84.091413000000003</v>
      </c>
      <c r="H156" s="17">
        <v>8</v>
      </c>
      <c r="I156" s="17">
        <f>sensorCalcs!G215</f>
        <v>10.95611111111111</v>
      </c>
      <c r="J156" s="17">
        <f>26+26+26+110</f>
        <v>188</v>
      </c>
      <c r="K156" s="18">
        <f>sensorCalcs!O215</f>
        <v>184.82380337642368</v>
      </c>
      <c r="L156" s="18">
        <f>sensorCalcs!U215</f>
        <v>5.8318975999494347</v>
      </c>
      <c r="M156" s="18">
        <f>sensorCalcs!P215</f>
        <v>397.13863753384692</v>
      </c>
      <c r="N156" s="17">
        <f>sensorCalcs!E215</f>
        <v>0.10989</v>
      </c>
      <c r="O156" s="17">
        <v>754.5</v>
      </c>
    </row>
    <row r="157" spans="1:15" hidden="1" x14ac:dyDescent="0.35">
      <c r="A157" s="9" t="s">
        <v>104</v>
      </c>
      <c r="B157" s="73" t="s">
        <v>18</v>
      </c>
      <c r="C157" s="16" t="s">
        <v>1904</v>
      </c>
      <c r="D157" s="16" t="s">
        <v>105</v>
      </c>
      <c r="E157" s="16" t="s">
        <v>1828</v>
      </c>
      <c r="F157" s="15" t="s">
        <v>105</v>
      </c>
      <c r="G157" s="15" t="s">
        <v>105</v>
      </c>
      <c r="H157" s="19" t="s">
        <v>105</v>
      </c>
      <c r="I157" s="19">
        <v>24.5</v>
      </c>
      <c r="J157" s="19">
        <f>27+27+27+95</f>
        <v>176</v>
      </c>
      <c r="K157" s="78" t="s">
        <v>105</v>
      </c>
      <c r="L157" s="78" t="s">
        <v>105</v>
      </c>
      <c r="M157" s="78" t="s">
        <v>105</v>
      </c>
      <c r="N157" s="19" t="s">
        <v>105</v>
      </c>
      <c r="O157" s="42">
        <v>767.33399999999995</v>
      </c>
    </row>
    <row r="158" spans="1:15" x14ac:dyDescent="0.35">
      <c r="A158" s="6" t="s">
        <v>104</v>
      </c>
      <c r="B158" s="72" t="s">
        <v>167</v>
      </c>
      <c r="C158" s="4" t="str">
        <f>sensorCalcs!C165</f>
        <v>2015-10-05 11:52</v>
      </c>
      <c r="D158" s="4" t="s">
        <v>2090</v>
      </c>
      <c r="E158" s="4" t="s">
        <v>2089</v>
      </c>
      <c r="F158" s="21" t="s">
        <v>2047</v>
      </c>
      <c r="G158" s="21" t="s">
        <v>2048</v>
      </c>
      <c r="H158" s="17">
        <v>22</v>
      </c>
      <c r="I158" s="17">
        <f>sensorCalcs!G165</f>
        <v>20.959999999999997</v>
      </c>
      <c r="J158" s="17">
        <f>26+27+28+(140*4)+40</f>
        <v>681</v>
      </c>
      <c r="K158" s="18">
        <f>sensorCalcs!O165</f>
        <v>110.80179822641928</v>
      </c>
      <c r="L158" s="18">
        <f>sensorCalcs!U165</f>
        <v>1.9785154428949299</v>
      </c>
      <c r="M158" s="18">
        <f>sensorCalcs!P165</f>
        <v>110.86041328211134</v>
      </c>
      <c r="N158" s="17">
        <f>sensorCalcs!E165</f>
        <v>0.60867000000000004</v>
      </c>
      <c r="O158" s="42">
        <v>749.7</v>
      </c>
    </row>
    <row r="159" spans="1:15" hidden="1" x14ac:dyDescent="0.35">
      <c r="A159" s="9" t="s">
        <v>104</v>
      </c>
      <c r="B159" s="73" t="s">
        <v>9</v>
      </c>
      <c r="C159" s="16" t="s">
        <v>1906</v>
      </c>
      <c r="D159" s="16" t="s">
        <v>105</v>
      </c>
      <c r="E159" s="16" t="s">
        <v>1830</v>
      </c>
      <c r="F159" s="15" t="s">
        <v>105</v>
      </c>
      <c r="G159" s="15" t="s">
        <v>105</v>
      </c>
      <c r="H159" s="19" t="s">
        <v>105</v>
      </c>
      <c r="I159" s="19">
        <v>25.5</v>
      </c>
      <c r="J159" s="19">
        <f>27+28+28+27+12</f>
        <v>122</v>
      </c>
      <c r="K159" s="78" t="s">
        <v>105</v>
      </c>
      <c r="L159" s="78" t="s">
        <v>105</v>
      </c>
      <c r="M159" s="78" t="s">
        <v>105</v>
      </c>
      <c r="N159" s="19" t="s">
        <v>105</v>
      </c>
      <c r="O159" s="42">
        <v>767.33399999999995</v>
      </c>
    </row>
    <row r="160" spans="1:15" hidden="1" x14ac:dyDescent="0.35">
      <c r="A160" s="9" t="s">
        <v>104</v>
      </c>
      <c r="B160" s="70" t="s">
        <v>14</v>
      </c>
      <c r="C160" s="20" t="s">
        <v>714</v>
      </c>
      <c r="D160" s="16" t="s">
        <v>483</v>
      </c>
      <c r="E160" s="16" t="s">
        <v>484</v>
      </c>
      <c r="F160" s="15" t="s">
        <v>1572</v>
      </c>
      <c r="G160" s="15" t="s">
        <v>1573</v>
      </c>
      <c r="H160" s="19">
        <v>11</v>
      </c>
      <c r="I160" s="17" t="s">
        <v>105</v>
      </c>
      <c r="J160" s="19">
        <f>27+27+27+(140*12)+125+65</f>
        <v>1951</v>
      </c>
      <c r="K160" s="78">
        <f>sensorCalcs!O90</f>
        <v>382.02873048588606</v>
      </c>
      <c r="L160" s="78">
        <f>sensorCalcs!U90</f>
        <v>5.3783346472470948</v>
      </c>
      <c r="M160" s="78">
        <f>sensorCalcs!P90</f>
        <v>382.1331384472104</v>
      </c>
      <c r="N160" s="59" t="str">
        <f>sensorCalcs!E90</f>
        <v>0.26740</v>
      </c>
      <c r="O160" s="42" t="str">
        <f>sensorCalcs!I90</f>
        <v>749</v>
      </c>
    </row>
    <row r="161" spans="1:15" hidden="1" x14ac:dyDescent="0.35">
      <c r="A161" s="9" t="s">
        <v>104</v>
      </c>
      <c r="B161" s="73" t="s">
        <v>18</v>
      </c>
      <c r="C161" s="16" t="s">
        <v>1819</v>
      </c>
      <c r="D161" s="16" t="s">
        <v>105</v>
      </c>
      <c r="E161" s="16" t="s">
        <v>1832</v>
      </c>
      <c r="F161" s="15" t="s">
        <v>105</v>
      </c>
      <c r="G161" s="15" t="s">
        <v>105</v>
      </c>
      <c r="H161" s="19" t="s">
        <v>105</v>
      </c>
      <c r="I161" s="19">
        <v>25</v>
      </c>
      <c r="J161" s="19">
        <f>29+29+28+10</f>
        <v>96</v>
      </c>
      <c r="K161" s="78" t="s">
        <v>105</v>
      </c>
      <c r="L161" s="78" t="s">
        <v>105</v>
      </c>
      <c r="M161" s="78" t="s">
        <v>105</v>
      </c>
      <c r="N161" s="19" t="s">
        <v>105</v>
      </c>
      <c r="O161" s="42">
        <v>767.33399999999995</v>
      </c>
    </row>
    <row r="162" spans="1:15" hidden="1" x14ac:dyDescent="0.35">
      <c r="A162" s="6" t="s">
        <v>104</v>
      </c>
      <c r="B162" s="72" t="s">
        <v>25</v>
      </c>
      <c r="C162" s="4" t="s">
        <v>1844</v>
      </c>
      <c r="D162" s="4" t="s">
        <v>105</v>
      </c>
      <c r="E162" s="4" t="s">
        <v>1833</v>
      </c>
      <c r="F162" s="21" t="s">
        <v>105</v>
      </c>
      <c r="G162" s="21" t="s">
        <v>105</v>
      </c>
      <c r="H162" s="17" t="s">
        <v>105</v>
      </c>
      <c r="I162" s="17">
        <v>25</v>
      </c>
      <c r="J162" s="17">
        <f>21+28+27+10</f>
        <v>86</v>
      </c>
      <c r="K162" s="18" t="s">
        <v>105</v>
      </c>
      <c r="L162" s="18" t="s">
        <v>105</v>
      </c>
      <c r="M162" s="18" t="s">
        <v>105</v>
      </c>
      <c r="N162" s="17" t="s">
        <v>105</v>
      </c>
      <c r="O162" s="44">
        <v>767.33399999999995</v>
      </c>
    </row>
    <row r="163" spans="1:15" x14ac:dyDescent="0.35">
      <c r="A163" s="9" t="s">
        <v>104</v>
      </c>
      <c r="B163" s="73" t="s">
        <v>167</v>
      </c>
      <c r="C163" s="16" t="str">
        <f>sensorCalcs!C174</f>
        <v>2015-10-14 15:02</v>
      </c>
      <c r="D163" s="16" t="s">
        <v>2159</v>
      </c>
      <c r="E163" s="16" t="s">
        <v>2112</v>
      </c>
      <c r="F163" s="15" t="s">
        <v>2063</v>
      </c>
      <c r="G163" s="15" t="s">
        <v>2064</v>
      </c>
      <c r="H163" s="19">
        <v>24</v>
      </c>
      <c r="I163" s="19">
        <f>sensorCalcs!G174</f>
        <v>19.03222222222222</v>
      </c>
      <c r="J163" s="19">
        <f>25+25+25+140+140+100</f>
        <v>455</v>
      </c>
      <c r="K163" s="78">
        <f>sensorCalcs!O174</f>
        <v>111.33871213655877</v>
      </c>
      <c r="L163" s="78">
        <f>sensorCalcs!U174</f>
        <v>1.9939524751818676</v>
      </c>
      <c r="M163" s="78">
        <f>sensorCalcs!P174</f>
        <v>111.39732719225084</v>
      </c>
      <c r="N163" s="19">
        <f>sensorCalcs!E174</f>
        <v>0.59950999999999999</v>
      </c>
      <c r="O163" s="44">
        <v>758.7</v>
      </c>
    </row>
    <row r="164" spans="1:15" hidden="1" x14ac:dyDescent="0.35">
      <c r="A164" s="6" t="s">
        <v>104</v>
      </c>
      <c r="B164" s="72" t="s">
        <v>26</v>
      </c>
      <c r="C164" s="4" t="s">
        <v>1909</v>
      </c>
      <c r="D164" s="4" t="s">
        <v>105</v>
      </c>
      <c r="E164" s="4" t="s">
        <v>1835</v>
      </c>
      <c r="F164" s="21" t="s">
        <v>105</v>
      </c>
      <c r="G164" s="21" t="s">
        <v>105</v>
      </c>
      <c r="H164" s="17" t="s">
        <v>105</v>
      </c>
      <c r="I164" s="17">
        <v>24.3</v>
      </c>
      <c r="J164" s="17">
        <f>(140*5)+15+28+27+27</f>
        <v>797</v>
      </c>
      <c r="K164" s="18" t="s">
        <v>105</v>
      </c>
      <c r="L164" s="18" t="s">
        <v>105</v>
      </c>
      <c r="M164" s="18" t="s">
        <v>105</v>
      </c>
      <c r="N164" s="17" t="s">
        <v>105</v>
      </c>
      <c r="O164" s="44">
        <v>769.87399999999991</v>
      </c>
    </row>
    <row r="165" spans="1:15" hidden="1" x14ac:dyDescent="0.35">
      <c r="A165" s="9" t="s">
        <v>104</v>
      </c>
      <c r="B165" s="92" t="s">
        <v>69</v>
      </c>
      <c r="C165" s="16" t="str">
        <f>sensorCalcs!C212</f>
        <v>2015-11-12 22:04</v>
      </c>
      <c r="D165" s="16" t="s">
        <v>2255</v>
      </c>
      <c r="E165" s="16" t="s">
        <v>2277</v>
      </c>
      <c r="F165" s="19">
        <v>39.019309999999997</v>
      </c>
      <c r="G165" s="19">
        <v>-84.129558000000003</v>
      </c>
      <c r="H165" s="19">
        <v>64</v>
      </c>
      <c r="I165" s="19">
        <f>sensorCalcs!G212</f>
        <v>14.481111111111112</v>
      </c>
      <c r="J165" s="19">
        <f>28+30+29+140+3</f>
        <v>230</v>
      </c>
      <c r="K165" s="78">
        <f>sensorCalcs!O212</f>
        <v>122.60185777734017</v>
      </c>
      <c r="L165" s="78">
        <f>sensorCalcs!U212</f>
        <v>2.0389914142739909</v>
      </c>
      <c r="M165" s="78">
        <f>sensorCalcs!P212</f>
        <v>122.65812038932555</v>
      </c>
      <c r="N165" s="19">
        <f>sensorCalcs!E212</f>
        <v>0.31990000000000002</v>
      </c>
      <c r="O165" s="19">
        <v>751.1</v>
      </c>
    </row>
    <row r="166" spans="1:15" hidden="1" x14ac:dyDescent="0.35">
      <c r="A166" s="6" t="s">
        <v>104</v>
      </c>
      <c r="B166" s="72" t="s">
        <v>64</v>
      </c>
      <c r="C166" s="4" t="s">
        <v>1911</v>
      </c>
      <c r="D166" s="4" t="s">
        <v>105</v>
      </c>
      <c r="E166" s="4" t="s">
        <v>1837</v>
      </c>
      <c r="F166" s="21" t="s">
        <v>105</v>
      </c>
      <c r="G166" s="21" t="s">
        <v>105</v>
      </c>
      <c r="H166" s="17" t="s">
        <v>105</v>
      </c>
      <c r="I166" s="17">
        <v>24.3</v>
      </c>
      <c r="J166" s="17">
        <f>27.5+28+28+58</f>
        <v>141.5</v>
      </c>
      <c r="K166" s="18" t="s">
        <v>105</v>
      </c>
      <c r="L166" s="18" t="s">
        <v>105</v>
      </c>
      <c r="M166" s="18" t="s">
        <v>105</v>
      </c>
      <c r="N166" s="17" t="s">
        <v>105</v>
      </c>
      <c r="O166" s="44">
        <v>769.87399999999991</v>
      </c>
    </row>
    <row r="167" spans="1:15" hidden="1" x14ac:dyDescent="0.35">
      <c r="A167" s="9" t="s">
        <v>104</v>
      </c>
      <c r="B167" s="73" t="s">
        <v>60</v>
      </c>
      <c r="C167" s="16" t="s">
        <v>1912</v>
      </c>
      <c r="D167" s="16" t="s">
        <v>105</v>
      </c>
      <c r="E167" s="16" t="s">
        <v>1838</v>
      </c>
      <c r="F167" s="15" t="s">
        <v>105</v>
      </c>
      <c r="G167" s="15" t="s">
        <v>105</v>
      </c>
      <c r="H167" s="19" t="s">
        <v>105</v>
      </c>
      <c r="I167" s="19">
        <v>24.4</v>
      </c>
      <c r="J167" s="19">
        <f>140+55+27+27+28</f>
        <v>277</v>
      </c>
      <c r="K167" s="78" t="s">
        <v>105</v>
      </c>
      <c r="L167" s="78" t="s">
        <v>105</v>
      </c>
      <c r="M167" s="78" t="s">
        <v>105</v>
      </c>
      <c r="N167" s="19" t="s">
        <v>105</v>
      </c>
      <c r="O167" s="42">
        <v>769.87399999999991</v>
      </c>
    </row>
    <row r="168" spans="1:15" hidden="1" x14ac:dyDescent="0.35">
      <c r="A168" s="6" t="s">
        <v>104</v>
      </c>
      <c r="B168" s="72" t="s">
        <v>69</v>
      </c>
      <c r="C168" s="4" t="str">
        <f>sensorCalcs!C167</f>
        <v>2015-10-08 13:10</v>
      </c>
      <c r="D168" s="4" t="s">
        <v>2096</v>
      </c>
      <c r="E168" s="4" t="s">
        <v>2095</v>
      </c>
      <c r="F168" s="21" t="s">
        <v>2051</v>
      </c>
      <c r="G168" s="21" t="s">
        <v>2052</v>
      </c>
      <c r="H168" s="17">
        <v>68</v>
      </c>
      <c r="I168" s="17">
        <f>sensorCalcs!G167</f>
        <v>20.055000000000003</v>
      </c>
      <c r="J168" s="17">
        <f>27+26+26+140+140+85</f>
        <v>444</v>
      </c>
      <c r="K168" s="18">
        <f>sensorCalcs!O167</f>
        <v>126.20829120560299</v>
      </c>
      <c r="L168" s="18">
        <f>sensorCalcs!U167</f>
        <v>1.986244693422258</v>
      </c>
      <c r="M168" s="18">
        <f>sensorCalcs!P167</f>
        <v>126.26455381758838</v>
      </c>
      <c r="N168" s="17">
        <f>sensorCalcs!E167</f>
        <v>0.25580000000000003</v>
      </c>
      <c r="O168" s="42">
        <v>755.7</v>
      </c>
    </row>
    <row r="169" spans="1:15" hidden="1" x14ac:dyDescent="0.35">
      <c r="A169" s="9" t="s">
        <v>104</v>
      </c>
      <c r="B169" s="73" t="s">
        <v>64</v>
      </c>
      <c r="C169" s="16" t="s">
        <v>1914</v>
      </c>
      <c r="D169" s="16" t="s">
        <v>105</v>
      </c>
      <c r="E169" s="16" t="s">
        <v>1840</v>
      </c>
      <c r="F169" s="15" t="s">
        <v>105</v>
      </c>
      <c r="G169" s="15" t="s">
        <v>105</v>
      </c>
      <c r="H169" s="19" t="s">
        <v>105</v>
      </c>
      <c r="I169" s="19">
        <v>26.9</v>
      </c>
      <c r="J169" s="19">
        <v>20</v>
      </c>
      <c r="K169" s="78" t="s">
        <v>105</v>
      </c>
      <c r="L169" s="78" t="s">
        <v>105</v>
      </c>
      <c r="M169" s="78" t="s">
        <v>105</v>
      </c>
      <c r="N169" s="19" t="s">
        <v>105</v>
      </c>
      <c r="O169" s="42">
        <v>769.87399999999991</v>
      </c>
    </row>
    <row r="170" spans="1:15" hidden="1" x14ac:dyDescent="0.35">
      <c r="A170" s="6" t="s">
        <v>104</v>
      </c>
      <c r="B170" s="72" t="s">
        <v>60</v>
      </c>
      <c r="C170" s="4" t="s">
        <v>1915</v>
      </c>
      <c r="D170" s="4" t="s">
        <v>105</v>
      </c>
      <c r="E170" s="4" t="s">
        <v>1841</v>
      </c>
      <c r="F170" s="21" t="s">
        <v>105</v>
      </c>
      <c r="G170" s="21" t="s">
        <v>105</v>
      </c>
      <c r="H170" s="17" t="s">
        <v>105</v>
      </c>
      <c r="I170" s="17">
        <v>26.4</v>
      </c>
      <c r="J170" s="17">
        <f>27+28+10</f>
        <v>65</v>
      </c>
      <c r="K170" s="18" t="s">
        <v>105</v>
      </c>
      <c r="L170" s="18" t="s">
        <v>105</v>
      </c>
      <c r="M170" s="18" t="s">
        <v>105</v>
      </c>
      <c r="N170" s="17" t="s">
        <v>105</v>
      </c>
      <c r="O170" s="44">
        <v>769.87399999999991</v>
      </c>
    </row>
    <row r="171" spans="1:15" hidden="1" x14ac:dyDescent="0.35">
      <c r="A171" s="9" t="s">
        <v>104</v>
      </c>
      <c r="B171" s="73" t="s">
        <v>9</v>
      </c>
      <c r="C171" s="16" t="s">
        <v>1916</v>
      </c>
      <c r="D171" s="16" t="s">
        <v>105</v>
      </c>
      <c r="E171" s="16" t="s">
        <v>1842</v>
      </c>
      <c r="F171" s="15" t="s">
        <v>105</v>
      </c>
      <c r="G171" s="15" t="s">
        <v>105</v>
      </c>
      <c r="H171" s="19" t="s">
        <v>105</v>
      </c>
      <c r="I171" s="19">
        <v>22</v>
      </c>
      <c r="J171" s="19">
        <f>140+63+26.5+27.5+27</f>
        <v>284</v>
      </c>
      <c r="K171" s="78" t="s">
        <v>105</v>
      </c>
      <c r="L171" s="78" t="s">
        <v>105</v>
      </c>
      <c r="M171" s="78" t="s">
        <v>105</v>
      </c>
      <c r="N171" s="19" t="s">
        <v>105</v>
      </c>
      <c r="O171" s="42">
        <v>769.87399999999991</v>
      </c>
    </row>
    <row r="172" spans="1:15" hidden="1" x14ac:dyDescent="0.35">
      <c r="A172" s="6" t="s">
        <v>104</v>
      </c>
      <c r="B172" s="72" t="s">
        <v>14</v>
      </c>
      <c r="C172" s="4" t="s">
        <v>1870</v>
      </c>
      <c r="D172" s="4" t="s">
        <v>105</v>
      </c>
      <c r="E172" s="4" t="s">
        <v>1811</v>
      </c>
      <c r="F172" s="21" t="s">
        <v>1648</v>
      </c>
      <c r="G172" s="21" t="s">
        <v>1649</v>
      </c>
      <c r="H172" s="17">
        <v>12</v>
      </c>
      <c r="I172" s="17">
        <v>25.5</v>
      </c>
      <c r="J172" s="17">
        <f>((PI()*(0.875^2)*17.75)*16.387)+26+27+27.5</f>
        <v>780.12253513755434</v>
      </c>
      <c r="K172" s="18" t="s">
        <v>105</v>
      </c>
      <c r="L172" s="18" t="s">
        <v>105</v>
      </c>
      <c r="M172" s="18" t="s">
        <v>105</v>
      </c>
      <c r="N172" s="17" t="s">
        <v>105</v>
      </c>
      <c r="O172" s="27">
        <v>763.01600000000008</v>
      </c>
    </row>
    <row r="173" spans="1:15" hidden="1" x14ac:dyDescent="0.35">
      <c r="A173" s="9" t="s">
        <v>104</v>
      </c>
      <c r="B173" s="73" t="s">
        <v>18</v>
      </c>
      <c r="C173" s="16" t="s">
        <v>1823</v>
      </c>
      <c r="D173" s="16" t="s">
        <v>105</v>
      </c>
      <c r="E173" s="16" t="s">
        <v>1848</v>
      </c>
      <c r="F173" s="15" t="s">
        <v>105</v>
      </c>
      <c r="G173" s="15" t="s">
        <v>105</v>
      </c>
      <c r="H173" s="19" t="s">
        <v>105</v>
      </c>
      <c r="I173" s="19">
        <v>23</v>
      </c>
      <c r="J173" s="19">
        <f>((PI()*(0.875^2)*43.25)*16.387)+27+28+28</f>
        <v>1787.7140644900969</v>
      </c>
      <c r="K173" s="78" t="s">
        <v>105</v>
      </c>
      <c r="L173" s="78" t="s">
        <v>105</v>
      </c>
      <c r="M173" s="78" t="s">
        <v>105</v>
      </c>
      <c r="N173" s="19" t="s">
        <v>105</v>
      </c>
      <c r="O173" s="42">
        <v>769.87399999999991</v>
      </c>
    </row>
    <row r="174" spans="1:15" hidden="1" x14ac:dyDescent="0.35">
      <c r="A174" s="6" t="s">
        <v>104</v>
      </c>
      <c r="B174" s="72" t="s">
        <v>25</v>
      </c>
      <c r="C174" s="4" t="s">
        <v>1919</v>
      </c>
      <c r="D174" s="4" t="s">
        <v>105</v>
      </c>
      <c r="E174" s="4" t="s">
        <v>1849</v>
      </c>
      <c r="F174" s="21" t="s">
        <v>105</v>
      </c>
      <c r="G174" s="21" t="s">
        <v>105</v>
      </c>
      <c r="H174" s="17" t="s">
        <v>105</v>
      </c>
      <c r="I174" s="17">
        <v>24</v>
      </c>
      <c r="J174" s="17">
        <f>140+31+5+27+29+27</f>
        <v>259</v>
      </c>
      <c r="K174" s="18" t="s">
        <v>105</v>
      </c>
      <c r="L174" s="18" t="s">
        <v>105</v>
      </c>
      <c r="M174" s="18" t="s">
        <v>105</v>
      </c>
      <c r="N174" s="17" t="s">
        <v>105</v>
      </c>
      <c r="O174" s="44">
        <v>769.87399999999991</v>
      </c>
    </row>
    <row r="175" spans="1:15" x14ac:dyDescent="0.35">
      <c r="A175" s="6" t="s">
        <v>104</v>
      </c>
      <c r="B175" s="29" t="s">
        <v>167</v>
      </c>
      <c r="C175" s="4" t="str">
        <f>sensorCalcs!C217</f>
        <v>2015-11-19 13:43</v>
      </c>
      <c r="D175" s="4" t="s">
        <v>105</v>
      </c>
      <c r="E175" s="4" t="s">
        <v>2285</v>
      </c>
      <c r="F175" s="17">
        <v>39.021701</v>
      </c>
      <c r="G175" s="17">
        <v>-84.095935999999995</v>
      </c>
      <c r="H175" s="17">
        <v>14</v>
      </c>
      <c r="I175" s="17">
        <f>sensorCalcs!G217</f>
        <v>12.29222222222222</v>
      </c>
      <c r="J175" s="17">
        <v>5</v>
      </c>
      <c r="K175" s="18">
        <f>sensorCalcs!O217</f>
        <v>2.3258454098619339</v>
      </c>
      <c r="L175" s="18">
        <f>sensorCalcs!U217</f>
        <v>2.0395415234493188</v>
      </c>
      <c r="M175" s="18">
        <f>sensorCalcs!P217</f>
        <v>115.33332818197437</v>
      </c>
      <c r="N175" s="17">
        <f>sensorCalcs!E217</f>
        <v>0.53236000000000006</v>
      </c>
      <c r="O175" s="17">
        <v>754.5</v>
      </c>
    </row>
    <row r="176" spans="1:15" hidden="1" x14ac:dyDescent="0.35">
      <c r="A176" s="6" t="s">
        <v>104</v>
      </c>
      <c r="B176" s="72" t="s">
        <v>9</v>
      </c>
      <c r="C176" s="4" t="s">
        <v>1921</v>
      </c>
      <c r="D176" s="4" t="s">
        <v>105</v>
      </c>
      <c r="E176" s="4" t="s">
        <v>1851</v>
      </c>
      <c r="F176" s="21" t="s">
        <v>105</v>
      </c>
      <c r="G176" s="21" t="s">
        <v>105</v>
      </c>
      <c r="H176" s="17" t="s">
        <v>105</v>
      </c>
      <c r="I176" s="17">
        <v>26</v>
      </c>
      <c r="J176" s="17">
        <f>26+10+27</f>
        <v>63</v>
      </c>
      <c r="K176" s="18" t="s">
        <v>105</v>
      </c>
      <c r="L176" s="18" t="s">
        <v>105</v>
      </c>
      <c r="M176" s="18" t="s">
        <v>105</v>
      </c>
      <c r="N176" s="17" t="s">
        <v>105</v>
      </c>
      <c r="O176" s="44">
        <v>769.87399999999991</v>
      </c>
    </row>
    <row r="177" spans="1:15" hidden="1" x14ac:dyDescent="0.35">
      <c r="A177" s="9" t="s">
        <v>104</v>
      </c>
      <c r="B177" s="70" t="s">
        <v>14</v>
      </c>
      <c r="C177" s="20" t="s">
        <v>462</v>
      </c>
      <c r="D177" s="16" t="s">
        <v>463</v>
      </c>
      <c r="E177" s="16" t="s">
        <v>464</v>
      </c>
      <c r="F177" s="15" t="s">
        <v>1512</v>
      </c>
      <c r="G177" s="15" t="s">
        <v>1511</v>
      </c>
      <c r="H177" s="11">
        <v>18</v>
      </c>
      <c r="I177" s="17" t="s">
        <v>105</v>
      </c>
      <c r="J177" s="11">
        <f>27+29+28+140+140+140+140+62</f>
        <v>706</v>
      </c>
      <c r="K177" s="78">
        <f>sensorCalcs!O44</f>
        <v>368.23489834960515</v>
      </c>
      <c r="L177" s="78">
        <f>sensorCalcs!U44</f>
        <v>5.5092475099601321</v>
      </c>
      <c r="M177" s="78">
        <f>sensorCalcs!P44</f>
        <v>368.33930631092943</v>
      </c>
      <c r="N177" s="59">
        <v>0.34799000000000002</v>
      </c>
      <c r="O177" s="43">
        <v>746.2</v>
      </c>
    </row>
    <row r="178" spans="1:15" hidden="1" x14ac:dyDescent="0.35">
      <c r="A178" s="6" t="s">
        <v>104</v>
      </c>
      <c r="B178" s="72" t="s">
        <v>18</v>
      </c>
      <c r="C178" s="4" t="s">
        <v>1848</v>
      </c>
      <c r="D178" s="4" t="s">
        <v>105</v>
      </c>
      <c r="E178" s="4" t="s">
        <v>1853</v>
      </c>
      <c r="F178" s="21" t="s">
        <v>105</v>
      </c>
      <c r="G178" s="21" t="s">
        <v>105</v>
      </c>
      <c r="H178" s="17" t="s">
        <v>105</v>
      </c>
      <c r="I178" s="17">
        <v>25</v>
      </c>
      <c r="J178" s="17">
        <f>140+16+16+28+27+27</f>
        <v>254</v>
      </c>
      <c r="K178" s="18" t="s">
        <v>105</v>
      </c>
      <c r="L178" s="18" t="s">
        <v>105</v>
      </c>
      <c r="M178" s="18" t="s">
        <v>105</v>
      </c>
      <c r="N178" s="17" t="s">
        <v>105</v>
      </c>
      <c r="O178" s="44">
        <v>769.87399999999991</v>
      </c>
    </row>
    <row r="179" spans="1:15" hidden="1" x14ac:dyDescent="0.35">
      <c r="A179" s="9" t="s">
        <v>104</v>
      </c>
      <c r="B179" s="73" t="s">
        <v>25</v>
      </c>
      <c r="C179" s="16" t="s">
        <v>1923</v>
      </c>
      <c r="D179" s="16" t="s">
        <v>105</v>
      </c>
      <c r="E179" s="16" t="s">
        <v>1854</v>
      </c>
      <c r="F179" s="15" t="s">
        <v>105</v>
      </c>
      <c r="G179" s="15" t="s">
        <v>105</v>
      </c>
      <c r="H179" s="19" t="s">
        <v>105</v>
      </c>
      <c r="I179" s="19">
        <v>25</v>
      </c>
      <c r="J179" s="19">
        <f>27.5+7</f>
        <v>34.5</v>
      </c>
      <c r="K179" s="78" t="s">
        <v>105</v>
      </c>
      <c r="L179" s="78" t="s">
        <v>105</v>
      </c>
      <c r="M179" s="78" t="s">
        <v>105</v>
      </c>
      <c r="N179" s="19" t="s">
        <v>105</v>
      </c>
      <c r="O179" s="42">
        <v>769.87399999999991</v>
      </c>
    </row>
    <row r="180" spans="1:15" hidden="1" x14ac:dyDescent="0.35">
      <c r="A180" s="6" t="s">
        <v>104</v>
      </c>
      <c r="B180" s="72" t="s">
        <v>26</v>
      </c>
      <c r="C180" s="4" t="s">
        <v>1900</v>
      </c>
      <c r="D180" s="4" t="s">
        <v>105</v>
      </c>
      <c r="E180" s="4" t="s">
        <v>1855</v>
      </c>
      <c r="F180" s="21" t="s">
        <v>105</v>
      </c>
      <c r="G180" s="21" t="s">
        <v>105</v>
      </c>
      <c r="H180" s="17" t="s">
        <v>105</v>
      </c>
      <c r="I180" s="17">
        <v>25</v>
      </c>
      <c r="J180" s="17">
        <f>50+27+27+27.5</f>
        <v>131.5</v>
      </c>
      <c r="K180" s="18" t="s">
        <v>105</v>
      </c>
      <c r="L180" s="18" t="s">
        <v>105</v>
      </c>
      <c r="M180" s="18" t="s">
        <v>105</v>
      </c>
      <c r="N180" s="17" t="s">
        <v>105</v>
      </c>
      <c r="O180" s="44">
        <v>769.87399999999991</v>
      </c>
    </row>
    <row r="181" spans="1:15" x14ac:dyDescent="0.35">
      <c r="A181" s="9" t="s">
        <v>104</v>
      </c>
      <c r="B181" s="92" t="s">
        <v>167</v>
      </c>
      <c r="C181" s="16" t="str">
        <f>sensorCalcs!C230</f>
        <v>2015-11-25 12:22</v>
      </c>
      <c r="D181" s="16" t="s">
        <v>105</v>
      </c>
      <c r="E181" s="16" t="s">
        <v>2357</v>
      </c>
      <c r="F181" s="19">
        <v>39.021630000000002</v>
      </c>
      <c r="G181" s="19">
        <v>-84.095855999999998</v>
      </c>
      <c r="H181" s="19" t="s">
        <v>105</v>
      </c>
      <c r="I181" s="19">
        <f>sensorCalcs!G230</f>
        <v>11.588888888888889</v>
      </c>
      <c r="J181" s="19">
        <f>24+14</f>
        <v>38</v>
      </c>
      <c r="K181" s="78" t="str">
        <f>sensorCalcs!O230</f>
        <v>NA</v>
      </c>
      <c r="L181" s="78" t="str">
        <f>sensorCalcs!U230</f>
        <v>NA</v>
      </c>
      <c r="M181" s="78">
        <f>sensorCalcs!P230</f>
        <v>114.18857614430794</v>
      </c>
      <c r="N181" s="19">
        <f>sensorCalcs!E230</f>
        <v>0.55188999999999999</v>
      </c>
      <c r="O181" s="42">
        <v>736.2</v>
      </c>
    </row>
    <row r="182" spans="1:15" hidden="1" x14ac:dyDescent="0.35">
      <c r="A182" s="6" t="s">
        <v>104</v>
      </c>
      <c r="B182" s="72" t="s">
        <v>60</v>
      </c>
      <c r="C182" s="4" t="s">
        <v>1917</v>
      </c>
      <c r="D182" s="4" t="s">
        <v>105</v>
      </c>
      <c r="E182" s="4" t="s">
        <v>1927</v>
      </c>
      <c r="F182" s="21" t="s">
        <v>1633</v>
      </c>
      <c r="G182" s="21" t="s">
        <v>1616</v>
      </c>
      <c r="H182" s="17" t="s">
        <v>105</v>
      </c>
      <c r="I182" s="17">
        <v>26.720000000000002</v>
      </c>
      <c r="J182" s="17">
        <f>27.5+25.5+28</f>
        <v>81</v>
      </c>
      <c r="K182" s="18" t="s">
        <v>105</v>
      </c>
      <c r="L182" s="18" t="s">
        <v>105</v>
      </c>
      <c r="M182" s="18" t="s">
        <v>105</v>
      </c>
      <c r="N182" s="17" t="s">
        <v>105</v>
      </c>
      <c r="O182" s="44">
        <v>769.62</v>
      </c>
    </row>
    <row r="183" spans="1:15" hidden="1" x14ac:dyDescent="0.35">
      <c r="A183" s="9" t="s">
        <v>104</v>
      </c>
      <c r="B183" s="73" t="s">
        <v>64</v>
      </c>
      <c r="C183" s="16" t="str">
        <f>sensorCalcs!C127</f>
        <v>2015-09-15 14:54</v>
      </c>
      <c r="D183" s="16" t="s">
        <v>105</v>
      </c>
      <c r="E183" s="16" t="s">
        <v>1929</v>
      </c>
      <c r="F183" s="15" t="s">
        <v>1617</v>
      </c>
      <c r="G183" s="15" t="s">
        <v>1618</v>
      </c>
      <c r="H183" s="19" t="s">
        <v>105</v>
      </c>
      <c r="I183" s="19">
        <f>sensorCalcs!G127</f>
        <v>24.555555555555557</v>
      </c>
      <c r="J183" s="19">
        <f>47+28+26+27.5</f>
        <v>128.5</v>
      </c>
      <c r="K183" s="78">
        <f>sensorCalcs!O127</f>
        <v>119.72628940135571</v>
      </c>
      <c r="L183" s="78">
        <f>sensorCalcs!U127</f>
        <v>1.9435142097287832</v>
      </c>
      <c r="M183" s="78">
        <f>sensorCalcs!P127</f>
        <v>144.60803159682936</v>
      </c>
      <c r="N183" s="19">
        <f>sensorCalcs!E127</f>
        <v>0.10501000000000001</v>
      </c>
      <c r="O183" s="42">
        <v>769.62</v>
      </c>
    </row>
    <row r="184" spans="1:15" hidden="1" x14ac:dyDescent="0.35">
      <c r="A184" s="6" t="s">
        <v>104</v>
      </c>
      <c r="B184" s="71" t="s">
        <v>69</v>
      </c>
      <c r="C184" t="s">
        <v>241</v>
      </c>
      <c r="D184" s="4" t="s">
        <v>105</v>
      </c>
      <c r="E184" s="4" t="s">
        <v>307</v>
      </c>
      <c r="F184" s="21" t="s">
        <v>105</v>
      </c>
      <c r="G184" s="21" t="s">
        <v>105</v>
      </c>
      <c r="H184" s="8" t="s">
        <v>112</v>
      </c>
      <c r="I184" s="17" t="s">
        <v>105</v>
      </c>
      <c r="J184" s="13">
        <v>61</v>
      </c>
      <c r="K184" s="89">
        <f>sensorCalcs!O25</f>
        <v>56.632392611636455</v>
      </c>
      <c r="L184" s="89">
        <f>sensorCalcs!U25</f>
        <v>1.9501761256959353</v>
      </c>
      <c r="M184" s="89">
        <f>sensorCalcs!P25</f>
        <v>121.71576084596558</v>
      </c>
      <c r="N184" s="58" t="str">
        <f>sensorCalcs!E25</f>
        <v>0.38095</v>
      </c>
      <c r="O184" s="44">
        <v>763.77799999999991</v>
      </c>
    </row>
    <row r="185" spans="1:15" hidden="1" x14ac:dyDescent="0.35">
      <c r="A185" s="9" t="s">
        <v>104</v>
      </c>
      <c r="B185" s="73" t="s">
        <v>26</v>
      </c>
      <c r="C185" s="16" t="s">
        <v>1925</v>
      </c>
      <c r="D185" s="16" t="s">
        <v>105</v>
      </c>
      <c r="E185" s="16" t="s">
        <v>1857</v>
      </c>
      <c r="F185" s="15" t="s">
        <v>105</v>
      </c>
      <c r="G185" s="15" t="s">
        <v>105</v>
      </c>
      <c r="H185" s="19" t="s">
        <v>105</v>
      </c>
      <c r="I185" s="19">
        <v>23</v>
      </c>
      <c r="J185" s="19">
        <f>140+140+92+28+26.5+28</f>
        <v>454.5</v>
      </c>
      <c r="K185" s="78" t="s">
        <v>105</v>
      </c>
      <c r="L185" s="78" t="s">
        <v>105</v>
      </c>
      <c r="M185" s="78" t="s">
        <v>105</v>
      </c>
      <c r="N185" s="19" t="s">
        <v>105</v>
      </c>
      <c r="O185" s="42">
        <v>769.62</v>
      </c>
    </row>
    <row r="186" spans="1:15" hidden="1" x14ac:dyDescent="0.35">
      <c r="A186" s="6" t="s">
        <v>104</v>
      </c>
      <c r="B186" s="72" t="s">
        <v>25</v>
      </c>
      <c r="C186" s="4" t="s">
        <v>1855</v>
      </c>
      <c r="D186" s="4" t="s">
        <v>105</v>
      </c>
      <c r="E186" s="4" t="s">
        <v>1858</v>
      </c>
      <c r="F186" s="21" t="s">
        <v>105</v>
      </c>
      <c r="G186" s="21" t="s">
        <v>105</v>
      </c>
      <c r="H186" s="17" t="s">
        <v>105</v>
      </c>
      <c r="I186" s="17">
        <v>24</v>
      </c>
      <c r="J186" s="17">
        <f>33+24.5+25.5+26</f>
        <v>109</v>
      </c>
      <c r="K186" s="18" t="s">
        <v>105</v>
      </c>
      <c r="L186" s="18" t="s">
        <v>105</v>
      </c>
      <c r="M186" s="18" t="s">
        <v>105</v>
      </c>
      <c r="N186" s="17" t="s">
        <v>105</v>
      </c>
      <c r="O186" s="44">
        <v>769.62</v>
      </c>
    </row>
    <row r="187" spans="1:15" x14ac:dyDescent="0.35">
      <c r="A187" s="6" t="s">
        <v>104</v>
      </c>
      <c r="B187" s="29" t="s">
        <v>167</v>
      </c>
      <c r="C187" s="4" t="str">
        <f>sensorCalcs!C199</f>
        <v>2015-11-04 14:19</v>
      </c>
      <c r="D187" s="4" t="s">
        <v>105</v>
      </c>
      <c r="E187" s="4" t="s">
        <v>2267</v>
      </c>
      <c r="F187" s="17">
        <v>39.021560000000001</v>
      </c>
      <c r="G187" s="17">
        <v>-84.095713000000003</v>
      </c>
      <c r="H187" s="17" t="s">
        <v>105</v>
      </c>
      <c r="I187" s="17">
        <f>sensorCalcs!G199</f>
        <v>15.7</v>
      </c>
      <c r="J187" s="17">
        <f>47+27+29+30</f>
        <v>133</v>
      </c>
      <c r="K187" s="18">
        <f>sensorCalcs!O199</f>
        <v>110.46652010786053</v>
      </c>
      <c r="L187" s="18">
        <f>sensorCalcs!U199</f>
        <v>2.024487666023584</v>
      </c>
      <c r="M187" s="18">
        <f>sensorCalcs!P199</f>
        <v>111.00343401800004</v>
      </c>
      <c r="N187" s="17">
        <f>sensorCalcs!E199</f>
        <v>0.60623000000000005</v>
      </c>
      <c r="O187" s="44">
        <v>756.66599999999994</v>
      </c>
    </row>
    <row r="188" spans="1:15" hidden="1" x14ac:dyDescent="0.35">
      <c r="A188" s="6" t="s">
        <v>104</v>
      </c>
      <c r="B188" s="72" t="s">
        <v>18</v>
      </c>
      <c r="C188" s="4" t="s">
        <v>1854</v>
      </c>
      <c r="D188" s="4" t="s">
        <v>105</v>
      </c>
      <c r="E188" s="4" t="s">
        <v>1860</v>
      </c>
      <c r="F188" s="21" t="s">
        <v>105</v>
      </c>
      <c r="G188" s="21" t="s">
        <v>105</v>
      </c>
      <c r="H188" s="17" t="s">
        <v>105</v>
      </c>
      <c r="I188" s="17">
        <v>24.5</v>
      </c>
      <c r="J188" s="18">
        <f>((PI()*(0.875^2)*14.5)*16.387)</f>
        <v>571.52263433772032</v>
      </c>
      <c r="K188" s="18" t="s">
        <v>105</v>
      </c>
      <c r="L188" s="18" t="s">
        <v>105</v>
      </c>
      <c r="M188" s="18" t="s">
        <v>105</v>
      </c>
      <c r="N188" s="17" t="s">
        <v>105</v>
      </c>
      <c r="O188" s="44">
        <v>769.62</v>
      </c>
    </row>
    <row r="189" spans="1:15" hidden="1" x14ac:dyDescent="0.35">
      <c r="A189" s="6" t="s">
        <v>104</v>
      </c>
      <c r="B189" s="29" t="s">
        <v>14</v>
      </c>
      <c r="C189" s="4" t="str">
        <f>sensorCalcs!C179</f>
        <v>2015-10-19 13:07</v>
      </c>
      <c r="D189" s="4" t="s">
        <v>2374</v>
      </c>
      <c r="E189" s="4" t="s">
        <v>2375</v>
      </c>
      <c r="F189" s="21" t="s">
        <v>2171</v>
      </c>
      <c r="G189" s="21" t="s">
        <v>2172</v>
      </c>
      <c r="H189" s="17">
        <v>11</v>
      </c>
      <c r="I189" s="17">
        <f>sensorCalcs!G179</f>
        <v>20.627222222222226</v>
      </c>
      <c r="J189" s="17">
        <f>25+26+24+(140*5)+55</f>
        <v>830</v>
      </c>
      <c r="K189" s="18">
        <f>sensorCalcs!O179</f>
        <v>397.27654962540464</v>
      </c>
      <c r="L189" s="18">
        <f>sensorCalcs!U179</f>
        <v>5.6342216011898545</v>
      </c>
      <c r="M189" s="18">
        <f>sensorCalcs!P179</f>
        <v>397.44270877185977</v>
      </c>
      <c r="N189" s="17">
        <f>sensorCalcs!E179</f>
        <v>0.10806</v>
      </c>
      <c r="O189" s="44">
        <v>750.4</v>
      </c>
    </row>
    <row r="190" spans="1:15" hidden="1" x14ac:dyDescent="0.35">
      <c r="A190" s="6" t="s">
        <v>104</v>
      </c>
      <c r="B190" s="72" t="s">
        <v>9</v>
      </c>
      <c r="C190" s="4" t="s">
        <v>1852</v>
      </c>
      <c r="D190" s="4" t="s">
        <v>105</v>
      </c>
      <c r="E190" s="4" t="s">
        <v>1862</v>
      </c>
      <c r="F190" s="21" t="s">
        <v>105</v>
      </c>
      <c r="G190" s="21" t="s">
        <v>105</v>
      </c>
      <c r="H190" s="17" t="s">
        <v>105</v>
      </c>
      <c r="I190" s="17">
        <v>25</v>
      </c>
      <c r="J190" s="17">
        <f>24+23+24+140+44</f>
        <v>255</v>
      </c>
      <c r="K190" s="18" t="s">
        <v>105</v>
      </c>
      <c r="L190" s="18" t="s">
        <v>105</v>
      </c>
      <c r="M190" s="18" t="s">
        <v>105</v>
      </c>
      <c r="N190" s="17" t="s">
        <v>105</v>
      </c>
      <c r="O190" s="44">
        <v>769.62</v>
      </c>
    </row>
    <row r="191" spans="1:15" hidden="1" x14ac:dyDescent="0.35">
      <c r="A191" s="9" t="s">
        <v>104</v>
      </c>
      <c r="B191" s="73" t="s">
        <v>25</v>
      </c>
      <c r="C191" s="16" t="s">
        <v>1943</v>
      </c>
      <c r="D191" s="16" t="s">
        <v>105</v>
      </c>
      <c r="E191" s="16" t="s">
        <v>1942</v>
      </c>
      <c r="F191" s="15" t="s">
        <v>105</v>
      </c>
      <c r="G191" s="15" t="s">
        <v>105</v>
      </c>
      <c r="H191" s="19" t="s">
        <v>105</v>
      </c>
      <c r="I191" s="19">
        <v>24</v>
      </c>
      <c r="J191" s="19">
        <f>25.5+3</f>
        <v>28.5</v>
      </c>
      <c r="K191" s="78" t="s">
        <v>105</v>
      </c>
      <c r="L191" s="78" t="s">
        <v>105</v>
      </c>
      <c r="M191" s="78" t="s">
        <v>105</v>
      </c>
      <c r="N191" s="19" t="s">
        <v>105</v>
      </c>
      <c r="O191" s="42">
        <v>769.62</v>
      </c>
    </row>
    <row r="192" spans="1:15" hidden="1" x14ac:dyDescent="0.35">
      <c r="A192" s="6" t="s">
        <v>104</v>
      </c>
      <c r="B192" s="72" t="s">
        <v>9</v>
      </c>
      <c r="C192" s="4" t="s">
        <v>1945</v>
      </c>
      <c r="D192" s="4" t="s">
        <v>105</v>
      </c>
      <c r="E192" s="4" t="s">
        <v>1944</v>
      </c>
      <c r="F192" s="21" t="s">
        <v>105</v>
      </c>
      <c r="G192" s="21" t="s">
        <v>105</v>
      </c>
      <c r="H192" s="17" t="s">
        <v>105</v>
      </c>
      <c r="I192" s="17">
        <v>26</v>
      </c>
      <c r="J192" s="17">
        <f>23+24+23+24</f>
        <v>94</v>
      </c>
      <c r="K192" s="18" t="s">
        <v>105</v>
      </c>
      <c r="L192" s="18" t="s">
        <v>105</v>
      </c>
      <c r="M192" s="18" t="s">
        <v>105</v>
      </c>
      <c r="N192" s="17" t="s">
        <v>105</v>
      </c>
      <c r="O192" s="44">
        <v>769.62</v>
      </c>
    </row>
    <row r="193" spans="1:15" hidden="1" x14ac:dyDescent="0.35">
      <c r="A193" s="9" t="s">
        <v>104</v>
      </c>
      <c r="B193" s="73" t="s">
        <v>26</v>
      </c>
      <c r="C193" s="16" t="s">
        <v>1935</v>
      </c>
      <c r="D193" s="16" t="s">
        <v>105</v>
      </c>
      <c r="E193" s="16" t="s">
        <v>1863</v>
      </c>
      <c r="F193" s="15" t="s">
        <v>105</v>
      </c>
      <c r="G193" s="15" t="s">
        <v>105</v>
      </c>
      <c r="H193" s="19" t="s">
        <v>105</v>
      </c>
      <c r="I193" s="19">
        <v>25.5</v>
      </c>
      <c r="J193" s="19">
        <f>3+26+24.5+24</f>
        <v>77.5</v>
      </c>
      <c r="K193" s="78" t="s">
        <v>105</v>
      </c>
      <c r="L193" s="78" t="s">
        <v>105</v>
      </c>
      <c r="M193" s="78" t="s">
        <v>105</v>
      </c>
      <c r="N193" s="19" t="s">
        <v>105</v>
      </c>
      <c r="O193" s="42">
        <v>769.62</v>
      </c>
    </row>
    <row r="194" spans="1:15" x14ac:dyDescent="0.35">
      <c r="A194" s="6" t="s">
        <v>104</v>
      </c>
      <c r="B194" s="72" t="s">
        <v>167</v>
      </c>
      <c r="C194" s="4" t="str">
        <f>sensorCalcs!C125</f>
        <v>2015-09-08 15:33</v>
      </c>
      <c r="D194" s="4" t="s">
        <v>1806</v>
      </c>
      <c r="E194" s="4" t="s">
        <v>1803</v>
      </c>
      <c r="F194" s="21" t="s">
        <v>105</v>
      </c>
      <c r="G194" s="21" t="s">
        <v>105</v>
      </c>
      <c r="H194" s="17" t="s">
        <v>105</v>
      </c>
      <c r="I194" s="17" t="s">
        <v>105</v>
      </c>
      <c r="J194" s="17">
        <f>26+25+27+140+140+65</f>
        <v>423</v>
      </c>
      <c r="K194" s="78">
        <f>sensorCalcs!O125</f>
        <v>110.5157567546419</v>
      </c>
      <c r="L194" s="78">
        <f>sensorCalcs!U125</f>
        <v>1.9335562095104417</v>
      </c>
      <c r="M194" s="78">
        <f>sensorCalcs!P125</f>
        <v>110.57437181033397</v>
      </c>
      <c r="N194" s="19">
        <f>sensorCalcs!E125</f>
        <v>0.61355000000000004</v>
      </c>
      <c r="O194" s="44">
        <v>758.952</v>
      </c>
    </row>
    <row r="195" spans="1:15" hidden="1" x14ac:dyDescent="0.35">
      <c r="A195" s="9" t="s">
        <v>104</v>
      </c>
      <c r="B195" s="73" t="s">
        <v>14</v>
      </c>
      <c r="C195" s="16" t="str">
        <f>sensorCalcs!C134</f>
        <v>2015-09-17 12:48</v>
      </c>
      <c r="D195" s="16" t="s">
        <v>105</v>
      </c>
      <c r="E195" s="16" t="s">
        <v>1959</v>
      </c>
      <c r="F195" s="15" t="s">
        <v>1621</v>
      </c>
      <c r="G195" s="15" t="s">
        <v>1622</v>
      </c>
      <c r="H195" s="19">
        <v>11</v>
      </c>
      <c r="I195" s="19">
        <f>sensorCalcs!G134</f>
        <v>23.497222222222224</v>
      </c>
      <c r="J195" s="19">
        <f>27+27+31+(140*9)+135+35</f>
        <v>1515</v>
      </c>
      <c r="K195" s="78">
        <f>sensorCalcs!O134</f>
        <v>15.062409983587962</v>
      </c>
      <c r="L195" s="78">
        <f>sensorCalcs!U134</f>
        <v>5.5172911498982531</v>
      </c>
      <c r="M195" s="78">
        <f>sensorCalcs!P134</f>
        <v>410.75485721260765</v>
      </c>
      <c r="N195" s="19">
        <f>sensorCalcs!E134</f>
        <v>5.2499999999999998E-2</v>
      </c>
      <c r="O195" s="42">
        <v>767.58800000000008</v>
      </c>
    </row>
    <row r="196" spans="1:15" hidden="1" x14ac:dyDescent="0.35">
      <c r="A196" s="6" t="s">
        <v>104</v>
      </c>
      <c r="B196" s="72" t="s">
        <v>18</v>
      </c>
      <c r="C196" s="4" t="s">
        <v>1938</v>
      </c>
      <c r="D196" s="4" t="s">
        <v>105</v>
      </c>
      <c r="E196" s="4" t="s">
        <v>1866</v>
      </c>
      <c r="F196" s="21" t="s">
        <v>105</v>
      </c>
      <c r="G196" s="21" t="s">
        <v>105</v>
      </c>
      <c r="H196" s="17" t="s">
        <v>105</v>
      </c>
      <c r="I196" s="17">
        <v>25</v>
      </c>
      <c r="J196" s="17">
        <f>23+25+24+85+92</f>
        <v>249</v>
      </c>
      <c r="K196" s="18" t="s">
        <v>105</v>
      </c>
      <c r="L196" s="18" t="s">
        <v>105</v>
      </c>
      <c r="M196" s="18" t="s">
        <v>105</v>
      </c>
      <c r="N196" s="17" t="s">
        <v>105</v>
      </c>
      <c r="O196" s="44">
        <v>769.62</v>
      </c>
    </row>
    <row r="197" spans="1:15" hidden="1" x14ac:dyDescent="0.35">
      <c r="A197" s="9" t="s">
        <v>104</v>
      </c>
      <c r="B197" s="73" t="s">
        <v>60</v>
      </c>
      <c r="C197" s="16" t="s">
        <v>1946</v>
      </c>
      <c r="D197" s="16" t="s">
        <v>105</v>
      </c>
      <c r="E197" s="16" t="s">
        <v>1947</v>
      </c>
      <c r="F197" s="15" t="s">
        <v>105</v>
      </c>
      <c r="G197" s="15" t="s">
        <v>105</v>
      </c>
      <c r="H197" s="19">
        <v>100</v>
      </c>
      <c r="I197" s="19">
        <v>24.773888888888891</v>
      </c>
      <c r="J197" s="19">
        <f>60+4+26+28.5+26.5</f>
        <v>145</v>
      </c>
      <c r="K197" s="78" t="s">
        <v>105</v>
      </c>
      <c r="L197" s="78" t="s">
        <v>105</v>
      </c>
      <c r="M197" s="78" t="s">
        <v>105</v>
      </c>
      <c r="N197" s="19" t="s">
        <v>105</v>
      </c>
      <c r="O197" s="42">
        <v>766.06399999999996</v>
      </c>
    </row>
    <row r="198" spans="1:15" hidden="1" x14ac:dyDescent="0.35">
      <c r="A198" s="6" t="s">
        <v>104</v>
      </c>
      <c r="B198" s="72" t="s">
        <v>64</v>
      </c>
      <c r="C198" s="4" t="str">
        <f>sensorCalcs!C129</f>
        <v>2015-09-16 10:25</v>
      </c>
      <c r="D198" s="4" t="s">
        <v>105</v>
      </c>
      <c r="E198" s="4" t="s">
        <v>1955</v>
      </c>
      <c r="F198" s="21" t="s">
        <v>105</v>
      </c>
      <c r="G198" s="21" t="s">
        <v>105</v>
      </c>
      <c r="H198" s="17">
        <v>43</v>
      </c>
      <c r="I198" s="17">
        <f>sensorCalcs!G129</f>
        <v>24.726111111111113</v>
      </c>
      <c r="J198" s="17">
        <f>15+26+27+27</f>
        <v>95</v>
      </c>
      <c r="K198" s="18">
        <f>sensorCalcs!O129</f>
        <v>85.555782083332005</v>
      </c>
      <c r="L198" s="18">
        <f>sensorCalcs!U129</f>
        <v>1.9420114136782141</v>
      </c>
      <c r="M198" s="18">
        <f>sensorCalcs!P129</f>
        <v>148.66311132661659</v>
      </c>
      <c r="N198" s="17">
        <f>sensorCalcs!E129</f>
        <v>3.7850000000000002E-2</v>
      </c>
      <c r="O198" s="44">
        <v>766.06399999999996</v>
      </c>
    </row>
    <row r="199" spans="1:15" hidden="1" x14ac:dyDescent="0.35">
      <c r="A199" s="6" t="s">
        <v>104</v>
      </c>
      <c r="B199" s="71" t="s">
        <v>69</v>
      </c>
      <c r="C199" t="s">
        <v>255</v>
      </c>
      <c r="D199" s="4" t="s">
        <v>325</v>
      </c>
      <c r="E199" s="4" t="s">
        <v>704</v>
      </c>
      <c r="F199" s="21" t="s">
        <v>105</v>
      </c>
      <c r="G199" s="21" t="s">
        <v>105</v>
      </c>
      <c r="H199" s="8" t="s">
        <v>2385</v>
      </c>
      <c r="I199" s="17" t="s">
        <v>105</v>
      </c>
      <c r="J199" s="13">
        <f>30+29+29+140+60</f>
        <v>288</v>
      </c>
      <c r="K199" s="89">
        <f>sensorCalcs!O33</f>
        <v>114.84262998882286</v>
      </c>
      <c r="L199" s="89">
        <f>sensorCalcs!U33</f>
        <v>1.9254674633067277</v>
      </c>
      <c r="M199" s="89">
        <f>sensorCalcs!P33</f>
        <v>114.87766767746449</v>
      </c>
      <c r="N199" s="58" t="str">
        <f>sensorCalcs!E33</f>
        <v>0.5</v>
      </c>
      <c r="O199" s="45">
        <v>751.3</v>
      </c>
    </row>
    <row r="200" spans="1:15" hidden="1" x14ac:dyDescent="0.35">
      <c r="A200" s="6" t="s">
        <v>104</v>
      </c>
      <c r="B200" s="72" t="s">
        <v>26</v>
      </c>
      <c r="C200" s="4" t="s">
        <v>1940</v>
      </c>
      <c r="D200" s="4" t="s">
        <v>105</v>
      </c>
      <c r="E200" s="4" t="s">
        <v>1949</v>
      </c>
      <c r="F200" s="21" t="s">
        <v>105</v>
      </c>
      <c r="G200" s="21" t="s">
        <v>105</v>
      </c>
      <c r="H200" s="17">
        <v>40</v>
      </c>
      <c r="I200" s="17">
        <v>24.773888888888891</v>
      </c>
      <c r="J200" s="17">
        <f>140+43+27+27.5+27</f>
        <v>264.5</v>
      </c>
      <c r="K200" s="18" t="s">
        <v>105</v>
      </c>
      <c r="L200" s="18" t="s">
        <v>105</v>
      </c>
      <c r="M200" s="18" t="s">
        <v>105</v>
      </c>
      <c r="N200" s="17" t="s">
        <v>105</v>
      </c>
      <c r="O200" s="44">
        <v>766.06399999999996</v>
      </c>
    </row>
    <row r="201" spans="1:15" hidden="1" x14ac:dyDescent="0.35">
      <c r="A201" s="9" t="s">
        <v>104</v>
      </c>
      <c r="B201" s="73" t="s">
        <v>25</v>
      </c>
      <c r="C201" s="16" t="str">
        <f>sensorCalcs!C131</f>
        <v>2015-09-16 15:36</v>
      </c>
      <c r="D201" s="16" t="s">
        <v>105</v>
      </c>
      <c r="E201" s="16" t="s">
        <v>1933</v>
      </c>
      <c r="F201" s="15" t="s">
        <v>105</v>
      </c>
      <c r="G201" s="15" t="s">
        <v>105</v>
      </c>
      <c r="H201" s="19">
        <v>32</v>
      </c>
      <c r="I201" s="19">
        <f>sensorCalcs!G131</f>
        <v>33.626111111111108</v>
      </c>
      <c r="J201" s="19">
        <f>40+27+29+27</f>
        <v>123</v>
      </c>
      <c r="K201" s="78">
        <f>sensorCalcs!O131</f>
        <v>119.52564163613177</v>
      </c>
      <c r="L201" s="78">
        <f>sensorCalcs!U131</f>
        <v>1.8866531534476052</v>
      </c>
      <c r="M201" s="78">
        <f>sensorCalcs!P131</f>
        <v>120.97805606360996</v>
      </c>
      <c r="N201" s="19">
        <f>sensorCalcs!E131</f>
        <v>0.41514000000000001</v>
      </c>
      <c r="O201" s="42">
        <v>766.06399999999996</v>
      </c>
    </row>
    <row r="202" spans="1:15" x14ac:dyDescent="0.35">
      <c r="A202" s="6" t="s">
        <v>104</v>
      </c>
      <c r="B202" s="72" t="s">
        <v>167</v>
      </c>
      <c r="C202" s="4" t="s">
        <v>1888</v>
      </c>
      <c r="D202" s="4" t="s">
        <v>105</v>
      </c>
      <c r="E202" s="4" t="s">
        <v>1813</v>
      </c>
      <c r="F202" s="21" t="s">
        <v>105</v>
      </c>
      <c r="G202" s="21" t="s">
        <v>105</v>
      </c>
      <c r="H202" s="17">
        <v>31</v>
      </c>
      <c r="I202" s="17">
        <v>25.2</v>
      </c>
      <c r="J202" s="17">
        <f>27+28+28+70</f>
        <v>153</v>
      </c>
      <c r="K202" s="18" t="s">
        <v>105</v>
      </c>
      <c r="L202" s="18" t="s">
        <v>105</v>
      </c>
      <c r="M202" s="18" t="s">
        <v>105</v>
      </c>
      <c r="N202" s="17" t="s">
        <v>105</v>
      </c>
      <c r="O202" s="27">
        <v>763.01600000000008</v>
      </c>
    </row>
    <row r="203" spans="1:15" hidden="1" x14ac:dyDescent="0.35">
      <c r="A203" s="9" t="s">
        <v>104</v>
      </c>
      <c r="B203" s="73" t="s">
        <v>18</v>
      </c>
      <c r="C203" s="16" t="s">
        <v>1952</v>
      </c>
      <c r="D203" s="16" t="s">
        <v>105</v>
      </c>
      <c r="E203" s="16" t="s">
        <v>1950</v>
      </c>
      <c r="F203" s="15" t="s">
        <v>105</v>
      </c>
      <c r="G203" s="15" t="s">
        <v>105</v>
      </c>
      <c r="H203" s="19">
        <v>11</v>
      </c>
      <c r="I203" s="19">
        <v>24.5</v>
      </c>
      <c r="J203" s="19">
        <f>((PI()*(0.875^2)*25.25)*16.387)+26+26+24.5</f>
        <v>1071.7376908294787</v>
      </c>
      <c r="K203" s="78" t="s">
        <v>105</v>
      </c>
      <c r="L203" s="78" t="s">
        <v>105</v>
      </c>
      <c r="M203" s="78" t="s">
        <v>105</v>
      </c>
      <c r="N203" s="19" t="s">
        <v>105</v>
      </c>
      <c r="O203" s="42">
        <v>766.06399999999996</v>
      </c>
    </row>
    <row r="204" spans="1:15" hidden="1" x14ac:dyDescent="0.35">
      <c r="A204" s="9" t="s">
        <v>104</v>
      </c>
      <c r="B204" s="73" t="s">
        <v>14</v>
      </c>
      <c r="C204" s="16" t="str">
        <f>sensorCalcs!C108</f>
        <v>2015-08-24 14:50</v>
      </c>
      <c r="D204" s="16" t="s">
        <v>1728</v>
      </c>
      <c r="E204" s="16" t="s">
        <v>1729</v>
      </c>
      <c r="F204" s="15">
        <v>39.026408000000004</v>
      </c>
      <c r="G204" s="15">
        <v>-84.091342999999995</v>
      </c>
      <c r="H204" s="19">
        <v>11</v>
      </c>
      <c r="I204" s="17" t="s">
        <v>105</v>
      </c>
      <c r="J204" s="19">
        <f>140+32+33+31+140+140+140+135</f>
        <v>791</v>
      </c>
      <c r="K204" s="78">
        <f>sensorCalcs!O108</f>
        <v>384.94017216150507</v>
      </c>
      <c r="L204" s="78">
        <f>sensorCalcs!U108</f>
        <v>5.4427948677820925</v>
      </c>
      <c r="M204" s="78">
        <f>sensorCalcs!P108</f>
        <v>385.11133275384003</v>
      </c>
      <c r="N204" s="19">
        <f>sensorCalcs!E108</f>
        <v>0.25</v>
      </c>
      <c r="O204" s="42">
        <v>751.2</v>
      </c>
    </row>
    <row r="205" spans="1:15" hidden="1" x14ac:dyDescent="0.35">
      <c r="A205" s="9" t="s">
        <v>104</v>
      </c>
      <c r="B205" s="73" t="s">
        <v>9</v>
      </c>
      <c r="C205" s="16" t="str">
        <f>sensorCalcs!C132</f>
        <v>2015-09-16 16:20</v>
      </c>
      <c r="D205" s="16" t="s">
        <v>1948</v>
      </c>
      <c r="E205" s="16" t="s">
        <v>1934</v>
      </c>
      <c r="F205" s="15" t="s">
        <v>105</v>
      </c>
      <c r="G205" s="15" t="s">
        <v>105</v>
      </c>
      <c r="H205" s="19">
        <v>11</v>
      </c>
      <c r="I205" s="19">
        <f>sensorCalcs!G132</f>
        <v>29.463888888888885</v>
      </c>
      <c r="J205" s="19">
        <f>30+28+28.5+(140*4)+92</f>
        <v>738.5</v>
      </c>
      <c r="K205" s="78">
        <f>sensorCalcs!O132</f>
        <v>352.42857886299998</v>
      </c>
      <c r="L205" s="78">
        <f>sensorCalcs!U132</f>
        <v>5.4232931444155454</v>
      </c>
      <c r="M205" s="78">
        <f>sensorCalcs!P132</f>
        <v>352.59251514461948</v>
      </c>
      <c r="N205" s="19">
        <f>sensorCalcs!E132</f>
        <v>0.34921000000000002</v>
      </c>
      <c r="O205" s="42">
        <v>766.06399999999996</v>
      </c>
    </row>
    <row r="206" spans="1:15" hidden="1" x14ac:dyDescent="0.35">
      <c r="A206" s="6" t="s">
        <v>104</v>
      </c>
      <c r="B206" s="72" t="s">
        <v>9</v>
      </c>
      <c r="C206" s="4" t="str">
        <f>sensorCalcs!C133</f>
        <v>2015-09-17 13:05</v>
      </c>
      <c r="D206" s="4" t="s">
        <v>1957</v>
      </c>
      <c r="E206" s="4" t="s">
        <v>1956</v>
      </c>
      <c r="F206" s="21" t="s">
        <v>105</v>
      </c>
      <c r="G206" s="21" t="s">
        <v>105</v>
      </c>
      <c r="H206" s="17">
        <v>10</v>
      </c>
      <c r="I206" s="17">
        <f>sensorCalcs!G133</f>
        <v>23.592777777777776</v>
      </c>
      <c r="J206" s="17">
        <f>(140*9)+15+32+32+3</f>
        <v>1342</v>
      </c>
      <c r="K206" s="18">
        <f>sensorCalcs!O133</f>
        <v>349.52690667833309</v>
      </c>
      <c r="L206" s="18">
        <f>sensorCalcs!U133</f>
        <v>5.5313102453501317</v>
      </c>
      <c r="M206" s="18">
        <f>sensorCalcs!P133</f>
        <v>349.69084295995265</v>
      </c>
      <c r="N206" s="17">
        <f>sensorCalcs!E133</f>
        <v>0.36691000000000001</v>
      </c>
      <c r="O206" s="44">
        <v>767.58799999999997</v>
      </c>
    </row>
    <row r="207" spans="1:15" hidden="1" x14ac:dyDescent="0.35">
      <c r="A207" s="9" t="s">
        <v>104</v>
      </c>
      <c r="B207" s="70" t="s">
        <v>14</v>
      </c>
      <c r="C207" s="20" t="s">
        <v>222</v>
      </c>
      <c r="D207" s="16" t="s">
        <v>277</v>
      </c>
      <c r="E207" s="16" t="s">
        <v>229</v>
      </c>
      <c r="F207" s="66" t="s">
        <v>105</v>
      </c>
      <c r="G207" s="66" t="s">
        <v>105</v>
      </c>
      <c r="H207" s="10" t="s">
        <v>105</v>
      </c>
      <c r="I207" s="17" t="s">
        <v>105</v>
      </c>
      <c r="J207" s="11">
        <f>27+27+28+(140*8)+10</f>
        <v>1212</v>
      </c>
      <c r="K207" s="86">
        <f>sensorCalcs!O9</f>
        <v>320.34816577096484</v>
      </c>
      <c r="L207" s="86">
        <f>sensorCalcs!U9</f>
        <v>5.4660593375121564</v>
      </c>
      <c r="M207" s="86">
        <f>sensorCalcs!P9</f>
        <v>320.44850588964027</v>
      </c>
      <c r="N207" s="57" t="str">
        <f>sensorCalcs!E9</f>
        <v>0.55189</v>
      </c>
      <c r="O207" s="42">
        <v>764.79399999999998</v>
      </c>
    </row>
    <row r="208" spans="1:15" hidden="1" x14ac:dyDescent="0.35">
      <c r="A208" s="6" t="s">
        <v>104</v>
      </c>
      <c r="B208" s="72" t="s">
        <v>18</v>
      </c>
      <c r="C208" s="4" t="str">
        <f>sensorCalcs!C135</f>
        <v>2015-09-17 12:17</v>
      </c>
      <c r="D208" s="4" t="s">
        <v>1961</v>
      </c>
      <c r="E208" s="4" t="s">
        <v>1962</v>
      </c>
      <c r="F208" s="21" t="s">
        <v>1623</v>
      </c>
      <c r="G208" s="21" t="s">
        <v>1624</v>
      </c>
      <c r="H208" s="17">
        <v>10</v>
      </c>
      <c r="I208" s="17">
        <f>sensorCalcs!G135</f>
        <v>23.857222222222219</v>
      </c>
      <c r="J208" s="17">
        <f>(140*10)+45+28+27+27.5</f>
        <v>1527.5</v>
      </c>
      <c r="K208" s="18">
        <f>sensorCalcs!O135</f>
        <v>361.0621636555112</v>
      </c>
      <c r="L208" s="18">
        <f>sensorCalcs!U135</f>
        <v>5.5287078303755637</v>
      </c>
      <c r="M208" s="18">
        <f>sensorCalcs!P135</f>
        <v>361.22832280196633</v>
      </c>
      <c r="N208" s="17">
        <f>sensorCalcs!E135</f>
        <v>0.32601000000000002</v>
      </c>
      <c r="O208" s="44">
        <v>767.58800000000008</v>
      </c>
    </row>
    <row r="209" spans="1:15" x14ac:dyDescent="0.35">
      <c r="A209" s="6" t="s">
        <v>104</v>
      </c>
      <c r="B209" s="72" t="s">
        <v>167</v>
      </c>
      <c r="C209" s="4" t="s">
        <v>1899</v>
      </c>
      <c r="D209" s="4" t="s">
        <v>105</v>
      </c>
      <c r="E209" s="4" t="s">
        <v>1844</v>
      </c>
      <c r="F209" s="21" t="s">
        <v>105</v>
      </c>
      <c r="G209" s="21" t="s">
        <v>105</v>
      </c>
      <c r="H209" s="17" t="s">
        <v>105</v>
      </c>
      <c r="I209" s="17">
        <v>24</v>
      </c>
      <c r="J209" s="17">
        <f>28+29+28+45</f>
        <v>130</v>
      </c>
      <c r="K209" s="18" t="s">
        <v>105</v>
      </c>
      <c r="L209" s="18" t="s">
        <v>105</v>
      </c>
      <c r="M209" s="18" t="s">
        <v>105</v>
      </c>
      <c r="N209" s="17" t="s">
        <v>105</v>
      </c>
      <c r="O209" s="44">
        <v>767.33399999999995</v>
      </c>
    </row>
    <row r="210" spans="1:15" hidden="1" x14ac:dyDescent="0.35">
      <c r="A210" s="6" t="s">
        <v>104</v>
      </c>
      <c r="B210" s="72" t="s">
        <v>26</v>
      </c>
      <c r="C210" s="4" t="str">
        <f>sensorCalcs!C137</f>
        <v>2015-09-17 10:43</v>
      </c>
      <c r="D210" s="4" t="s">
        <v>1964</v>
      </c>
      <c r="E210" s="4" t="s">
        <v>1968</v>
      </c>
      <c r="F210" s="21">
        <v>39.016708000000001</v>
      </c>
      <c r="G210" s="21">
        <v>-84.102913000000001</v>
      </c>
      <c r="H210" s="17">
        <v>44</v>
      </c>
      <c r="I210" s="17">
        <f>sensorCalcs!G137</f>
        <v>25.065000000000001</v>
      </c>
      <c r="J210" s="17">
        <f>(140*4)+8+28+28+29.5</f>
        <v>653.5</v>
      </c>
      <c r="K210" s="18">
        <f>sensorCalcs!O137</f>
        <v>119.11550483808615</v>
      </c>
      <c r="L210" s="18">
        <f>sensorCalcs!U137</f>
        <v>1.9426141504178596</v>
      </c>
      <c r="M210" s="18">
        <f>sensorCalcs!P137</f>
        <v>119.17294367192488</v>
      </c>
      <c r="N210" s="17">
        <f>sensorCalcs!E137</f>
        <v>0.42521999999999999</v>
      </c>
      <c r="O210" s="44">
        <v>767.58800000000008</v>
      </c>
    </row>
    <row r="211" spans="1:15" hidden="1" x14ac:dyDescent="0.35">
      <c r="A211" s="9" t="s">
        <v>104</v>
      </c>
      <c r="B211" s="73" t="s">
        <v>25</v>
      </c>
      <c r="C211" s="16" t="str">
        <f>sensorCalcs!C138</f>
        <v>2015-09-17 11:25</v>
      </c>
      <c r="D211" s="16" t="s">
        <v>1966</v>
      </c>
      <c r="E211" s="16" t="s">
        <v>1967</v>
      </c>
      <c r="F211" s="15">
        <v>39.012355999999997</v>
      </c>
      <c r="G211" s="15">
        <v>-84.098763000000005</v>
      </c>
      <c r="H211" s="19">
        <v>32</v>
      </c>
      <c r="I211" s="19">
        <f>sensorCalcs!G138</f>
        <v>24.171111111111109</v>
      </c>
      <c r="J211" s="19">
        <f>29+28+28+(140*4)+5</f>
        <v>650</v>
      </c>
      <c r="K211" s="78">
        <f>sensorCalcs!O138</f>
        <v>120.99082199145835</v>
      </c>
      <c r="L211" s="78">
        <f>sensorCalcs!U138</f>
        <v>1.9488614711394703</v>
      </c>
      <c r="M211" s="78">
        <f>sensorCalcs!P138</f>
        <v>121.04884893622375</v>
      </c>
      <c r="N211" s="19">
        <f>sensorCalcs!E138</f>
        <v>0.41392000000000001</v>
      </c>
      <c r="O211" s="42">
        <v>767.58800000000008</v>
      </c>
    </row>
    <row r="212" spans="1:15" hidden="1" x14ac:dyDescent="0.35">
      <c r="A212" s="6" t="s">
        <v>104</v>
      </c>
      <c r="B212" s="72" t="s">
        <v>64</v>
      </c>
      <c r="C212" s="4" t="str">
        <f>sensorCalcs!C139</f>
        <v>2015-09-17 10:04</v>
      </c>
      <c r="D212" s="4" t="s">
        <v>1971</v>
      </c>
      <c r="E212" s="4" t="s">
        <v>1970</v>
      </c>
      <c r="F212" s="21">
        <v>39.037008</v>
      </c>
      <c r="G212" s="21">
        <v>-84.138210000000001</v>
      </c>
      <c r="H212" s="17">
        <v>44</v>
      </c>
      <c r="I212" s="17">
        <f>sensorCalcs!G139</f>
        <v>23.857222222222219</v>
      </c>
      <c r="J212" s="17">
        <f>(140*3)+30+28+28.5+30</f>
        <v>536.5</v>
      </c>
      <c r="K212" s="18">
        <f>sensorCalcs!O139</f>
        <v>147.49658154133536</v>
      </c>
      <c r="L212" s="18">
        <f>sensorCalcs!U139</f>
        <v>1.9531501171599082</v>
      </c>
      <c r="M212" s="18">
        <f>sensorCalcs!P139</f>
        <v>147.55696092980745</v>
      </c>
      <c r="N212" s="17">
        <f>sensorCalcs!E139</f>
        <v>5.6169999999999998E-2</v>
      </c>
      <c r="O212" s="44">
        <v>748.6</v>
      </c>
    </row>
    <row r="213" spans="1:15" hidden="1" x14ac:dyDescent="0.35">
      <c r="A213" s="6" t="s">
        <v>104</v>
      </c>
      <c r="B213" s="71" t="s">
        <v>69</v>
      </c>
      <c r="C213" t="s">
        <v>455</v>
      </c>
      <c r="D213" s="4" t="s">
        <v>456</v>
      </c>
      <c r="E213" s="4" t="s">
        <v>457</v>
      </c>
      <c r="F213" s="21" t="s">
        <v>105</v>
      </c>
      <c r="G213" s="21" t="s">
        <v>105</v>
      </c>
      <c r="H213" s="21" t="s">
        <v>2384</v>
      </c>
      <c r="I213" s="17" t="s">
        <v>105</v>
      </c>
      <c r="J213" s="17">
        <f>30+28+29+140+120</f>
        <v>347</v>
      </c>
      <c r="K213" s="18">
        <f>sensorCalcs!O51</f>
        <v>111.58125300345964</v>
      </c>
      <c r="L213" s="18">
        <f>sensorCalcs!U51</f>
        <v>1.92383288737015</v>
      </c>
      <c r="M213" s="18">
        <f>sensorCalcs!P51</f>
        <v>111.61629069210127</v>
      </c>
      <c r="N213" s="60">
        <v>0.55678000000000005</v>
      </c>
      <c r="O213" s="44">
        <v>746.2</v>
      </c>
    </row>
    <row r="214" spans="1:15" hidden="1" x14ac:dyDescent="0.35">
      <c r="A214" s="6" t="s">
        <v>104</v>
      </c>
      <c r="B214" s="72" t="s">
        <v>60</v>
      </c>
      <c r="C214" s="4" t="str">
        <f>sensorCalcs!C141</f>
        <v>2015-09-17 09:21</v>
      </c>
      <c r="D214" s="4" t="s">
        <v>1975</v>
      </c>
      <c r="E214" s="4" t="s">
        <v>1974</v>
      </c>
      <c r="F214" s="21" t="s">
        <v>105</v>
      </c>
      <c r="G214" s="21" t="s">
        <v>105</v>
      </c>
      <c r="H214" s="17">
        <v>100</v>
      </c>
      <c r="I214" s="17">
        <f>sensorCalcs!G141</f>
        <v>24.122222222222224</v>
      </c>
      <c r="J214" s="17">
        <f>(140*4)+70+26+29+29</f>
        <v>714</v>
      </c>
      <c r="K214" s="18">
        <f>sensorCalcs!O141</f>
        <v>131.5798886106715</v>
      </c>
      <c r="L214" s="18">
        <f>sensorCalcs!U141</f>
        <v>1.9511627075061249</v>
      </c>
      <c r="M214" s="18">
        <f>sensorCalcs!P141</f>
        <v>131.64301251680143</v>
      </c>
      <c r="N214" s="17">
        <f>sensorCalcs!E141</f>
        <v>0.41453000000000001</v>
      </c>
      <c r="O214" s="44">
        <v>748.6</v>
      </c>
    </row>
    <row r="215" spans="1:15" hidden="1" x14ac:dyDescent="0.35">
      <c r="A215" s="9" t="s">
        <v>104</v>
      </c>
      <c r="B215" s="73" t="s">
        <v>9</v>
      </c>
      <c r="C215" s="16" t="str">
        <f>sensorCalcs!C142</f>
        <v>2015-09-23 12:17</v>
      </c>
      <c r="D215" s="16" t="s">
        <v>1979</v>
      </c>
      <c r="E215" s="16" t="s">
        <v>1978</v>
      </c>
      <c r="F215" s="15">
        <v>39.029200000000003</v>
      </c>
      <c r="G215" s="15">
        <v>-84.090798000000007</v>
      </c>
      <c r="H215" s="19">
        <v>11</v>
      </c>
      <c r="I215" s="19">
        <f>sensorCalcs!G142</f>
        <v>23.785</v>
      </c>
      <c r="J215" s="19">
        <f>(140*10)+60+3+30+30</f>
        <v>1523</v>
      </c>
      <c r="K215" s="78">
        <f>sensorCalcs!O142</f>
        <v>351.7285709404843</v>
      </c>
      <c r="L215" s="78">
        <f>sensorCalcs!U142</f>
        <v>5.536896242053265</v>
      </c>
      <c r="M215" s="78">
        <f>sensorCalcs!P142</f>
        <v>351.8925072221038</v>
      </c>
      <c r="N215" s="19">
        <f>sensorCalcs!E142</f>
        <v>0.35348000000000002</v>
      </c>
      <c r="O215" s="42">
        <v>750.2</v>
      </c>
    </row>
    <row r="216" spans="1:15" hidden="1" x14ac:dyDescent="0.35">
      <c r="A216" s="6" t="s">
        <v>104</v>
      </c>
      <c r="B216" s="71" t="s">
        <v>153</v>
      </c>
      <c r="C216" t="s">
        <v>243</v>
      </c>
      <c r="D216" s="4" t="s">
        <v>331</v>
      </c>
      <c r="E216" s="4" t="s">
        <v>258</v>
      </c>
      <c r="F216" s="21" t="s">
        <v>105</v>
      </c>
      <c r="G216" s="21" t="s">
        <v>105</v>
      </c>
      <c r="H216" s="8" t="s">
        <v>106</v>
      </c>
      <c r="I216" s="17" t="s">
        <v>105</v>
      </c>
      <c r="J216" s="13">
        <v>1343</v>
      </c>
      <c r="K216" s="87">
        <f>sensorCalcs!O27</f>
        <v>360.6079823551558</v>
      </c>
      <c r="L216" s="87">
        <f>sensorCalcs!U27</f>
        <v>5.4193858966141182</v>
      </c>
      <c r="M216" s="87">
        <f>sensorCalcs!P27</f>
        <v>360.7123903164802</v>
      </c>
      <c r="N216" s="58" t="str">
        <f>sensorCalcs!E27</f>
        <v>0.39255</v>
      </c>
      <c r="O216" s="44">
        <v>758.952</v>
      </c>
    </row>
    <row r="217" spans="1:15" hidden="1" x14ac:dyDescent="0.35">
      <c r="A217" s="9" t="s">
        <v>104</v>
      </c>
      <c r="B217" s="73" t="s">
        <v>18</v>
      </c>
      <c r="C217" s="16" t="str">
        <f>sensorCalcs!C144</f>
        <v>2015-09-23 13:36</v>
      </c>
      <c r="D217" s="16" t="s">
        <v>1984</v>
      </c>
      <c r="E217" s="16" t="s">
        <v>1985</v>
      </c>
      <c r="F217" s="15" t="s">
        <v>1461</v>
      </c>
      <c r="G217" s="15" t="s">
        <v>1626</v>
      </c>
      <c r="H217" s="19">
        <v>10</v>
      </c>
      <c r="I217" s="19">
        <f>sensorCalcs!G144</f>
        <v>23.303888888888888</v>
      </c>
      <c r="J217" s="19">
        <f>(140*8)+40+29+28.5+28</f>
        <v>1245.5</v>
      </c>
      <c r="K217" s="78">
        <f>sensorCalcs!O144</f>
        <v>366.28880241475582</v>
      </c>
      <c r="L217" s="78">
        <f>sensorCalcs!U144</f>
        <v>5.5485634725016544</v>
      </c>
      <c r="M217" s="78">
        <f>sensorCalcs!P144</f>
        <v>366.45996300709072</v>
      </c>
      <c r="N217" s="19">
        <f>sensorCalcs!E144</f>
        <v>0.35897000000000001</v>
      </c>
      <c r="O217" s="42">
        <v>750.2</v>
      </c>
    </row>
    <row r="218" spans="1:15" x14ac:dyDescent="0.35">
      <c r="A218" s="6" t="s">
        <v>104</v>
      </c>
      <c r="B218" s="72" t="s">
        <v>167</v>
      </c>
      <c r="C218" s="4" t="s">
        <v>1905</v>
      </c>
      <c r="D218" s="4" t="s">
        <v>105</v>
      </c>
      <c r="E218" s="4" t="s">
        <v>1829</v>
      </c>
      <c r="F218" s="21" t="s">
        <v>105</v>
      </c>
      <c r="G218" s="21" t="s">
        <v>105</v>
      </c>
      <c r="H218" s="17" t="s">
        <v>105</v>
      </c>
      <c r="I218" s="17">
        <v>25</v>
      </c>
      <c r="J218" s="17">
        <f>27+27+27+20</f>
        <v>101</v>
      </c>
      <c r="K218" s="18" t="s">
        <v>105</v>
      </c>
      <c r="L218" s="18" t="s">
        <v>105</v>
      </c>
      <c r="M218" s="18" t="s">
        <v>105</v>
      </c>
      <c r="N218" s="17" t="s">
        <v>105</v>
      </c>
      <c r="O218" s="44">
        <v>767.33399999999995</v>
      </c>
    </row>
    <row r="219" spans="1:15" hidden="1" x14ac:dyDescent="0.35">
      <c r="A219" s="9" t="s">
        <v>104</v>
      </c>
      <c r="B219" s="73" t="s">
        <v>25</v>
      </c>
      <c r="C219" s="16" t="str">
        <f>sensorCalcs!C146</f>
        <v>2015-09-23 14:00</v>
      </c>
      <c r="D219" s="16" t="s">
        <v>1988</v>
      </c>
      <c r="E219" s="16" t="s">
        <v>1987</v>
      </c>
      <c r="F219" s="15" t="s">
        <v>1627</v>
      </c>
      <c r="G219" s="15" t="s">
        <v>1628</v>
      </c>
      <c r="H219" s="19">
        <v>31</v>
      </c>
      <c r="I219" s="19">
        <f>sensorCalcs!G146</f>
        <v>23.904999999999998</v>
      </c>
      <c r="J219" s="19">
        <f>140+25+28.5+28.5+28</f>
        <v>250</v>
      </c>
      <c r="K219" s="78">
        <f>sensorCalcs!O146</f>
        <v>112.38252473550997</v>
      </c>
      <c r="L219" s="78">
        <f>sensorCalcs!U146</f>
        <v>1.9529564351197051</v>
      </c>
      <c r="M219" s="78">
        <f>sensorCalcs!P146</f>
        <v>112.44055168027538</v>
      </c>
      <c r="N219" s="19">
        <f>sensorCalcs!E146</f>
        <v>0.56227000000000005</v>
      </c>
      <c r="O219" s="42">
        <v>750.2</v>
      </c>
    </row>
    <row r="220" spans="1:15" hidden="1" x14ac:dyDescent="0.35">
      <c r="A220" s="6" t="s">
        <v>104</v>
      </c>
      <c r="B220" s="72" t="s">
        <v>26</v>
      </c>
      <c r="C220" s="4" t="str">
        <f>sensorCalcs!C147</f>
        <v>2015-09-23 14:31</v>
      </c>
      <c r="D220" s="4" t="s">
        <v>1991</v>
      </c>
      <c r="E220" s="4" t="s">
        <v>1990</v>
      </c>
      <c r="F220" s="21" t="s">
        <v>1629</v>
      </c>
      <c r="G220" s="21" t="s">
        <v>1630</v>
      </c>
      <c r="H220" s="17">
        <v>44</v>
      </c>
      <c r="I220" s="17">
        <f>sensorCalcs!G147</f>
        <v>26.06111111111111</v>
      </c>
      <c r="J220" s="17">
        <f>(140*5)+25</f>
        <v>725</v>
      </c>
      <c r="K220" s="18">
        <f>sensorCalcs!O147</f>
        <v>116.04769672275948</v>
      </c>
      <c r="L220" s="18">
        <f>sensorCalcs!U147</f>
        <v>1.939405039270004</v>
      </c>
      <c r="M220" s="18">
        <f>sensorCalcs!P147</f>
        <v>116.10513555659821</v>
      </c>
      <c r="N220" s="17">
        <f>sensorCalcs!E147</f>
        <v>0.47863</v>
      </c>
      <c r="O220" s="44">
        <v>750.2</v>
      </c>
    </row>
    <row r="221" spans="1:15" hidden="1" x14ac:dyDescent="0.35">
      <c r="A221" s="6" t="s">
        <v>104</v>
      </c>
      <c r="B221" s="71" t="s">
        <v>69</v>
      </c>
      <c r="C221" t="s">
        <v>357</v>
      </c>
      <c r="D221" s="4" t="s">
        <v>356</v>
      </c>
      <c r="E221" s="4" t="s">
        <v>358</v>
      </c>
      <c r="F221" s="21" t="s">
        <v>105</v>
      </c>
      <c r="G221" s="21" t="s">
        <v>105</v>
      </c>
      <c r="H221" s="17">
        <v>72</v>
      </c>
      <c r="I221" s="17" t="s">
        <v>105</v>
      </c>
      <c r="J221" s="17">
        <f>30+30+29+(140*3)+30</f>
        <v>539</v>
      </c>
      <c r="K221" s="18">
        <f>sensorCalcs!O85</f>
        <v>118.55949692652722</v>
      </c>
      <c r="L221" s="18">
        <f>sensorCalcs!U85</f>
        <v>1.9147048869614081</v>
      </c>
      <c r="M221" s="18">
        <f>sensorCalcs!P85</f>
        <v>118.59453461516884</v>
      </c>
      <c r="N221" s="60">
        <v>0.43529000000000001</v>
      </c>
      <c r="O221" s="44">
        <v>750.2</v>
      </c>
    </row>
    <row r="222" spans="1:15" hidden="1" x14ac:dyDescent="0.35">
      <c r="A222" s="6" t="s">
        <v>104</v>
      </c>
      <c r="B222" s="72" t="s">
        <v>64</v>
      </c>
      <c r="C222" s="4" t="str">
        <f>sensorCalcs!C149</f>
        <v>2015-09-25 12:33</v>
      </c>
      <c r="D222" s="4" t="s">
        <v>1997</v>
      </c>
      <c r="E222" s="4" t="s">
        <v>1996</v>
      </c>
      <c r="F222" s="21" t="s">
        <v>1652</v>
      </c>
      <c r="G222" s="21" t="s">
        <v>1653</v>
      </c>
      <c r="H222" s="17">
        <v>47</v>
      </c>
      <c r="I222" s="17">
        <f>sensorCalcs!G149</f>
        <v>22.943888888888893</v>
      </c>
      <c r="J222" s="17">
        <f>(140*3)+60+30+30+29</f>
        <v>569</v>
      </c>
      <c r="K222" s="18">
        <f>sensorCalcs!O149</f>
        <v>144.01015802877009</v>
      </c>
      <c r="L222" s="18">
        <f>sensorCalcs!U149</f>
        <v>1.9624330348065879</v>
      </c>
      <c r="M222" s="18">
        <f>sensorCalcs!P149</f>
        <v>144.06877308446218</v>
      </c>
      <c r="N222" s="17">
        <f>sensorCalcs!E149</f>
        <v>4.2119999999999998E-2</v>
      </c>
      <c r="O222" s="44">
        <v>742.8</v>
      </c>
    </row>
    <row r="223" spans="1:15" hidden="1" x14ac:dyDescent="0.35">
      <c r="A223" s="9" t="s">
        <v>104</v>
      </c>
      <c r="B223" s="73" t="s">
        <v>60</v>
      </c>
      <c r="C223" s="16" t="str">
        <f>sensorCalcs!C150</f>
        <v>2015-09-25 14:28</v>
      </c>
      <c r="D223" s="16" t="s">
        <v>1999</v>
      </c>
      <c r="E223" s="16" t="s">
        <v>2000</v>
      </c>
      <c r="F223" s="15" t="s">
        <v>1654</v>
      </c>
      <c r="G223" s="15" t="s">
        <v>1655</v>
      </c>
      <c r="H223" s="19">
        <v>99</v>
      </c>
      <c r="I223" s="19">
        <f>sensorCalcs!G150</f>
        <v>23.376111111111111</v>
      </c>
      <c r="J223" s="19">
        <f>29+29+28+(140*3)+117</f>
        <v>623</v>
      </c>
      <c r="K223" s="78">
        <f>sensorCalcs!O150</f>
        <v>139.81656641353206</v>
      </c>
      <c r="L223" s="78">
        <f>sensorCalcs!U150</f>
        <v>1.9596253592082842</v>
      </c>
      <c r="M223" s="78">
        <f>sensorCalcs!P150</f>
        <v>139.8757695801508</v>
      </c>
      <c r="N223" s="19">
        <f>sensorCalcs!E150</f>
        <v>0.13736000000000001</v>
      </c>
      <c r="O223" s="42">
        <v>742.8</v>
      </c>
    </row>
    <row r="224" spans="1:15" x14ac:dyDescent="0.35">
      <c r="A224" s="9" t="s">
        <v>104</v>
      </c>
      <c r="B224" s="73" t="s">
        <v>167</v>
      </c>
      <c r="C224" s="16" t="s">
        <v>1908</v>
      </c>
      <c r="D224" s="16" t="s">
        <v>105</v>
      </c>
      <c r="E224" s="16" t="s">
        <v>1834</v>
      </c>
      <c r="F224" s="15" t="s">
        <v>105</v>
      </c>
      <c r="G224" s="15" t="s">
        <v>105</v>
      </c>
      <c r="H224" s="19" t="s">
        <v>105</v>
      </c>
      <c r="I224" s="19">
        <v>25.5</v>
      </c>
      <c r="J224" s="19">
        <f>29+28+27+51</f>
        <v>135</v>
      </c>
      <c r="K224" s="78" t="s">
        <v>105</v>
      </c>
      <c r="L224" s="78" t="s">
        <v>105</v>
      </c>
      <c r="M224" s="78" t="s">
        <v>105</v>
      </c>
      <c r="N224" s="19" t="s">
        <v>105</v>
      </c>
      <c r="O224" s="42">
        <v>767.33399999999995</v>
      </c>
    </row>
    <row r="225" spans="1:15" hidden="1" x14ac:dyDescent="0.35">
      <c r="A225" s="9" t="s">
        <v>104</v>
      </c>
      <c r="B225" s="92" t="s">
        <v>26</v>
      </c>
      <c r="C225" s="16" t="str">
        <f>sensorCalcs!C152</f>
        <v>2015-09-28 14:28</v>
      </c>
      <c r="D225" s="16" t="s">
        <v>2013</v>
      </c>
      <c r="E225" s="16" t="s">
        <v>2014</v>
      </c>
      <c r="F225" s="15" t="s">
        <v>1657</v>
      </c>
      <c r="G225" s="15" t="s">
        <v>1658</v>
      </c>
      <c r="H225" s="19">
        <v>44</v>
      </c>
      <c r="I225" s="19">
        <f>sensorCalcs!G152</f>
        <v>26.108888888888885</v>
      </c>
      <c r="J225" s="19" t="s">
        <v>105</v>
      </c>
      <c r="K225" s="78">
        <f>sensorCalcs!O152</f>
        <v>12.202880249038667</v>
      </c>
      <c r="L225" s="78">
        <f>sensorCalcs!U152</f>
        <v>1.9336326252673599</v>
      </c>
      <c r="M225" s="78">
        <f>sensorCalcs!P152</f>
        <v>100.81606676540444</v>
      </c>
      <c r="N225" s="19">
        <f>sensorCalcs!E152</f>
        <v>0.74480999999999997</v>
      </c>
      <c r="O225" s="42">
        <v>742.8</v>
      </c>
    </row>
    <row r="226" spans="1:15" hidden="1" x14ac:dyDescent="0.35">
      <c r="A226" s="6" t="s">
        <v>104</v>
      </c>
      <c r="B226" s="72" t="s">
        <v>25</v>
      </c>
      <c r="C226" s="4" t="str">
        <f>sensorCalcs!C153</f>
        <v>2015-09-28 14:14</v>
      </c>
      <c r="D226" s="4" t="s">
        <v>2003</v>
      </c>
      <c r="E226" s="4" t="s">
        <v>2004</v>
      </c>
      <c r="F226" s="21" t="s">
        <v>1659</v>
      </c>
      <c r="G226" s="21" t="s">
        <v>1660</v>
      </c>
      <c r="H226" s="17">
        <v>32</v>
      </c>
      <c r="I226" s="17">
        <f>sensorCalcs!G153</f>
        <v>21.723888888888887</v>
      </c>
      <c r="J226" s="17">
        <f>28+27+27+140+50</f>
        <v>272</v>
      </c>
      <c r="K226" s="18">
        <f>sensorCalcs!O153</f>
        <v>114.29567310442549</v>
      </c>
      <c r="L226" s="18">
        <f>sensorCalcs!U153</f>
        <v>1.9698176012710742</v>
      </c>
      <c r="M226" s="18">
        <f>sensorCalcs!P153</f>
        <v>114.35370004919089</v>
      </c>
      <c r="N226" s="17">
        <f>sensorCalcs!E153</f>
        <v>0.52929999999999999</v>
      </c>
      <c r="O226" s="42">
        <v>742.8</v>
      </c>
    </row>
    <row r="227" spans="1:15" hidden="1" x14ac:dyDescent="0.35">
      <c r="A227" s="6" t="s">
        <v>104</v>
      </c>
      <c r="B227" s="72" t="s">
        <v>14</v>
      </c>
      <c r="C227" s="4" t="str">
        <f>sensorCalcs!C123</f>
        <v>2015-09-08 13:35</v>
      </c>
      <c r="D227" s="4" t="s">
        <v>1799</v>
      </c>
      <c r="E227" s="4" t="s">
        <v>1800</v>
      </c>
      <c r="F227" s="21" t="s">
        <v>105</v>
      </c>
      <c r="G227" s="21" t="s">
        <v>105</v>
      </c>
      <c r="H227" s="17" t="s">
        <v>105</v>
      </c>
      <c r="I227" s="17" t="s">
        <v>105</v>
      </c>
      <c r="J227" s="17">
        <f>26+26.5+27+(140*10)+125</f>
        <v>1604.5</v>
      </c>
      <c r="K227" s="18">
        <f>sensorCalcs!O123</f>
        <v>384.46948053258376</v>
      </c>
      <c r="L227" s="18">
        <f>sensorCalcs!U123</f>
        <v>5.5243961673992859</v>
      </c>
      <c r="M227" s="18">
        <f>sensorCalcs!P123</f>
        <v>384.64064112491877</v>
      </c>
      <c r="N227" s="17">
        <f>sensorCalcs!E123</f>
        <v>0.25274999999999997</v>
      </c>
      <c r="O227" s="44">
        <v>758.952</v>
      </c>
    </row>
    <row r="228" spans="1:15" hidden="1" x14ac:dyDescent="0.35">
      <c r="A228" s="6" t="s">
        <v>104</v>
      </c>
      <c r="B228" s="72" t="s">
        <v>9</v>
      </c>
      <c r="C228" s="4" t="str">
        <f>sensorCalcs!C155</f>
        <v>2015-09-28 11:06</v>
      </c>
      <c r="D228" s="4" t="s">
        <v>1877</v>
      </c>
      <c r="E228" s="4" t="s">
        <v>1876</v>
      </c>
      <c r="F228" s="21" t="s">
        <v>1662</v>
      </c>
      <c r="G228" s="21" t="s">
        <v>1663</v>
      </c>
      <c r="H228" s="17">
        <v>10</v>
      </c>
      <c r="I228" s="17">
        <f>sensorCalcs!G155</f>
        <v>21.222777777777775</v>
      </c>
      <c r="J228" s="17">
        <f>28+28+27+(140*5)+95</f>
        <v>878</v>
      </c>
      <c r="K228" s="18">
        <f>sensorCalcs!O155</f>
        <v>359.83522006657347</v>
      </c>
      <c r="L228" s="18">
        <f>sensorCalcs!U155</f>
        <v>5.5978202560539678</v>
      </c>
      <c r="M228" s="18">
        <f>sensorCalcs!P155</f>
        <v>359.99915634819308</v>
      </c>
      <c r="N228" s="17">
        <f>sensorCalcs!E155</f>
        <v>0.30403000000000002</v>
      </c>
      <c r="O228" s="42">
        <v>742.8</v>
      </c>
    </row>
    <row r="229" spans="1:15" hidden="1" x14ac:dyDescent="0.35">
      <c r="A229" s="9" t="s">
        <v>104</v>
      </c>
      <c r="B229" s="73" t="s">
        <v>18</v>
      </c>
      <c r="C229" s="16" t="str">
        <f>sensorCalcs!C156</f>
        <v>2015-09-28 12:30</v>
      </c>
      <c r="D229" s="16" t="s">
        <v>1867</v>
      </c>
      <c r="E229" s="16" t="s">
        <v>1868</v>
      </c>
      <c r="F229" s="15" t="s">
        <v>1664</v>
      </c>
      <c r="G229" s="15" t="s">
        <v>1665</v>
      </c>
      <c r="H229" s="19">
        <v>11</v>
      </c>
      <c r="I229" s="19">
        <f>sensorCalcs!G156</f>
        <v>22.130000000000003</v>
      </c>
      <c r="J229" s="19">
        <f>26+27+29+(140*6)+40</f>
        <v>962</v>
      </c>
      <c r="K229" s="78">
        <f>sensorCalcs!O156</f>
        <v>371.93025553811867</v>
      </c>
      <c r="L229" s="78">
        <f>sensorCalcs!U156</f>
        <v>5.5824074566195048</v>
      </c>
      <c r="M229" s="78">
        <f>sensorCalcs!P156</f>
        <v>372.10141613045363</v>
      </c>
      <c r="N229" s="19">
        <f>sensorCalcs!E156</f>
        <v>0.32601000000000002</v>
      </c>
      <c r="O229" s="42">
        <v>742.8</v>
      </c>
    </row>
    <row r="230" spans="1:15" hidden="1" x14ac:dyDescent="0.35">
      <c r="A230" s="6" t="s">
        <v>104</v>
      </c>
      <c r="B230" s="72" t="s">
        <v>64</v>
      </c>
      <c r="C230" s="4" t="str">
        <f>sensorCalcs!C157</f>
        <v>2015-09-30 11:39</v>
      </c>
      <c r="D230" s="4" t="s">
        <v>2035</v>
      </c>
      <c r="E230" s="4" t="s">
        <v>2036</v>
      </c>
      <c r="F230" s="21" t="s">
        <v>105</v>
      </c>
      <c r="G230" s="21" t="s">
        <v>105</v>
      </c>
      <c r="H230" s="17">
        <v>43</v>
      </c>
      <c r="I230" s="17">
        <f>sensorCalcs!G157</f>
        <v>22.297777777777775</v>
      </c>
      <c r="J230" s="17">
        <f>27+26+27+140+140+20</f>
        <v>380</v>
      </c>
      <c r="K230" s="18">
        <f>sensorCalcs!O157</f>
        <v>147.31242440649541</v>
      </c>
      <c r="L230" s="18">
        <f>sensorCalcs!U157</f>
        <v>1.9696565961401982</v>
      </c>
      <c r="M230" s="18">
        <f>sensorCalcs!P157</f>
        <v>147.3728037949675</v>
      </c>
      <c r="N230" s="17">
        <f>sensorCalcs!E157</f>
        <v>5.9220000000000002E-2</v>
      </c>
      <c r="O230" s="44">
        <v>746.7</v>
      </c>
    </row>
    <row r="231" spans="1:15" hidden="1" x14ac:dyDescent="0.35">
      <c r="A231" s="9" t="s">
        <v>104</v>
      </c>
      <c r="B231" s="73" t="s">
        <v>69</v>
      </c>
      <c r="C231" s="16" t="s">
        <v>1885</v>
      </c>
      <c r="D231" s="16" t="s">
        <v>105</v>
      </c>
      <c r="E231" s="16" t="s">
        <v>1816</v>
      </c>
      <c r="F231" s="15" t="s">
        <v>105</v>
      </c>
      <c r="G231" s="15" t="s">
        <v>105</v>
      </c>
      <c r="H231" s="19">
        <v>65</v>
      </c>
      <c r="I231" s="19">
        <v>24.3</v>
      </c>
      <c r="J231" s="19">
        <v>27</v>
      </c>
      <c r="K231" s="78" t="s">
        <v>105</v>
      </c>
      <c r="L231" s="78" t="s">
        <v>105</v>
      </c>
      <c r="M231" s="78" t="s">
        <v>105</v>
      </c>
      <c r="N231" s="19" t="s">
        <v>105</v>
      </c>
      <c r="O231" s="42">
        <v>767.33399999999995</v>
      </c>
    </row>
    <row r="232" spans="1:15" hidden="1" x14ac:dyDescent="0.35">
      <c r="A232" s="6" t="s">
        <v>104</v>
      </c>
      <c r="B232" s="72" t="s">
        <v>60</v>
      </c>
      <c r="C232" s="4" t="str">
        <f>sensorCalcs!C159</f>
        <v>2015-09-30 12:05</v>
      </c>
      <c r="D232" s="4" t="s">
        <v>2074</v>
      </c>
      <c r="E232" s="4" t="s">
        <v>2075</v>
      </c>
      <c r="F232" s="21" t="s">
        <v>2037</v>
      </c>
      <c r="G232" s="21" t="s">
        <v>2038</v>
      </c>
      <c r="H232" s="17">
        <v>99</v>
      </c>
      <c r="I232" s="17">
        <f>sensorCalcs!G159</f>
        <v>22.823888888888888</v>
      </c>
      <c r="J232" s="17">
        <f>27+28+28+140+140+6+8</f>
        <v>377</v>
      </c>
      <c r="K232" s="18">
        <f>sensorCalcs!O159</f>
        <v>112.85307620868331</v>
      </c>
      <c r="L232" s="18">
        <f>sensorCalcs!U159</f>
        <v>1.9642078511028989</v>
      </c>
      <c r="M232" s="18">
        <f>sensorCalcs!P159</f>
        <v>112.91227937530205</v>
      </c>
      <c r="N232" s="17">
        <f>sensorCalcs!E159</f>
        <v>0.59279999999999999</v>
      </c>
      <c r="O232" s="44">
        <v>746.7</v>
      </c>
    </row>
    <row r="233" spans="1:15" hidden="1" x14ac:dyDescent="0.35">
      <c r="A233" s="9" t="s">
        <v>104</v>
      </c>
      <c r="B233" s="73" t="s">
        <v>9</v>
      </c>
      <c r="C233" s="16" t="str">
        <f>sensorCalcs!C160</f>
        <v>2015-10-05 14:29</v>
      </c>
      <c r="D233" s="16" t="s">
        <v>2072</v>
      </c>
      <c r="E233" s="16" t="s">
        <v>2073</v>
      </c>
      <c r="F233" s="15" t="s">
        <v>2039</v>
      </c>
      <c r="G233" s="15" t="s">
        <v>2040</v>
      </c>
      <c r="H233" s="19">
        <v>11</v>
      </c>
      <c r="I233" s="19">
        <f>sensorCalcs!G160</f>
        <v>19.270000000000003</v>
      </c>
      <c r="J233" s="19">
        <f>27+28+27+(140*9)+10</f>
        <v>1352</v>
      </c>
      <c r="K233" s="78">
        <f>sensorCalcs!O160</f>
        <v>354.23023859799935</v>
      </c>
      <c r="L233" s="78">
        <f>sensorCalcs!U160</f>
        <v>5.6398007269989252</v>
      </c>
      <c r="M233" s="78">
        <f>sensorCalcs!P160</f>
        <v>354.39417487961896</v>
      </c>
      <c r="N233" s="19">
        <f>sensorCalcs!E160</f>
        <v>0.33822000000000002</v>
      </c>
      <c r="O233" s="42">
        <v>749.7</v>
      </c>
    </row>
    <row r="234" spans="1:15" hidden="1" x14ac:dyDescent="0.35">
      <c r="A234" s="6" t="s">
        <v>104</v>
      </c>
      <c r="B234" s="72" t="s">
        <v>14</v>
      </c>
      <c r="C234" s="4" t="s">
        <v>1901</v>
      </c>
      <c r="D234" s="4" t="s">
        <v>105</v>
      </c>
      <c r="E234" s="4" t="s">
        <v>1825</v>
      </c>
      <c r="F234" s="21" t="s">
        <v>105</v>
      </c>
      <c r="G234" s="21" t="s">
        <v>105</v>
      </c>
      <c r="H234" s="17" t="s">
        <v>105</v>
      </c>
      <c r="I234" s="17">
        <v>24</v>
      </c>
      <c r="J234" s="17">
        <f>((PI()*(0.875^2)*5.5)*16.387)</f>
        <v>216.78444750741116</v>
      </c>
      <c r="K234" s="18" t="s">
        <v>105</v>
      </c>
      <c r="L234" s="18" t="s">
        <v>105</v>
      </c>
      <c r="M234" s="18" t="s">
        <v>105</v>
      </c>
      <c r="N234" s="17" t="s">
        <v>105</v>
      </c>
      <c r="O234" s="44">
        <v>767.33399999999995</v>
      </c>
    </row>
    <row r="235" spans="1:15" hidden="1" x14ac:dyDescent="0.35">
      <c r="A235" s="9" t="s">
        <v>104</v>
      </c>
      <c r="B235" s="73" t="s">
        <v>18</v>
      </c>
      <c r="C235" s="16" t="str">
        <f>sensorCalcs!C162</f>
        <v>2015-10-05 15:22</v>
      </c>
      <c r="D235" s="16" t="s">
        <v>2080</v>
      </c>
      <c r="E235" s="16" t="s">
        <v>2081</v>
      </c>
      <c r="F235" s="15" t="s">
        <v>2042</v>
      </c>
      <c r="G235" s="15" t="s">
        <v>2043</v>
      </c>
      <c r="H235" s="19">
        <v>10</v>
      </c>
      <c r="I235" s="19">
        <f>sensorCalcs!G162</f>
        <v>20.149999999999999</v>
      </c>
      <c r="J235" s="19">
        <f>27.5+27.5+27+(140*9)+80</f>
        <v>1422</v>
      </c>
      <c r="K235" s="78">
        <f>sensorCalcs!O162</f>
        <v>367.75051387329705</v>
      </c>
      <c r="L235" s="78">
        <f>sensorCalcs!U162</f>
        <v>5.6257891076377371</v>
      </c>
      <c r="M235" s="78">
        <f>sensorCalcs!P162</f>
        <v>367.92167446563201</v>
      </c>
      <c r="N235" s="19">
        <f>sensorCalcs!E162</f>
        <v>0.35043000000000002</v>
      </c>
      <c r="O235" s="42">
        <v>749.7</v>
      </c>
    </row>
    <row r="236" spans="1:15" hidden="1" x14ac:dyDescent="0.35">
      <c r="A236" s="6" t="s">
        <v>104</v>
      </c>
      <c r="B236" s="72" t="s">
        <v>25</v>
      </c>
      <c r="C236" s="4" t="str">
        <f>sensorCalcs!C163</f>
        <v>2015-10-05 13:47</v>
      </c>
      <c r="D236" s="4" t="s">
        <v>2084</v>
      </c>
      <c r="E236" s="4" t="s">
        <v>2083</v>
      </c>
      <c r="F236" s="21" t="s">
        <v>2045</v>
      </c>
      <c r="G236" s="21" t="s">
        <v>2046</v>
      </c>
      <c r="H236" s="17">
        <v>31</v>
      </c>
      <c r="I236" s="17">
        <f>sensorCalcs!G163</f>
        <v>20.865000000000002</v>
      </c>
      <c r="J236" s="17">
        <f>26+26+27+140+38</f>
        <v>257</v>
      </c>
      <c r="K236" s="18">
        <f>sensorCalcs!O163</f>
        <v>114.18890352605716</v>
      </c>
      <c r="L236" s="18">
        <f>sensorCalcs!U163</f>
        <v>1.9788133106690287</v>
      </c>
      <c r="M236" s="18">
        <f>sensorCalcs!P163</f>
        <v>114.24693047082255</v>
      </c>
      <c r="N236" s="17">
        <f>sensorCalcs!E163</f>
        <v>0.53113999999999995</v>
      </c>
      <c r="O236" s="42">
        <v>749.7</v>
      </c>
    </row>
    <row r="237" spans="1:15" hidden="1" x14ac:dyDescent="0.35">
      <c r="A237" s="9" t="s">
        <v>104</v>
      </c>
      <c r="B237" s="73" t="s">
        <v>26</v>
      </c>
      <c r="C237" s="16" t="str">
        <f>sensorCalcs!C164</f>
        <v>2015-10-05 13:20</v>
      </c>
      <c r="D237" s="16" t="s">
        <v>2087</v>
      </c>
      <c r="E237" s="16" t="s">
        <v>2086</v>
      </c>
      <c r="F237" s="15" t="s">
        <v>105</v>
      </c>
      <c r="G237" s="15" t="s">
        <v>105</v>
      </c>
      <c r="H237" s="19">
        <v>36</v>
      </c>
      <c r="I237" s="19">
        <f>sensorCalcs!G164</f>
        <v>20.865000000000002</v>
      </c>
      <c r="J237" s="19">
        <f>26.5+28+26+(140*4)+106</f>
        <v>746.5</v>
      </c>
      <c r="K237" s="78">
        <f>sensorCalcs!O164</f>
        <v>103.31867675575802</v>
      </c>
      <c r="L237" s="78">
        <f>sensorCalcs!U164</f>
        <v>1.9782310051774608</v>
      </c>
      <c r="M237" s="78">
        <f>sensorCalcs!P164</f>
        <v>103.37611558959674</v>
      </c>
      <c r="N237" s="19">
        <f>sensorCalcs!E164</f>
        <v>0.70023999999999997</v>
      </c>
      <c r="O237" s="42">
        <v>749.7</v>
      </c>
    </row>
    <row r="238" spans="1:15" x14ac:dyDescent="0.35">
      <c r="A238" s="9" t="s">
        <v>104</v>
      </c>
      <c r="B238" s="73" t="s">
        <v>167</v>
      </c>
      <c r="C238" s="16" t="s">
        <v>1920</v>
      </c>
      <c r="D238" s="16" t="s">
        <v>105</v>
      </c>
      <c r="E238" s="16" t="s">
        <v>1850</v>
      </c>
      <c r="F238" s="15" t="s">
        <v>105</v>
      </c>
      <c r="G238" s="15" t="s">
        <v>105</v>
      </c>
      <c r="H238" s="19" t="s">
        <v>105</v>
      </c>
      <c r="I238" s="19">
        <v>24</v>
      </c>
      <c r="J238" s="19">
        <f>140+120+3+27+28+28</f>
        <v>346</v>
      </c>
      <c r="K238" s="78" t="s">
        <v>105</v>
      </c>
      <c r="L238" s="78" t="s">
        <v>105</v>
      </c>
      <c r="M238" s="78" t="s">
        <v>105</v>
      </c>
      <c r="N238" s="19" t="s">
        <v>105</v>
      </c>
      <c r="O238" s="42">
        <v>769.87400000000002</v>
      </c>
    </row>
    <row r="239" spans="1:15" hidden="1" x14ac:dyDescent="0.35">
      <c r="A239" s="9" t="s">
        <v>104</v>
      </c>
      <c r="B239" s="73" t="s">
        <v>64</v>
      </c>
      <c r="C239" s="16" t="str">
        <f>sensorCalcs!C166</f>
        <v>2015-10-08 12:05</v>
      </c>
      <c r="D239" s="16" t="s">
        <v>2092</v>
      </c>
      <c r="E239" s="16" t="s">
        <v>2093</v>
      </c>
      <c r="F239" s="15" t="s">
        <v>2049</v>
      </c>
      <c r="G239" s="15" t="s">
        <v>2050</v>
      </c>
      <c r="H239" s="19">
        <v>45</v>
      </c>
      <c r="I239" s="19">
        <f>sensorCalcs!G166</f>
        <v>20.31722222222222</v>
      </c>
      <c r="J239" s="19">
        <f>25+25+25+140+140+80</f>
        <v>435</v>
      </c>
      <c r="K239" s="78">
        <f>sensorCalcs!O166</f>
        <v>148.60273193814447</v>
      </c>
      <c r="L239" s="78">
        <f>sensorCalcs!U166</f>
        <v>1.9860166970511204</v>
      </c>
      <c r="M239" s="78">
        <f>sensorCalcs!P166</f>
        <v>148.66311132661659</v>
      </c>
      <c r="N239" s="19">
        <f>sensorCalcs!E166</f>
        <v>3.7850000000000002E-2</v>
      </c>
      <c r="O239" s="42">
        <v>755.7</v>
      </c>
    </row>
    <row r="240" spans="1:15" hidden="1" x14ac:dyDescent="0.35">
      <c r="A240" s="29" t="s">
        <v>8</v>
      </c>
      <c r="B240" s="72" t="s">
        <v>69</v>
      </c>
      <c r="C240" s="4" t="s">
        <v>1890</v>
      </c>
      <c r="D240" s="4" t="s">
        <v>105</v>
      </c>
      <c r="E240" s="4" t="s">
        <v>1819</v>
      </c>
      <c r="F240" s="21" t="s">
        <v>105</v>
      </c>
      <c r="G240" s="21" t="s">
        <v>105</v>
      </c>
      <c r="H240" s="17" t="s">
        <v>105</v>
      </c>
      <c r="I240" s="17" t="s">
        <v>105</v>
      </c>
      <c r="J240" s="17">
        <v>0</v>
      </c>
      <c r="K240" s="18" t="s">
        <v>105</v>
      </c>
      <c r="L240" s="18" t="s">
        <v>105</v>
      </c>
      <c r="M240" s="18" t="s">
        <v>105</v>
      </c>
      <c r="N240" s="17" t="s">
        <v>105</v>
      </c>
      <c r="O240" s="44">
        <v>767.33399999999995</v>
      </c>
    </row>
    <row r="241" spans="1:15" hidden="1" x14ac:dyDescent="0.35">
      <c r="A241" s="9" t="s">
        <v>104</v>
      </c>
      <c r="B241" s="73" t="s">
        <v>60</v>
      </c>
      <c r="C241" s="16" t="str">
        <f>sensorCalcs!C168</f>
        <v>2015-10-08 14:17</v>
      </c>
      <c r="D241" s="16" t="s">
        <v>2098</v>
      </c>
      <c r="E241" s="16" t="s">
        <v>2099</v>
      </c>
      <c r="F241" s="15" t="s">
        <v>2053</v>
      </c>
      <c r="G241" s="15" t="s">
        <v>2054</v>
      </c>
      <c r="H241" s="19">
        <v>99</v>
      </c>
      <c r="I241" s="19">
        <f>sensorCalcs!G168</f>
        <v>20.483888888888885</v>
      </c>
      <c r="J241" s="19">
        <f>26+27+25+140+140+85</f>
        <v>443</v>
      </c>
      <c r="K241" s="78">
        <f>sensorCalcs!O168</f>
        <v>140.68389280449691</v>
      </c>
      <c r="L241" s="78">
        <f>sensorCalcs!U168</f>
        <v>1.9848981733158961</v>
      </c>
      <c r="M241" s="78">
        <f>sensorCalcs!P168</f>
        <v>140.74309597111568</v>
      </c>
      <c r="N241" s="19">
        <f>sensorCalcs!E168</f>
        <v>0.12271</v>
      </c>
      <c r="O241" s="42">
        <v>755.7</v>
      </c>
    </row>
    <row r="242" spans="1:15" hidden="1" x14ac:dyDescent="0.35">
      <c r="A242" s="6" t="s">
        <v>104</v>
      </c>
      <c r="B242" s="72" t="s">
        <v>9</v>
      </c>
      <c r="C242" s="4" t="str">
        <f>sensorCalcs!C169</f>
        <v>2015-10-14 11:50</v>
      </c>
      <c r="D242" s="4" t="s">
        <v>2101</v>
      </c>
      <c r="E242" s="4" t="s">
        <v>2100</v>
      </c>
      <c r="F242" s="21" t="s">
        <v>2055</v>
      </c>
      <c r="G242" s="21" t="s">
        <v>2056</v>
      </c>
      <c r="H242" s="17">
        <v>11</v>
      </c>
      <c r="I242" s="17">
        <f>sensorCalcs!G169</f>
        <v>16.533888888888889</v>
      </c>
      <c r="J242" s="17">
        <f>25+25+25+(140*8)</f>
        <v>1195</v>
      </c>
      <c r="K242" s="18">
        <f>sensorCalcs!O169</f>
        <v>351.82857207227227</v>
      </c>
      <c r="L242" s="18">
        <f>sensorCalcs!U169</f>
        <v>5.6999281219098821</v>
      </c>
      <c r="M242" s="18">
        <f>sensorCalcs!P169</f>
        <v>351.99250835389182</v>
      </c>
      <c r="N242" s="17">
        <f>sensorCalcs!E169</f>
        <v>0.35287000000000002</v>
      </c>
      <c r="O242" s="44">
        <v>758.7</v>
      </c>
    </row>
    <row r="243" spans="1:15" hidden="1" x14ac:dyDescent="0.35">
      <c r="A243" s="6" t="s">
        <v>104</v>
      </c>
      <c r="B243" s="72" t="s">
        <v>14</v>
      </c>
      <c r="C243" s="4" t="s">
        <v>1903</v>
      </c>
      <c r="D243" s="4" t="s">
        <v>105</v>
      </c>
      <c r="E243" s="4" t="s">
        <v>1827</v>
      </c>
      <c r="F243" s="21" t="s">
        <v>105</v>
      </c>
      <c r="G243" s="21" t="s">
        <v>105</v>
      </c>
      <c r="H243" s="17" t="s">
        <v>105</v>
      </c>
      <c r="I243" s="17">
        <v>25.5</v>
      </c>
      <c r="J243" s="17">
        <f>26+29+24+25</f>
        <v>104</v>
      </c>
      <c r="K243" s="18" t="s">
        <v>105</v>
      </c>
      <c r="L243" s="18" t="s">
        <v>105</v>
      </c>
      <c r="M243" s="18" t="s">
        <v>105</v>
      </c>
      <c r="N243" s="17" t="s">
        <v>105</v>
      </c>
      <c r="O243" s="44">
        <v>767.33399999999995</v>
      </c>
    </row>
    <row r="244" spans="1:15" hidden="1" x14ac:dyDescent="0.35">
      <c r="A244" s="6" t="s">
        <v>104</v>
      </c>
      <c r="B244" s="72" t="s">
        <v>18</v>
      </c>
      <c r="C244" s="4" t="str">
        <f>sensorCalcs!C171</f>
        <v>2015-10-14 12:59</v>
      </c>
      <c r="D244" s="4" t="s">
        <v>2108</v>
      </c>
      <c r="E244" s="4" t="s">
        <v>2107</v>
      </c>
      <c r="F244" s="21" t="s">
        <v>2059</v>
      </c>
      <c r="G244" s="21" t="s">
        <v>2060</v>
      </c>
      <c r="H244" s="17">
        <v>10</v>
      </c>
      <c r="I244" s="17">
        <f>sensorCalcs!G171</f>
        <v>18.105</v>
      </c>
      <c r="J244" s="17">
        <f>24+24+25+(140*10)+5</f>
        <v>1478</v>
      </c>
      <c r="K244" s="18">
        <f>sensorCalcs!O171</f>
        <v>362.31787667258288</v>
      </c>
      <c r="L244" s="18">
        <f>sensorCalcs!U171</f>
        <v>5.6719017875758491</v>
      </c>
      <c r="M244" s="18">
        <f>sensorCalcs!P171</f>
        <v>362.4890372649179</v>
      </c>
      <c r="N244" s="17">
        <f>sensorCalcs!E171</f>
        <v>0.38217000000000001</v>
      </c>
      <c r="O244" s="44">
        <v>758.7</v>
      </c>
    </row>
    <row r="245" spans="1:15" hidden="1" x14ac:dyDescent="0.35">
      <c r="A245" s="9" t="s">
        <v>104</v>
      </c>
      <c r="B245" s="73" t="s">
        <v>25</v>
      </c>
      <c r="C245" s="16" t="str">
        <f>sensorCalcs!C172</f>
        <v>2015-10-14 13:59</v>
      </c>
      <c r="D245" s="16" t="s">
        <v>2114</v>
      </c>
      <c r="E245" s="16" t="s">
        <v>2113</v>
      </c>
      <c r="F245" s="15" t="s">
        <v>105</v>
      </c>
      <c r="G245" s="15" t="s">
        <v>105</v>
      </c>
      <c r="H245" s="19">
        <v>30</v>
      </c>
      <c r="I245" s="19">
        <f>sensorCalcs!G172</f>
        <v>18.866111111111113</v>
      </c>
      <c r="J245" s="19">
        <f>25+26+25+100</f>
        <v>176</v>
      </c>
      <c r="K245" s="78">
        <f>sensorCalcs!O172</f>
        <v>115.03957853631803</v>
      </c>
      <c r="L245" s="78">
        <f>sensorCalcs!U172</f>
        <v>1.9948063105944642</v>
      </c>
      <c r="M245" s="78">
        <f>sensorCalcs!P172</f>
        <v>115.09760548108343</v>
      </c>
      <c r="N245" s="19">
        <f>sensorCalcs!E172</f>
        <v>0.51648000000000005</v>
      </c>
      <c r="O245" s="44">
        <v>758.7</v>
      </c>
    </row>
    <row r="246" spans="1:15" hidden="1" x14ac:dyDescent="0.35">
      <c r="A246" s="6" t="s">
        <v>104</v>
      </c>
      <c r="B246" s="72" t="s">
        <v>26</v>
      </c>
      <c r="C246" s="4" t="str">
        <f>sensorCalcs!C173</f>
        <v>2015-10-14 14:37</v>
      </c>
      <c r="D246" s="4" t="s">
        <v>2115</v>
      </c>
      <c r="E246" s="4" t="s">
        <v>2116</v>
      </c>
      <c r="F246" s="21" t="s">
        <v>2061</v>
      </c>
      <c r="G246" s="21" t="s">
        <v>2062</v>
      </c>
      <c r="H246" s="17">
        <v>42</v>
      </c>
      <c r="I246" s="17">
        <f>sensorCalcs!G173</f>
        <v>19.175000000000001</v>
      </c>
      <c r="J246" s="17">
        <f>25+25+26+(140*4)+40</f>
        <v>676</v>
      </c>
      <c r="K246" s="18">
        <f>sensorCalcs!O173</f>
        <v>93.815421697139783</v>
      </c>
      <c r="L246" s="18">
        <f>sensorCalcs!U173</f>
        <v>1.9910883957958465</v>
      </c>
      <c r="M246" s="18">
        <f>sensorCalcs!P173</f>
        <v>93.872860530978514</v>
      </c>
      <c r="N246" s="17">
        <f>sensorCalcs!E173</f>
        <v>0.86568999999999996</v>
      </c>
      <c r="O246" s="44">
        <v>758.7</v>
      </c>
    </row>
    <row r="247" spans="1:15" x14ac:dyDescent="0.35">
      <c r="A247" s="9" t="s">
        <v>104</v>
      </c>
      <c r="B247" s="73" t="s">
        <v>167</v>
      </c>
      <c r="C247" s="16" t="s">
        <v>1924</v>
      </c>
      <c r="D247" s="16" t="s">
        <v>105</v>
      </c>
      <c r="E247" s="16" t="s">
        <v>1856</v>
      </c>
      <c r="F247" s="15" t="s">
        <v>105</v>
      </c>
      <c r="G247" s="15" t="s">
        <v>105</v>
      </c>
      <c r="H247" s="19" t="s">
        <v>105</v>
      </c>
      <c r="I247" s="19">
        <v>26</v>
      </c>
      <c r="J247" s="19">
        <f>27.5+20</f>
        <v>47.5</v>
      </c>
      <c r="K247" s="78" t="s">
        <v>105</v>
      </c>
      <c r="L247" s="78" t="s">
        <v>105</v>
      </c>
      <c r="M247" s="78" t="s">
        <v>105</v>
      </c>
      <c r="N247" s="19" t="s">
        <v>105</v>
      </c>
      <c r="O247" s="42">
        <v>769.87399999999991</v>
      </c>
    </row>
    <row r="248" spans="1:15" hidden="1" x14ac:dyDescent="0.35">
      <c r="A248" s="6" t="s">
        <v>104</v>
      </c>
      <c r="B248" s="72" t="s">
        <v>64</v>
      </c>
      <c r="C248" s="4" t="str">
        <f>sensorCalcs!C175</f>
        <v>2015-10-16 11:42</v>
      </c>
      <c r="D248" s="4" t="s">
        <v>2158</v>
      </c>
      <c r="E248" s="4" t="s">
        <v>2157</v>
      </c>
      <c r="F248" s="21" t="s">
        <v>2065</v>
      </c>
      <c r="G248" s="21" t="s">
        <v>1502</v>
      </c>
      <c r="H248" s="17">
        <v>44</v>
      </c>
      <c r="I248" s="17">
        <f>sensorCalcs!G175</f>
        <v>19.198888888888892</v>
      </c>
      <c r="J248" s="17">
        <f>30+28+27+140+140+13</f>
        <v>378</v>
      </c>
      <c r="K248" s="18">
        <f>sensorCalcs!O175</f>
        <v>148.60273193814447</v>
      </c>
      <c r="L248" s="18">
        <f>sensorCalcs!U175</f>
        <v>1.9967017041506212</v>
      </c>
      <c r="M248" s="18">
        <f>sensorCalcs!P175</f>
        <v>148.66311132661659</v>
      </c>
      <c r="N248" s="17">
        <f>sensorCalcs!E175</f>
        <v>3.7850000000000002E-2</v>
      </c>
      <c r="O248" s="44">
        <v>750.7</v>
      </c>
    </row>
    <row r="249" spans="1:15" hidden="1" x14ac:dyDescent="0.35">
      <c r="A249" s="9" t="s">
        <v>104</v>
      </c>
      <c r="B249" s="73" t="s">
        <v>69</v>
      </c>
      <c r="C249" s="16" t="s">
        <v>1896</v>
      </c>
      <c r="D249" s="16" t="s">
        <v>105</v>
      </c>
      <c r="E249" s="16" t="s">
        <v>1823</v>
      </c>
      <c r="F249" s="15" t="s">
        <v>105</v>
      </c>
      <c r="G249" s="15" t="s">
        <v>105</v>
      </c>
      <c r="H249" s="19" t="s">
        <v>105</v>
      </c>
      <c r="I249" s="19">
        <v>25.3</v>
      </c>
      <c r="J249" s="19">
        <f>27+27+4</f>
        <v>58</v>
      </c>
      <c r="K249" s="78" t="s">
        <v>105</v>
      </c>
      <c r="L249" s="78" t="s">
        <v>105</v>
      </c>
      <c r="M249" s="78" t="s">
        <v>105</v>
      </c>
      <c r="N249" s="19" t="s">
        <v>105</v>
      </c>
      <c r="O249" s="42">
        <v>767.33399999999995</v>
      </c>
    </row>
    <row r="250" spans="1:15" hidden="1" x14ac:dyDescent="0.35">
      <c r="A250" s="6" t="s">
        <v>104</v>
      </c>
      <c r="B250" s="72" t="s">
        <v>60</v>
      </c>
      <c r="C250" s="4" t="str">
        <f>sensorCalcs!C177</f>
        <v>2015-10-16 14:32</v>
      </c>
      <c r="D250" s="4" t="s">
        <v>2165</v>
      </c>
      <c r="E250" s="4" t="s">
        <v>2164</v>
      </c>
      <c r="F250" s="21" t="s">
        <v>2068</v>
      </c>
      <c r="G250" s="21" t="s">
        <v>2069</v>
      </c>
      <c r="H250" s="17">
        <v>97</v>
      </c>
      <c r="I250" s="17">
        <f>sensorCalcs!G177</f>
        <v>19.460000000000004</v>
      </c>
      <c r="J250" s="17">
        <f>26+26+26+140+26</f>
        <v>244</v>
      </c>
      <c r="K250" s="18">
        <f>sensorCalcs!O177</f>
        <v>144.5871575796719</v>
      </c>
      <c r="L250" s="18">
        <f>sensorCalcs!U177</f>
        <v>1.9952263431782065</v>
      </c>
      <c r="M250" s="18">
        <f>sensorCalcs!P177</f>
        <v>144.64636074629064</v>
      </c>
      <c r="N250" s="17">
        <f>sensorCalcs!E177</f>
        <v>5.6779999999999997E-2</v>
      </c>
      <c r="O250" s="44">
        <v>750.7</v>
      </c>
    </row>
    <row r="251" spans="1:15" hidden="1" x14ac:dyDescent="0.35">
      <c r="A251" s="9" t="s">
        <v>104</v>
      </c>
      <c r="B251" s="92" t="s">
        <v>9</v>
      </c>
      <c r="C251" s="16" t="str">
        <f>sensorCalcs!C178</f>
        <v>2015-10-19 12:24</v>
      </c>
      <c r="D251" s="16" t="s">
        <v>2167</v>
      </c>
      <c r="E251" s="16" t="s">
        <v>2168</v>
      </c>
      <c r="F251" s="15" t="s">
        <v>2169</v>
      </c>
      <c r="G251" s="15" t="s">
        <v>2170</v>
      </c>
      <c r="H251" s="19">
        <v>10</v>
      </c>
      <c r="I251" s="19">
        <f>sensorCalcs!G178</f>
        <v>16.843888888888891</v>
      </c>
      <c r="J251" s="19">
        <f>25+25+26+(140*8)+25</f>
        <v>1221</v>
      </c>
      <c r="K251" s="78">
        <f>sensorCalcs!O178</f>
        <v>353.93023520263552</v>
      </c>
      <c r="L251" s="78">
        <f>sensorCalcs!U178</f>
        <v>5.7026498848187561</v>
      </c>
      <c r="M251" s="78">
        <f>sensorCalcs!P178</f>
        <v>354.09417148425507</v>
      </c>
      <c r="N251" s="19">
        <f>sensorCalcs!E178</f>
        <v>0.34005000000000002</v>
      </c>
      <c r="O251" s="42">
        <v>750.4</v>
      </c>
    </row>
    <row r="252" spans="1:15" hidden="1" x14ac:dyDescent="0.35">
      <c r="A252" s="6" t="s">
        <v>104</v>
      </c>
      <c r="B252" s="72" t="s">
        <v>14</v>
      </c>
      <c r="C252" s="4" t="s">
        <v>1907</v>
      </c>
      <c r="D252" s="4" t="s">
        <v>105</v>
      </c>
      <c r="E252" s="4" t="s">
        <v>1831</v>
      </c>
      <c r="F252" s="21" t="s">
        <v>105</v>
      </c>
      <c r="G252" s="21" t="s">
        <v>105</v>
      </c>
      <c r="H252" s="17" t="s">
        <v>105</v>
      </c>
      <c r="I252" s="17">
        <v>25.5</v>
      </c>
      <c r="J252" s="17">
        <f>26+28+29+122</f>
        <v>205</v>
      </c>
      <c r="K252" s="18" t="s">
        <v>105</v>
      </c>
      <c r="L252" s="18" t="s">
        <v>105</v>
      </c>
      <c r="M252" s="18" t="s">
        <v>105</v>
      </c>
      <c r="N252" s="17" t="s">
        <v>105</v>
      </c>
      <c r="O252" s="44">
        <v>767.33399999999995</v>
      </c>
    </row>
    <row r="253" spans="1:15" hidden="1" x14ac:dyDescent="0.35">
      <c r="A253" s="9" t="s">
        <v>104</v>
      </c>
      <c r="B253" s="92" t="s">
        <v>18</v>
      </c>
      <c r="C253" s="16" t="str">
        <f>sensorCalcs!C180</f>
        <v>2015-10-19 13:40</v>
      </c>
      <c r="D253" s="16" t="s">
        <v>2180</v>
      </c>
      <c r="E253" s="16" t="s">
        <v>2181</v>
      </c>
      <c r="F253" s="15" t="s">
        <v>2173</v>
      </c>
      <c r="G253" s="15" t="s">
        <v>2174</v>
      </c>
      <c r="H253" s="19">
        <v>10</v>
      </c>
      <c r="I253" s="19">
        <f>sensorCalcs!G180</f>
        <v>17.937777777777775</v>
      </c>
      <c r="J253" s="19">
        <f>24+25+25+(140*9)+15</f>
        <v>1349</v>
      </c>
      <c r="K253" s="78">
        <f>sensorCalcs!O180</f>
        <v>362.31787667258288</v>
      </c>
      <c r="L253" s="78">
        <f>sensorCalcs!U180</f>
        <v>5.6838529785543175</v>
      </c>
      <c r="M253" s="78">
        <f>sensorCalcs!P180</f>
        <v>362.4890372649179</v>
      </c>
      <c r="N253" s="19">
        <f>sensorCalcs!E180</f>
        <v>0.38217000000000001</v>
      </c>
      <c r="O253" s="42">
        <v>750.4</v>
      </c>
    </row>
    <row r="254" spans="1:15" hidden="1" x14ac:dyDescent="0.35">
      <c r="A254" s="6" t="s">
        <v>104</v>
      </c>
      <c r="B254" s="29" t="s">
        <v>25</v>
      </c>
      <c r="C254" s="4" t="str">
        <f>sensorCalcs!C181</f>
        <v>2015-10-19 14:23</v>
      </c>
      <c r="D254" s="4" t="s">
        <v>105</v>
      </c>
      <c r="E254" s="4" t="s">
        <v>2183</v>
      </c>
      <c r="F254" s="21" t="s">
        <v>2175</v>
      </c>
      <c r="G254" s="21" t="s">
        <v>2176</v>
      </c>
      <c r="H254" s="17">
        <v>30</v>
      </c>
      <c r="I254" s="17">
        <f>sensorCalcs!G181</f>
        <v>18.961111111111109</v>
      </c>
      <c r="J254" s="17">
        <f>25+25+25+15</f>
        <v>90</v>
      </c>
      <c r="K254" s="18">
        <f>sensorCalcs!O181</f>
        <v>118.3337681906503</v>
      </c>
      <c r="L254" s="18">
        <f>sensorCalcs!U181</f>
        <v>1.997417962941719</v>
      </c>
      <c r="M254" s="18">
        <f>sensorCalcs!P181</f>
        <v>118.39179513541569</v>
      </c>
      <c r="N254" s="17">
        <f>sensorCalcs!E181</f>
        <v>0.45971000000000001</v>
      </c>
      <c r="O254" s="44">
        <v>750.4</v>
      </c>
    </row>
    <row r="255" spans="1:15" hidden="1" x14ac:dyDescent="0.35">
      <c r="A255" s="9" t="s">
        <v>104</v>
      </c>
      <c r="B255" s="92" t="s">
        <v>26</v>
      </c>
      <c r="C255" s="16" t="str">
        <f>sensorCalcs!C182</f>
        <v>2015-10-19 14:54</v>
      </c>
      <c r="D255" s="16" t="s">
        <v>2186</v>
      </c>
      <c r="E255" s="16" t="s">
        <v>2185</v>
      </c>
      <c r="F255" s="15" t="s">
        <v>2177</v>
      </c>
      <c r="G255" s="15" t="s">
        <v>2178</v>
      </c>
      <c r="H255" s="19">
        <v>39</v>
      </c>
      <c r="I255" s="19">
        <f>sensorCalcs!G182</f>
        <v>18.722777777777775</v>
      </c>
      <c r="J255" s="19">
        <f>25+26+26+140+140+105</f>
        <v>462</v>
      </c>
      <c r="K255" s="78">
        <f>sensorCalcs!O182</f>
        <v>84.558004847351285</v>
      </c>
      <c r="L255" s="78">
        <f>sensorCalcs!U182</f>
        <v>1.9959891425309619</v>
      </c>
      <c r="M255" s="78">
        <f>sensorCalcs!P182</f>
        <v>84.615443681190015</v>
      </c>
      <c r="N255" s="19">
        <f>sensorCalcs!E182</f>
        <v>1.0268600000000001</v>
      </c>
      <c r="O255" s="42">
        <v>750.4</v>
      </c>
    </row>
    <row r="256" spans="1:15" x14ac:dyDescent="0.35">
      <c r="A256" s="9" t="s">
        <v>104</v>
      </c>
      <c r="B256" s="73" t="s">
        <v>167</v>
      </c>
      <c r="C256" s="16" t="s">
        <v>1926</v>
      </c>
      <c r="D256" s="16" t="s">
        <v>105</v>
      </c>
      <c r="E256" s="16" t="s">
        <v>1859</v>
      </c>
      <c r="F256" s="15" t="s">
        <v>105</v>
      </c>
      <c r="G256" s="15" t="s">
        <v>105</v>
      </c>
      <c r="H256" s="19" t="s">
        <v>105</v>
      </c>
      <c r="I256" s="19">
        <v>24.5</v>
      </c>
      <c r="J256" s="78">
        <f>((PI()*(0.875^2)*22)*16.387)+26+28+26</f>
        <v>947.13779002964463</v>
      </c>
      <c r="K256" s="78" t="s">
        <v>105</v>
      </c>
      <c r="L256" s="78" t="s">
        <v>105</v>
      </c>
      <c r="M256" s="78" t="s">
        <v>105</v>
      </c>
      <c r="N256" s="19" t="s">
        <v>105</v>
      </c>
      <c r="O256" s="42">
        <v>769.62</v>
      </c>
    </row>
    <row r="257" spans="1:15" hidden="1" x14ac:dyDescent="0.35">
      <c r="A257" s="9" t="s">
        <v>104</v>
      </c>
      <c r="B257" s="92" t="s">
        <v>64</v>
      </c>
      <c r="C257" s="16" t="str">
        <f>sensorCalcs!C184</f>
        <v>2015-10-21 19:08</v>
      </c>
      <c r="D257" s="16" t="s">
        <v>2191</v>
      </c>
      <c r="E257" s="16" t="s">
        <v>2192</v>
      </c>
      <c r="F257" s="19">
        <v>39.036940999999999</v>
      </c>
      <c r="G257" s="19">
        <v>-84.138135000000005</v>
      </c>
      <c r="H257" s="19">
        <v>46</v>
      </c>
      <c r="I257" s="19">
        <f>sensorCalcs!G184</f>
        <v>17.84277777777778</v>
      </c>
      <c r="J257" s="19">
        <f>140+100+30+28+29</f>
        <v>327</v>
      </c>
      <c r="K257" s="78">
        <f>sensorCalcs!O184</f>
        <v>144.76924456404993</v>
      </c>
      <c r="L257" s="78">
        <f>sensorCalcs!U184</f>
        <v>2.0089680993834502</v>
      </c>
      <c r="M257" s="78">
        <f>sensorCalcs!P184</f>
        <v>144.82962395252201</v>
      </c>
      <c r="N257" s="19">
        <f>sensorCalcs!E184</f>
        <v>0.10134</v>
      </c>
      <c r="O257" s="19">
        <v>745.8</v>
      </c>
    </row>
    <row r="258" spans="1:15" hidden="1" x14ac:dyDescent="0.35">
      <c r="A258" s="9" t="s">
        <v>104</v>
      </c>
      <c r="B258" s="73" t="s">
        <v>69</v>
      </c>
      <c r="C258" s="16" t="s">
        <v>1910</v>
      </c>
      <c r="D258" s="16" t="s">
        <v>105</v>
      </c>
      <c r="E258" s="16" t="s">
        <v>1836</v>
      </c>
      <c r="F258" s="15" t="s">
        <v>105</v>
      </c>
      <c r="G258" s="15" t="s">
        <v>105</v>
      </c>
      <c r="H258" s="19" t="s">
        <v>105</v>
      </c>
      <c r="I258" s="19">
        <v>24.1</v>
      </c>
      <c r="J258" s="19">
        <f>27+27+26+110</f>
        <v>190</v>
      </c>
      <c r="K258" s="78" t="s">
        <v>105</v>
      </c>
      <c r="L258" s="78" t="s">
        <v>105</v>
      </c>
      <c r="M258" s="78" t="s">
        <v>105</v>
      </c>
      <c r="N258" s="19" t="s">
        <v>105</v>
      </c>
      <c r="O258" s="42">
        <v>769.87399999999991</v>
      </c>
    </row>
    <row r="259" spans="1:15" hidden="1" x14ac:dyDescent="0.35">
      <c r="A259" s="9" t="s">
        <v>104</v>
      </c>
      <c r="B259" s="92" t="s">
        <v>60</v>
      </c>
      <c r="C259" s="16" t="str">
        <f>sensorCalcs!C186</f>
        <v>2015-10-21 14:10</v>
      </c>
      <c r="D259" s="16" t="s">
        <v>2198</v>
      </c>
      <c r="E259" s="16" t="s">
        <v>2197</v>
      </c>
      <c r="F259" s="19">
        <v>39.019975000000002</v>
      </c>
      <c r="G259" s="19">
        <v>-84.153478329999999</v>
      </c>
      <c r="H259" s="19">
        <v>101</v>
      </c>
      <c r="I259" s="19">
        <f>sensorCalcs!G186</f>
        <v>18.081111111111113</v>
      </c>
      <c r="J259" s="19">
        <f>140+70+28+30+28</f>
        <v>296</v>
      </c>
      <c r="K259" s="78">
        <f>sensorCalcs!O186</f>
        <v>146.21406059835545</v>
      </c>
      <c r="L259" s="78">
        <f>sensorCalcs!U186</f>
        <v>2.0081624110082035</v>
      </c>
      <c r="M259" s="78">
        <f>sensorCalcs!P186</f>
        <v>146.27326376497419</v>
      </c>
      <c r="N259" s="19">
        <f>sensorCalcs!E186</f>
        <v>2.93E-2</v>
      </c>
      <c r="O259" s="19">
        <v>745.8</v>
      </c>
    </row>
    <row r="260" spans="1:15" hidden="1" x14ac:dyDescent="0.35">
      <c r="A260" s="6" t="s">
        <v>104</v>
      </c>
      <c r="B260" s="29" t="s">
        <v>9</v>
      </c>
      <c r="C260" s="4" t="str">
        <f>sensorCalcs!C187</f>
        <v>2015-10-26 11:52</v>
      </c>
      <c r="D260" s="4" t="s">
        <v>2207</v>
      </c>
      <c r="E260" s="4" t="s">
        <v>2206</v>
      </c>
      <c r="F260" s="17" t="s">
        <v>105</v>
      </c>
      <c r="G260" s="17" t="s">
        <v>105</v>
      </c>
      <c r="H260" s="17">
        <v>10</v>
      </c>
      <c r="I260" s="17">
        <f>sensorCalcs!G187</f>
        <v>16.009999999999998</v>
      </c>
      <c r="J260" s="17">
        <f>28+28+28+(140*7)+80</f>
        <v>1144</v>
      </c>
      <c r="K260" s="18">
        <f>sensorCalcs!O187</f>
        <v>349.82691007369692</v>
      </c>
      <c r="L260" s="18">
        <f>sensorCalcs!U187</f>
        <v>5.7247740773689992</v>
      </c>
      <c r="M260" s="18">
        <f>sensorCalcs!P187</f>
        <v>349.99084635531653</v>
      </c>
      <c r="N260" s="17">
        <f>sensorCalcs!E187</f>
        <v>0.36508000000000002</v>
      </c>
      <c r="O260" s="44">
        <v>767.84199999999998</v>
      </c>
    </row>
    <row r="261" spans="1:15" hidden="1" x14ac:dyDescent="0.35">
      <c r="A261" s="6" t="s">
        <v>104</v>
      </c>
      <c r="B261" s="72" t="s">
        <v>14</v>
      </c>
      <c r="C261" s="4" t="s">
        <v>1918</v>
      </c>
      <c r="D261" s="4" t="s">
        <v>105</v>
      </c>
      <c r="E261" s="4" t="s">
        <v>1843</v>
      </c>
      <c r="F261" s="21" t="s">
        <v>105</v>
      </c>
      <c r="G261" s="21" t="s">
        <v>105</v>
      </c>
      <c r="H261" s="17" t="s">
        <v>105</v>
      </c>
      <c r="I261" s="17">
        <v>22</v>
      </c>
      <c r="J261" s="17">
        <f>(140*5)+36+3+28+28+28</f>
        <v>823</v>
      </c>
      <c r="K261" s="18" t="s">
        <v>105</v>
      </c>
      <c r="L261" s="18" t="s">
        <v>105</v>
      </c>
      <c r="M261" s="18" t="s">
        <v>105</v>
      </c>
      <c r="N261" s="17" t="s">
        <v>105</v>
      </c>
      <c r="O261" s="44">
        <v>769.87399999999991</v>
      </c>
    </row>
    <row r="262" spans="1:15" hidden="1" x14ac:dyDescent="0.35">
      <c r="A262" s="6" t="s">
        <v>104</v>
      </c>
      <c r="B262" s="29" t="s">
        <v>18</v>
      </c>
      <c r="C262" s="4" t="str">
        <f>sensorCalcs!C189</f>
        <v>2015-10-26 13:35</v>
      </c>
      <c r="D262" s="4" t="s">
        <v>2212</v>
      </c>
      <c r="E262" s="4" t="s">
        <v>2211</v>
      </c>
      <c r="F262" s="17">
        <v>39.024273000000001</v>
      </c>
      <c r="G262" s="17">
        <v>-84.091018000000005</v>
      </c>
      <c r="H262" s="17">
        <v>10</v>
      </c>
      <c r="I262" s="17">
        <f>sensorCalcs!G189</f>
        <v>16.67722222222222</v>
      </c>
      <c r="J262" s="17">
        <f>27+28+27+(140*6)+90</f>
        <v>1012</v>
      </c>
      <c r="K262" s="18">
        <f>sensorCalcs!O189</f>
        <v>355.52451276280505</v>
      </c>
      <c r="L262" s="18">
        <f>sensorCalcs!U189</f>
        <v>5.7139698525467795</v>
      </c>
      <c r="M262" s="18">
        <f>sensorCalcs!P189</f>
        <v>355.69567335514006</v>
      </c>
      <c r="N262" s="17">
        <f>sensorCalcs!E189</f>
        <v>0.42186000000000001</v>
      </c>
      <c r="O262" s="44">
        <v>767.84199999999998</v>
      </c>
    </row>
    <row r="263" spans="1:15" hidden="1" x14ac:dyDescent="0.35">
      <c r="A263" s="9" t="s">
        <v>104</v>
      </c>
      <c r="B263" s="92" t="s">
        <v>26</v>
      </c>
      <c r="C263" s="16" t="str">
        <f>sensorCalcs!C190</f>
        <v>2015-10-26 17:40</v>
      </c>
      <c r="D263" s="16" t="s">
        <v>2214</v>
      </c>
      <c r="E263" s="16" t="s">
        <v>2213</v>
      </c>
      <c r="F263" s="19" t="s">
        <v>105</v>
      </c>
      <c r="G263" s="19" t="s">
        <v>105</v>
      </c>
      <c r="H263" s="19">
        <v>40</v>
      </c>
      <c r="I263" s="19">
        <f>sensorCalcs!G190</f>
        <v>17.533888888888889</v>
      </c>
      <c r="J263" s="19">
        <f>27+27+28+(140*3)+110</f>
        <v>612</v>
      </c>
      <c r="K263" s="78">
        <f>sensorCalcs!O190</f>
        <v>55.838587927985166</v>
      </c>
      <c r="L263" s="78">
        <f>sensorCalcs!U190</f>
        <v>2.0026825918438571</v>
      </c>
      <c r="M263" s="78">
        <f>sensorCalcs!P190</f>
        <v>55.89602676182389</v>
      </c>
      <c r="N263" s="19">
        <f>sensorCalcs!E190</f>
        <v>1.5268600000000001</v>
      </c>
      <c r="O263" s="42">
        <v>767.84199999999998</v>
      </c>
    </row>
    <row r="264" spans="1:15" hidden="1" x14ac:dyDescent="0.35">
      <c r="A264" s="6" t="s">
        <v>104</v>
      </c>
      <c r="B264" s="29" t="s">
        <v>25</v>
      </c>
      <c r="C264" s="4" t="str">
        <f>sensorCalcs!C191</f>
        <v>2015-10-26 15:04</v>
      </c>
      <c r="D264" s="4" t="s">
        <v>105</v>
      </c>
      <c r="E264" s="4" t="s">
        <v>2216</v>
      </c>
      <c r="F264" s="17">
        <v>39.012410000000003</v>
      </c>
      <c r="G264" s="17">
        <v>-84.098715999999996</v>
      </c>
      <c r="H264" s="17">
        <v>30</v>
      </c>
      <c r="I264" s="17">
        <f>sensorCalcs!G191</f>
        <v>17.391111111111112</v>
      </c>
      <c r="J264" s="17">
        <f>26+26</f>
        <v>52</v>
      </c>
      <c r="K264" s="18">
        <f>sensorCalcs!O191</f>
        <v>40.101841257926289</v>
      </c>
      <c r="L264" s="18">
        <f>sensorCalcs!U191</f>
        <v>2.00223114335797</v>
      </c>
      <c r="M264" s="18">
        <f>sensorCalcs!P191</f>
        <v>119.45484876351796</v>
      </c>
      <c r="N264" s="17">
        <f>sensorCalcs!E191</f>
        <v>0.44139</v>
      </c>
      <c r="O264" s="44">
        <v>767.84199999999998</v>
      </c>
    </row>
    <row r="265" spans="1:15" x14ac:dyDescent="0.35">
      <c r="A265" s="6" t="s">
        <v>104</v>
      </c>
      <c r="B265" s="72" t="s">
        <v>167</v>
      </c>
      <c r="C265" s="4" t="s">
        <v>1936</v>
      </c>
      <c r="D265" s="4" t="s">
        <v>105</v>
      </c>
      <c r="E265" s="4" t="s">
        <v>1864</v>
      </c>
      <c r="F265" s="21" t="s">
        <v>105</v>
      </c>
      <c r="G265" s="21" t="s">
        <v>105</v>
      </c>
      <c r="H265" s="17" t="s">
        <v>105</v>
      </c>
      <c r="I265" s="17">
        <v>25.5</v>
      </c>
      <c r="J265" s="17">
        <f>25+25+26</f>
        <v>76</v>
      </c>
      <c r="K265" s="18" t="s">
        <v>105</v>
      </c>
      <c r="L265" s="18" t="s">
        <v>105</v>
      </c>
      <c r="M265" s="18" t="s">
        <v>105</v>
      </c>
      <c r="N265" s="17" t="s">
        <v>105</v>
      </c>
      <c r="O265" s="44">
        <v>769.62</v>
      </c>
    </row>
    <row r="266" spans="1:15" hidden="1" x14ac:dyDescent="0.35">
      <c r="A266" s="6" t="s">
        <v>104</v>
      </c>
      <c r="B266" s="29" t="s">
        <v>64</v>
      </c>
      <c r="C266" s="4" t="str">
        <f>sensorCalcs!C193</f>
        <v>2015-10-30 11:51</v>
      </c>
      <c r="D266" s="4" t="s">
        <v>2221</v>
      </c>
      <c r="E266" s="4" t="s">
        <v>2220</v>
      </c>
      <c r="F266" s="17">
        <v>39.037205</v>
      </c>
      <c r="G266" s="17">
        <v>-84.137956000000003</v>
      </c>
      <c r="H266" s="17">
        <v>45</v>
      </c>
      <c r="I266" s="17">
        <f>sensorCalcs!G193</f>
        <v>17.914999999999999</v>
      </c>
      <c r="J266" s="17">
        <f>28+28+29+140+140+75</f>
        <v>440</v>
      </c>
      <c r="K266" s="18">
        <f>sensorCalcs!O193</f>
        <v>147.57024439527132</v>
      </c>
      <c r="L266" s="18">
        <f>sensorCalcs!U193</f>
        <v>2.0108278928253887</v>
      </c>
      <c r="M266" s="18">
        <f>sensorCalcs!P193</f>
        <v>147.63062378374343</v>
      </c>
      <c r="N266" s="17">
        <f>sensorCalcs!E193</f>
        <v>5.4949999999999999E-2</v>
      </c>
      <c r="O266" s="44">
        <v>766.82600000000002</v>
      </c>
    </row>
    <row r="267" spans="1:15" hidden="1" x14ac:dyDescent="0.35">
      <c r="A267" s="6" t="s">
        <v>104</v>
      </c>
      <c r="B267" s="72" t="s">
        <v>69</v>
      </c>
      <c r="C267" s="4" t="s">
        <v>1913</v>
      </c>
      <c r="D267" s="4" t="s">
        <v>105</v>
      </c>
      <c r="E267" s="4" t="s">
        <v>1839</v>
      </c>
      <c r="F267" s="21" t="s">
        <v>105</v>
      </c>
      <c r="G267" s="21" t="s">
        <v>105</v>
      </c>
      <c r="H267" s="17" t="s">
        <v>105</v>
      </c>
      <c r="I267" s="17">
        <v>26.3</v>
      </c>
      <c r="J267" s="17">
        <v>25</v>
      </c>
      <c r="K267" s="18" t="s">
        <v>105</v>
      </c>
      <c r="L267" s="18" t="s">
        <v>105</v>
      </c>
      <c r="M267" s="18" t="s">
        <v>105</v>
      </c>
      <c r="N267" s="17" t="s">
        <v>105</v>
      </c>
      <c r="O267" s="44">
        <v>769.87399999999991</v>
      </c>
    </row>
    <row r="268" spans="1:15" hidden="1" x14ac:dyDescent="0.35">
      <c r="A268" s="6" t="s">
        <v>104</v>
      </c>
      <c r="B268" s="29" t="s">
        <v>60</v>
      </c>
      <c r="C268" s="4" t="str">
        <f>sensorCalcs!C195</f>
        <v>2015-10-30 13:41</v>
      </c>
      <c r="D268" s="4" t="s">
        <v>2226</v>
      </c>
      <c r="E268" s="4" t="s">
        <v>2230</v>
      </c>
      <c r="F268" s="17">
        <v>39.019959999999998</v>
      </c>
      <c r="G268" s="17">
        <v>-84.153662999999995</v>
      </c>
      <c r="H268" s="17">
        <v>97</v>
      </c>
      <c r="I268" s="17">
        <f>sensorCalcs!G195</f>
        <v>18.342777777777776</v>
      </c>
      <c r="J268" s="17">
        <f>27+26+26+100</f>
        <v>179</v>
      </c>
      <c r="K268" s="18">
        <f>sensorCalcs!O195</f>
        <v>145.8523292503148</v>
      </c>
      <c r="L268" s="18">
        <f>sensorCalcs!U195</f>
        <v>2.0083580754790273</v>
      </c>
      <c r="M268" s="18">
        <f>sensorCalcs!P195</f>
        <v>145.91153241693354</v>
      </c>
      <c r="N268" s="17">
        <f>sensorCalcs!E195</f>
        <v>3.5409999999999997E-2</v>
      </c>
      <c r="O268" s="44">
        <v>766.82600000000002</v>
      </c>
    </row>
    <row r="269" spans="1:15" hidden="1" x14ac:dyDescent="0.35">
      <c r="A269" s="9" t="s">
        <v>104</v>
      </c>
      <c r="B269" s="92" t="s">
        <v>9</v>
      </c>
      <c r="C269" s="16" t="str">
        <f>sensorCalcs!C196</f>
        <v>2015-11-04 10:50</v>
      </c>
      <c r="D269" s="16" t="s">
        <v>2257</v>
      </c>
      <c r="E269" s="16" t="s">
        <v>2264</v>
      </c>
      <c r="F269" s="19">
        <v>39.029294999999998</v>
      </c>
      <c r="G269" s="19">
        <v>-84.091059999999999</v>
      </c>
      <c r="H269" s="19">
        <v>6</v>
      </c>
      <c r="I269" s="19">
        <f>sensorCalcs!G196</f>
        <v>14.097777777777775</v>
      </c>
      <c r="J269" s="19">
        <f>140+140+140+55+28+29+26</f>
        <v>558</v>
      </c>
      <c r="K269" s="78">
        <f>sensorCalcs!O196</f>
        <v>352.02857433584819</v>
      </c>
      <c r="L269" s="78">
        <f>sensorCalcs!U196</f>
        <v>5.772794486103491</v>
      </c>
      <c r="M269" s="78">
        <f>sensorCalcs!P196</f>
        <v>352.19251061746769</v>
      </c>
      <c r="N269" s="19">
        <f>sensorCalcs!E196</f>
        <v>0.35165000000000002</v>
      </c>
      <c r="O269" s="42">
        <v>756.66599999999994</v>
      </c>
    </row>
    <row r="270" spans="1:15" hidden="1" x14ac:dyDescent="0.35">
      <c r="A270" s="9" t="s">
        <v>104</v>
      </c>
      <c r="B270" s="73" t="s">
        <v>14</v>
      </c>
      <c r="C270" s="16" t="s">
        <v>1922</v>
      </c>
      <c r="D270" s="16" t="s">
        <v>105</v>
      </c>
      <c r="E270" s="16" t="s">
        <v>1852</v>
      </c>
      <c r="F270" s="15" t="s">
        <v>105</v>
      </c>
      <c r="G270" s="15" t="s">
        <v>105</v>
      </c>
      <c r="H270" s="19" t="s">
        <v>105</v>
      </c>
      <c r="I270" s="19">
        <v>25</v>
      </c>
      <c r="J270" s="19">
        <f>75+28+27+28</f>
        <v>158</v>
      </c>
      <c r="K270" s="78" t="s">
        <v>105</v>
      </c>
      <c r="L270" s="78" t="s">
        <v>105</v>
      </c>
      <c r="M270" s="78" t="s">
        <v>105</v>
      </c>
      <c r="N270" s="19" t="s">
        <v>105</v>
      </c>
      <c r="O270" s="42">
        <v>769.87399999999991</v>
      </c>
    </row>
    <row r="271" spans="1:15" hidden="1" x14ac:dyDescent="0.35">
      <c r="A271" s="9" t="s">
        <v>104</v>
      </c>
      <c r="B271" s="92" t="s">
        <v>18</v>
      </c>
      <c r="C271" s="16" t="str">
        <f>sensorCalcs!C198</f>
        <v>2015-11-04 11:59</v>
      </c>
      <c r="D271" s="16" t="s">
        <v>2259</v>
      </c>
      <c r="E271" s="16" t="s">
        <v>2266</v>
      </c>
      <c r="F271" s="19" t="s">
        <v>105</v>
      </c>
      <c r="G271" s="19" t="s">
        <v>105</v>
      </c>
      <c r="H271" s="19">
        <v>9</v>
      </c>
      <c r="I271" s="19">
        <f>sensorCalcs!G198</f>
        <v>14.122222222222224</v>
      </c>
      <c r="J271" s="19">
        <f>28+27+29+(140*7)+10</f>
        <v>1074</v>
      </c>
      <c r="K271" s="78">
        <f>sensorCalcs!O198</f>
        <v>367.12406610535078</v>
      </c>
      <c r="L271" s="78">
        <f>sensorCalcs!U198</f>
        <v>5.7759022356175116</v>
      </c>
      <c r="M271" s="78">
        <f>sensorCalcs!P198</f>
        <v>367.29522669768573</v>
      </c>
      <c r="N271" s="19">
        <f>sensorCalcs!E198</f>
        <v>0.35409000000000002</v>
      </c>
      <c r="O271" s="42">
        <v>756.66599999999994</v>
      </c>
    </row>
    <row r="272" spans="1:15" x14ac:dyDescent="0.35">
      <c r="A272" s="6" t="s">
        <v>104</v>
      </c>
      <c r="B272" s="72" t="s">
        <v>167</v>
      </c>
      <c r="C272" s="4" t="s">
        <v>1941</v>
      </c>
      <c r="D272" s="4" t="s">
        <v>105</v>
      </c>
      <c r="E272" s="4" t="s">
        <v>2009</v>
      </c>
      <c r="F272" s="21" t="s">
        <v>105</v>
      </c>
      <c r="G272" s="21" t="s">
        <v>105</v>
      </c>
      <c r="H272" s="17">
        <v>28</v>
      </c>
      <c r="I272" s="17">
        <v>24.9</v>
      </c>
      <c r="J272" s="17">
        <f>24.5+24+25+81</f>
        <v>154.5</v>
      </c>
      <c r="K272" s="18" t="s">
        <v>105</v>
      </c>
      <c r="L272" s="18" t="s">
        <v>105</v>
      </c>
      <c r="M272" s="18" t="s">
        <v>105</v>
      </c>
      <c r="N272" s="17" t="s">
        <v>105</v>
      </c>
      <c r="O272" s="44">
        <v>766.06399999999996</v>
      </c>
    </row>
    <row r="273" spans="1:15" hidden="1" x14ac:dyDescent="0.35">
      <c r="A273" s="9" t="s">
        <v>104</v>
      </c>
      <c r="B273" s="92" t="s">
        <v>25</v>
      </c>
      <c r="C273" s="16" t="str">
        <f>sensorCalcs!C200</f>
        <v>2015-11-04 13:57</v>
      </c>
      <c r="D273" s="16" t="s">
        <v>105</v>
      </c>
      <c r="E273" s="16" t="s">
        <v>2268</v>
      </c>
      <c r="F273" s="19">
        <v>39.012445</v>
      </c>
      <c r="G273" s="19">
        <v>-84.098713000000004</v>
      </c>
      <c r="H273" s="19">
        <v>32</v>
      </c>
      <c r="I273" s="19">
        <f>sensorCalcs!G200</f>
        <v>15.389999999999999</v>
      </c>
      <c r="J273" s="19">
        <f>16+17</f>
        <v>33</v>
      </c>
      <c r="K273" s="78">
        <f>sensorCalcs!O200</f>
        <v>12.611576175313926</v>
      </c>
      <c r="L273" s="78">
        <f>sensorCalcs!U200</f>
        <v>2.0153831297655933</v>
      </c>
      <c r="M273" s="78">
        <f>sensorCalcs!P200</f>
        <v>119.66722738135937</v>
      </c>
      <c r="N273" s="19">
        <f>sensorCalcs!E200</f>
        <v>0.43773000000000001</v>
      </c>
      <c r="O273" s="42">
        <v>756.66599999999994</v>
      </c>
    </row>
    <row r="274" spans="1:15" hidden="1" x14ac:dyDescent="0.35">
      <c r="A274" s="6" t="s">
        <v>104</v>
      </c>
      <c r="B274" s="29" t="s">
        <v>26</v>
      </c>
      <c r="C274" s="4" t="str">
        <f>sensorCalcs!C201</f>
        <v>2015-11-04 21:57</v>
      </c>
      <c r="D274" s="4" t="s">
        <v>2260</v>
      </c>
      <c r="E274" s="4" t="s">
        <v>2269</v>
      </c>
      <c r="F274" s="17" t="s">
        <v>105</v>
      </c>
      <c r="G274" s="17" t="s">
        <v>105</v>
      </c>
      <c r="H274" s="17">
        <v>40</v>
      </c>
      <c r="I274" s="17">
        <f>sensorCalcs!G201</f>
        <v>15.557222222222222</v>
      </c>
      <c r="J274" s="17">
        <f>140+140+50+29+30+31</f>
        <v>420</v>
      </c>
      <c r="K274" s="18">
        <f>sensorCalcs!O201</f>
        <v>70.881818510349149</v>
      </c>
      <c r="L274" s="18">
        <f>sensorCalcs!U201</f>
        <v>2.0213804606600938</v>
      </c>
      <c r="M274" s="18">
        <f>sensorCalcs!P201</f>
        <v>70.93925734418788</v>
      </c>
      <c r="N274" s="17">
        <f>sensorCalcs!E201</f>
        <v>1.2649600000000001</v>
      </c>
      <c r="O274" s="44">
        <v>756.66599999999994</v>
      </c>
    </row>
    <row r="275" spans="1:15" hidden="1" x14ac:dyDescent="0.35">
      <c r="A275" s="6" t="s">
        <v>104</v>
      </c>
      <c r="B275" s="72" t="s">
        <v>69</v>
      </c>
      <c r="C275" s="4" t="str">
        <f>sensorCalcs!C130</f>
        <v>2015-09-16 15:40</v>
      </c>
      <c r="D275" s="4" t="s">
        <v>105</v>
      </c>
      <c r="E275" s="4" t="s">
        <v>2128</v>
      </c>
      <c r="F275" s="21" t="s">
        <v>105</v>
      </c>
      <c r="G275" s="21" t="s">
        <v>105</v>
      </c>
      <c r="H275" s="17">
        <v>64</v>
      </c>
      <c r="I275" s="17">
        <f>sensorCalcs!G130</f>
        <v>24.43611111111111</v>
      </c>
      <c r="J275" s="17">
        <f>43+4+29+27+27</f>
        <v>130</v>
      </c>
      <c r="K275" s="18">
        <f>sensorCalcs!O130</f>
        <v>99.570990845126047</v>
      </c>
      <c r="L275" s="18">
        <f>sensorCalcs!U130</f>
        <v>1.9448732153432085</v>
      </c>
      <c r="M275" s="18">
        <f>sensorCalcs!P130</f>
        <v>116.24994611007374</v>
      </c>
      <c r="N275" s="17">
        <f>sensorCalcs!E130</f>
        <v>0.52990000000000004</v>
      </c>
      <c r="O275" s="44">
        <v>766.06399999999996</v>
      </c>
    </row>
    <row r="276" spans="1:15" hidden="1" x14ac:dyDescent="0.35">
      <c r="A276" s="6" t="s">
        <v>104</v>
      </c>
      <c r="B276" s="29" t="s">
        <v>64</v>
      </c>
      <c r="C276" s="4" t="str">
        <f>sensorCalcs!C203</f>
        <v>2015-11-05 20:06</v>
      </c>
      <c r="D276" s="4" t="s">
        <v>2262</v>
      </c>
      <c r="E276" s="4" t="s">
        <v>2271</v>
      </c>
      <c r="F276" s="17" t="s">
        <v>105</v>
      </c>
      <c r="G276" s="17" t="s">
        <v>105</v>
      </c>
      <c r="H276" s="17" t="s">
        <v>105</v>
      </c>
      <c r="I276" s="17">
        <f>sensorCalcs!G203</f>
        <v>15.867222222222221</v>
      </c>
      <c r="J276" s="17">
        <f>(140*3)+35+30+28+29</f>
        <v>542</v>
      </c>
      <c r="K276" s="18">
        <f>sensorCalcs!O203</f>
        <v>145.5801397512304</v>
      </c>
      <c r="L276" s="18">
        <f>sensorCalcs!U203</f>
        <v>2.0288030702251092</v>
      </c>
      <c r="M276" s="18">
        <f>sensorCalcs!P203</f>
        <v>145.64051913970252</v>
      </c>
      <c r="N276" s="17">
        <f>sensorCalcs!E203</f>
        <v>8.7910000000000002E-2</v>
      </c>
      <c r="O276" s="44">
        <v>756.66599999999994</v>
      </c>
    </row>
    <row r="277" spans="1:15" hidden="1" x14ac:dyDescent="0.35">
      <c r="A277" s="9" t="s">
        <v>104</v>
      </c>
      <c r="B277" s="92" t="s">
        <v>60</v>
      </c>
      <c r="C277" s="16" t="str">
        <f>sensorCalcs!C204</f>
        <v>2015-11-05 12:34</v>
      </c>
      <c r="D277" s="16" t="s">
        <v>2263</v>
      </c>
      <c r="E277" s="16" t="s">
        <v>2272</v>
      </c>
      <c r="F277" s="19" t="s">
        <v>105</v>
      </c>
      <c r="G277" s="19" t="s">
        <v>105</v>
      </c>
      <c r="H277" s="19" t="s">
        <v>105</v>
      </c>
      <c r="I277" s="19">
        <f>sensorCalcs!G204</f>
        <v>16.009999999999998</v>
      </c>
      <c r="J277" s="19">
        <f>140+42+29+30+30</f>
        <v>271</v>
      </c>
      <c r="K277" s="78">
        <f>sensorCalcs!O204</f>
        <v>145.63564566049013</v>
      </c>
      <c r="L277" s="78">
        <f>sensorCalcs!U204</f>
        <v>2.0281497641170771</v>
      </c>
      <c r="M277" s="78">
        <f>sensorCalcs!P204</f>
        <v>145.69484882710887</v>
      </c>
      <c r="N277" s="19">
        <f>sensorCalcs!E204</f>
        <v>3.9070000000000001E-2</v>
      </c>
      <c r="O277" s="42">
        <v>756.66599999999994</v>
      </c>
    </row>
    <row r="278" spans="1:15" hidden="1" x14ac:dyDescent="0.35">
      <c r="A278" s="6" t="s">
        <v>104</v>
      </c>
      <c r="B278" s="29" t="s">
        <v>9</v>
      </c>
      <c r="C278" s="4" t="str">
        <f>sensorCalcs!C205</f>
        <v>2015-11-12 13:48</v>
      </c>
      <c r="D278" s="4" t="s">
        <v>2251</v>
      </c>
      <c r="E278" s="4" t="s">
        <v>2273</v>
      </c>
      <c r="F278" s="17" t="s">
        <v>105</v>
      </c>
      <c r="G278" s="17" t="s">
        <v>105</v>
      </c>
      <c r="H278" s="17">
        <v>10</v>
      </c>
      <c r="I278" s="17">
        <f>sensorCalcs!G205</f>
        <v>11.856111111111112</v>
      </c>
      <c r="J278" s="17">
        <f>27+27+26+140+140+100</f>
        <v>460</v>
      </c>
      <c r="K278" s="18">
        <f>sensorCalcs!O205</f>
        <v>353.63023180727163</v>
      </c>
      <c r="L278" s="18">
        <f>sensorCalcs!U205</f>
        <v>5.825805938494919</v>
      </c>
      <c r="M278" s="18">
        <f>sensorCalcs!P205</f>
        <v>353.79416808889118</v>
      </c>
      <c r="N278" s="17">
        <f>sensorCalcs!E205</f>
        <v>0.34188000000000002</v>
      </c>
      <c r="O278" s="44">
        <v>763.01600000000008</v>
      </c>
    </row>
    <row r="279" spans="1:15" hidden="1" x14ac:dyDescent="0.35">
      <c r="A279" s="9" t="s">
        <v>104</v>
      </c>
      <c r="B279" s="73" t="s">
        <v>14</v>
      </c>
      <c r="C279" s="16" t="s">
        <v>1853</v>
      </c>
      <c r="D279" s="16" t="s">
        <v>105</v>
      </c>
      <c r="E279" s="16" t="s">
        <v>1861</v>
      </c>
      <c r="F279" s="15" t="s">
        <v>105</v>
      </c>
      <c r="G279" s="15" t="s">
        <v>105</v>
      </c>
      <c r="H279" s="19" t="s">
        <v>105</v>
      </c>
      <c r="I279" s="19">
        <v>24</v>
      </c>
      <c r="J279" s="78">
        <f>((PI()*(0.875^2)*14.5)*16.387)+27.5+26+23</f>
        <v>648.02263433772032</v>
      </c>
      <c r="K279" s="78" t="s">
        <v>105</v>
      </c>
      <c r="L279" s="78" t="s">
        <v>105</v>
      </c>
      <c r="M279" s="78" t="s">
        <v>105</v>
      </c>
      <c r="N279" s="19" t="s">
        <v>105</v>
      </c>
      <c r="O279" s="42">
        <v>769.62</v>
      </c>
    </row>
    <row r="280" spans="1:15" hidden="1" x14ac:dyDescent="0.35">
      <c r="A280" s="6" t="s">
        <v>104</v>
      </c>
      <c r="B280" s="29" t="s">
        <v>18</v>
      </c>
      <c r="C280" s="4" t="str">
        <f>sensorCalcs!C207</f>
        <v>2015-11-12 12:51</v>
      </c>
      <c r="D280" s="4" t="s">
        <v>2252</v>
      </c>
      <c r="E280" s="4" t="s">
        <v>2275</v>
      </c>
      <c r="F280" s="17">
        <v>39.024211000000001</v>
      </c>
      <c r="G280" s="17">
        <v>-84.090954999999994</v>
      </c>
      <c r="H280" s="17">
        <v>9</v>
      </c>
      <c r="I280" s="17">
        <f>sensorCalcs!G207</f>
        <v>13.184999999999999</v>
      </c>
      <c r="J280" s="17">
        <f>29+27+27+(140*6)+100</f>
        <v>1023</v>
      </c>
      <c r="K280" s="18">
        <f>sensorCalcs!O207</f>
        <v>359.91478195619885</v>
      </c>
      <c r="L280" s="18">
        <f>sensorCalcs!U207</f>
        <v>5.801364555249366</v>
      </c>
      <c r="M280" s="18">
        <f>sensorCalcs!P207</f>
        <v>360.08594254853392</v>
      </c>
      <c r="N280" s="17">
        <f>sensorCalcs!E207</f>
        <v>0.39621000000000001</v>
      </c>
      <c r="O280" s="44">
        <v>763.01600000000008</v>
      </c>
    </row>
    <row r="281" spans="1:15" hidden="1" x14ac:dyDescent="0.35">
      <c r="A281" s="9" t="s">
        <v>104</v>
      </c>
      <c r="B281" s="92" t="s">
        <v>25</v>
      </c>
      <c r="C281" s="16" t="str">
        <f>sensorCalcs!C208</f>
        <v>2015-11-12 13:32</v>
      </c>
      <c r="D281" s="16" t="s">
        <v>105</v>
      </c>
      <c r="E281" s="16" t="s">
        <v>2378</v>
      </c>
      <c r="F281" s="19" t="s">
        <v>105</v>
      </c>
      <c r="G281" s="19" t="s">
        <v>105</v>
      </c>
      <c r="H281" s="19">
        <v>30</v>
      </c>
      <c r="I281" s="19">
        <f>sensorCalcs!G208</f>
        <v>14.385</v>
      </c>
      <c r="J281" s="19">
        <v>0</v>
      </c>
      <c r="K281" s="78">
        <f>sensorCalcs!O208</f>
        <v>13.674629803416209</v>
      </c>
      <c r="L281" s="78">
        <f>sensorCalcs!U208</f>
        <v>2.0240291127358181</v>
      </c>
      <c r="M281" s="78">
        <f>sensorCalcs!P208</f>
        <v>122.85580799621859</v>
      </c>
      <c r="N281" s="19">
        <f>sensorCalcs!E208</f>
        <v>0.38278000000000001</v>
      </c>
      <c r="O281" s="42">
        <v>763.01600000000008</v>
      </c>
    </row>
    <row r="282" spans="1:15" hidden="1" x14ac:dyDescent="0.35">
      <c r="A282" s="6" t="s">
        <v>104</v>
      </c>
      <c r="B282" s="29" t="s">
        <v>26</v>
      </c>
      <c r="C282" s="4" t="str">
        <f>sensorCalcs!C209</f>
        <v>2015-11-12 14:05</v>
      </c>
      <c r="D282" s="4" t="s">
        <v>2253</v>
      </c>
      <c r="E282" s="4" t="s">
        <v>2376</v>
      </c>
      <c r="F282" s="17" t="s">
        <v>105</v>
      </c>
      <c r="G282" s="17" t="s">
        <v>105</v>
      </c>
      <c r="H282" s="17">
        <v>40</v>
      </c>
      <c r="I282" s="17">
        <f>sensorCalcs!G209</f>
        <v>14.385</v>
      </c>
      <c r="J282" s="17">
        <f>26+26+26+140+140+5</f>
        <v>363</v>
      </c>
      <c r="K282" s="18">
        <f>sensorCalcs!O209</f>
        <v>99.601235429715274</v>
      </c>
      <c r="L282" s="18">
        <f>sensorCalcs!U209</f>
        <v>2.0351419374637678</v>
      </c>
      <c r="M282" s="18">
        <f>sensorCalcs!P209</f>
        <v>99.658674263554005</v>
      </c>
      <c r="N282" s="17">
        <f>sensorCalcs!E209</f>
        <v>0.76495999999999997</v>
      </c>
      <c r="O282" s="44">
        <v>763.01600000000008</v>
      </c>
    </row>
    <row r="283" spans="1:15" x14ac:dyDescent="0.35">
      <c r="A283" s="6" t="s">
        <v>104</v>
      </c>
      <c r="B283" s="29" t="s">
        <v>167</v>
      </c>
      <c r="C283" s="4" t="s">
        <v>2122</v>
      </c>
      <c r="D283" s="4" t="s">
        <v>1988</v>
      </c>
      <c r="E283" s="4" t="s">
        <v>2121</v>
      </c>
      <c r="F283" s="21" t="s">
        <v>105</v>
      </c>
      <c r="G283" s="21" t="s">
        <v>105</v>
      </c>
      <c r="H283" s="17">
        <v>33</v>
      </c>
      <c r="I283" s="17">
        <v>25</v>
      </c>
      <c r="J283" s="17">
        <f>26+27+27+45+27</f>
        <v>152</v>
      </c>
      <c r="K283" s="18" t="s">
        <v>105</v>
      </c>
      <c r="L283" s="18" t="s">
        <v>105</v>
      </c>
      <c r="M283" s="18" t="s">
        <v>105</v>
      </c>
      <c r="N283" s="17" t="s">
        <v>105</v>
      </c>
      <c r="O283" s="44">
        <v>750.2</v>
      </c>
    </row>
    <row r="284" spans="1:15" hidden="1" x14ac:dyDescent="0.35">
      <c r="A284" s="6" t="s">
        <v>104</v>
      </c>
      <c r="B284" s="29" t="s">
        <v>64</v>
      </c>
      <c r="C284" s="4" t="str">
        <f>sensorCalcs!C211</f>
        <v>2015-11-12 23:43</v>
      </c>
      <c r="D284" s="4" t="s">
        <v>2254</v>
      </c>
      <c r="E284" s="4" t="s">
        <v>2276</v>
      </c>
      <c r="F284" s="17">
        <v>39.037305000000003</v>
      </c>
      <c r="G284" s="17">
        <v>-84.137798000000004</v>
      </c>
      <c r="H284" s="17">
        <v>48</v>
      </c>
      <c r="I284" s="17">
        <f>sensorCalcs!G211</f>
        <v>14.385</v>
      </c>
      <c r="J284" s="17">
        <f>25+27+30+140+135</f>
        <v>357</v>
      </c>
      <c r="K284" s="18">
        <f>sensorCalcs!O211</f>
        <v>148.38174337633652</v>
      </c>
      <c r="L284" s="18">
        <f>sensorCalcs!U211</f>
        <v>2.0427251201751506</v>
      </c>
      <c r="M284" s="18">
        <f>sensorCalcs!P211</f>
        <v>148.44212276480863</v>
      </c>
      <c r="N284" s="17">
        <f>sensorCalcs!E211</f>
        <v>4.1509999999999998E-2</v>
      </c>
      <c r="O284" s="17">
        <v>751.1</v>
      </c>
    </row>
    <row r="285" spans="1:15" hidden="1" x14ac:dyDescent="0.35">
      <c r="A285" s="9" t="s">
        <v>104</v>
      </c>
      <c r="B285" s="73" t="s">
        <v>69</v>
      </c>
      <c r="C285" s="16" t="str">
        <f>sensorCalcs!C140</f>
        <v>2015-09-17 10:11</v>
      </c>
      <c r="D285" s="16" t="s">
        <v>105</v>
      </c>
      <c r="E285" s="16" t="s">
        <v>1973</v>
      </c>
      <c r="F285" s="15" t="s">
        <v>105</v>
      </c>
      <c r="G285" s="15" t="s">
        <v>105</v>
      </c>
      <c r="H285" s="19">
        <v>64</v>
      </c>
      <c r="I285" s="19">
        <f>sensorCalcs!G140</f>
        <v>24.171111111111109</v>
      </c>
      <c r="J285" s="19">
        <f>55+26+27+26</f>
        <v>134</v>
      </c>
      <c r="K285" s="78">
        <f>sensorCalcs!O140</f>
        <v>107.92758054519642</v>
      </c>
      <c r="L285" s="78">
        <f>sensorCalcs!U140</f>
        <v>1.9491733953306865</v>
      </c>
      <c r="M285" s="78">
        <f>sensorCalcs!P140</f>
        <v>130.15438613919804</v>
      </c>
      <c r="N285" s="19">
        <f>sensorCalcs!E140</f>
        <v>0.29426000000000002</v>
      </c>
      <c r="O285" s="42">
        <v>748.6</v>
      </c>
    </row>
    <row r="286" spans="1:15" hidden="1" x14ac:dyDescent="0.35">
      <c r="A286" s="6" t="s">
        <v>104</v>
      </c>
      <c r="B286" s="29" t="s">
        <v>60</v>
      </c>
      <c r="C286" s="4" t="str">
        <f>sensorCalcs!C213</f>
        <v>2015-11-12 17:17</v>
      </c>
      <c r="D286" s="4" t="s">
        <v>2256</v>
      </c>
      <c r="E286" s="4" t="s">
        <v>2293</v>
      </c>
      <c r="F286" s="17">
        <v>39.019959999999998</v>
      </c>
      <c r="G286" s="17">
        <v>-84.153639999999996</v>
      </c>
      <c r="H286" s="17">
        <v>99</v>
      </c>
      <c r="I286" s="17">
        <f>sensorCalcs!G213</f>
        <v>14.552777777777777</v>
      </c>
      <c r="J286" s="17">
        <f>30+25+27+140+27</f>
        <v>249</v>
      </c>
      <c r="K286" s="18">
        <f>sensorCalcs!O213</f>
        <v>143.32849825735698</v>
      </c>
      <c r="L286" s="18">
        <f>sensorCalcs!U213</f>
        <v>2.0415610137263829</v>
      </c>
      <c r="M286" s="18">
        <f>sensorCalcs!P213</f>
        <v>143.38770142397576</v>
      </c>
      <c r="N286" s="17">
        <f>sensorCalcs!E213</f>
        <v>7.8039999999999998E-2</v>
      </c>
      <c r="O286" s="17">
        <v>751.1</v>
      </c>
    </row>
    <row r="287" spans="1:15" hidden="1" x14ac:dyDescent="0.35">
      <c r="A287" s="9" t="s">
        <v>104</v>
      </c>
      <c r="B287" s="92" t="s">
        <v>9</v>
      </c>
      <c r="C287" s="16" t="str">
        <f>sensorCalcs!C214</f>
        <v>2015-11-19 11:02</v>
      </c>
      <c r="D287" s="16" t="s">
        <v>105</v>
      </c>
      <c r="E287" s="16" t="s">
        <v>2280</v>
      </c>
      <c r="F287" s="19">
        <v>39.029273000000003</v>
      </c>
      <c r="G287" s="19">
        <v>-84.090945000000005</v>
      </c>
      <c r="H287" s="19">
        <v>10</v>
      </c>
      <c r="I287" s="19">
        <f>sensorCalcs!G214</f>
        <v>7.3927777777777788</v>
      </c>
      <c r="J287" s="19">
        <f>27+27+27+140+140+140+35</f>
        <v>536</v>
      </c>
      <c r="K287" s="78" t="str">
        <f>sensorCalcs!O214</f>
        <v>NA</v>
      </c>
      <c r="L287" s="78" t="str">
        <f>sensorCalcs!U214</f>
        <v>NA</v>
      </c>
      <c r="M287" s="78">
        <f>sensorCalcs!P214</f>
        <v>349.99084635531653</v>
      </c>
      <c r="N287" s="19">
        <f>sensorCalcs!E214</f>
        <v>0.36508000000000002</v>
      </c>
      <c r="O287" s="19">
        <v>754.5</v>
      </c>
    </row>
    <row r="288" spans="1:15" hidden="1" x14ac:dyDescent="0.35">
      <c r="A288" s="9" t="s">
        <v>104</v>
      </c>
      <c r="B288" s="73" t="s">
        <v>14</v>
      </c>
      <c r="C288" s="16" t="s">
        <v>1937</v>
      </c>
      <c r="D288" s="16" t="s">
        <v>105</v>
      </c>
      <c r="E288" s="16" t="s">
        <v>1865</v>
      </c>
      <c r="F288" s="15" t="s">
        <v>105</v>
      </c>
      <c r="G288" s="15" t="s">
        <v>105</v>
      </c>
      <c r="H288" s="19" t="s">
        <v>105</v>
      </c>
      <c r="I288" s="19">
        <v>25</v>
      </c>
      <c r="J288" s="19">
        <f>24+26.5+24+86</f>
        <v>160.5</v>
      </c>
      <c r="K288" s="78" t="s">
        <v>105</v>
      </c>
      <c r="L288" s="78" t="s">
        <v>105</v>
      </c>
      <c r="M288" s="78" t="s">
        <v>105</v>
      </c>
      <c r="N288" s="19" t="s">
        <v>105</v>
      </c>
      <c r="O288" s="42">
        <v>769.62</v>
      </c>
    </row>
    <row r="289" spans="1:15" hidden="1" x14ac:dyDescent="0.35">
      <c r="A289" s="9" t="s">
        <v>104</v>
      </c>
      <c r="B289" s="92" t="s">
        <v>18</v>
      </c>
      <c r="C289" s="16" t="str">
        <f>sensorCalcs!C216</f>
        <v>2015-11-19 11:56</v>
      </c>
      <c r="D289" s="99" t="s">
        <v>105</v>
      </c>
      <c r="E289" s="16" t="s">
        <v>2296</v>
      </c>
      <c r="F289" s="19">
        <v>39.024271599999999</v>
      </c>
      <c r="G289" s="19">
        <v>-84.090969999999999</v>
      </c>
      <c r="H289" s="19">
        <v>8</v>
      </c>
      <c r="I289" s="19">
        <f>sensorCalcs!G216</f>
        <v>13.617777777777778</v>
      </c>
      <c r="J289" s="19">
        <f>29+29+28+(140*11)</f>
        <v>1626</v>
      </c>
      <c r="K289" s="78" t="str">
        <f>sensorCalcs!O216</f>
        <v>NA</v>
      </c>
      <c r="L289" s="78" t="str">
        <f>sensorCalcs!U216</f>
        <v>NA</v>
      </c>
      <c r="M289" s="78">
        <f>sensorCalcs!P216</f>
        <v>368.7586497621503</v>
      </c>
      <c r="N289" s="19">
        <f>sensorCalcs!E216</f>
        <v>0.34554000000000001</v>
      </c>
      <c r="O289" s="19">
        <v>754.5</v>
      </c>
    </row>
    <row r="290" spans="1:15" x14ac:dyDescent="0.35">
      <c r="A290" s="6" t="s">
        <v>104</v>
      </c>
      <c r="B290" s="29" t="s">
        <v>167</v>
      </c>
      <c r="C290" s="4" t="str">
        <f>sensorCalcs!C151</f>
        <v>2015-09-28 13:24</v>
      </c>
      <c r="D290" s="4" t="s">
        <v>2011</v>
      </c>
      <c r="E290" s="4" t="s">
        <v>2012</v>
      </c>
      <c r="F290" s="21" t="s">
        <v>105</v>
      </c>
      <c r="G290" s="21" t="s">
        <v>105</v>
      </c>
      <c r="H290" s="17">
        <v>27</v>
      </c>
      <c r="I290" s="17">
        <f>sensorCalcs!G151</f>
        <v>32.43277777777778</v>
      </c>
      <c r="J290" s="17">
        <f>26+25+22+(140*3)+45</f>
        <v>538</v>
      </c>
      <c r="K290" s="18">
        <f>sensorCalcs!O151</f>
        <v>107.00881797258445</v>
      </c>
      <c r="L290" s="18">
        <f>sensorCalcs!U151</f>
        <v>1.8996465438025696</v>
      </c>
      <c r="M290" s="18">
        <f>sensorCalcs!P151</f>
        <v>107.06743302827653</v>
      </c>
      <c r="N290" s="17">
        <f>sensorCalcs!E151</f>
        <v>0.67337999999999998</v>
      </c>
      <c r="O290" s="42">
        <v>742.8</v>
      </c>
    </row>
    <row r="291" spans="1:15" hidden="1" x14ac:dyDescent="0.35">
      <c r="A291" s="9" t="s">
        <v>104</v>
      </c>
      <c r="B291" s="92" t="s">
        <v>25</v>
      </c>
      <c r="C291" s="16" t="str">
        <f>sensorCalcs!C218</f>
        <v>2015-11-19 12:52</v>
      </c>
      <c r="D291" s="16" t="s">
        <v>105</v>
      </c>
      <c r="E291" s="16" t="s">
        <v>2287</v>
      </c>
      <c r="F291" s="19">
        <v>39.012452000000003</v>
      </c>
      <c r="G291" s="19">
        <v>-84.098755999999995</v>
      </c>
      <c r="H291" s="19">
        <v>30</v>
      </c>
      <c r="I291" s="19">
        <f>sensorCalcs!G218</f>
        <v>12.363888888888891</v>
      </c>
      <c r="J291" s="19">
        <v>3</v>
      </c>
      <c r="K291" s="78">
        <f>sensorCalcs!O218</f>
        <v>-2.0547341141431184</v>
      </c>
      <c r="L291" s="78">
        <f>sensorCalcs!U218</f>
        <v>2.0386250962752634</v>
      </c>
      <c r="M291" s="78">
        <f>sensorCalcs!P218</f>
        <v>108.86261026604026</v>
      </c>
      <c r="N291" s="19">
        <f>sensorCalcs!E218</f>
        <v>0.62392999999999998</v>
      </c>
      <c r="O291" s="19">
        <v>754.5</v>
      </c>
    </row>
    <row r="292" spans="1:15" hidden="1" x14ac:dyDescent="0.35">
      <c r="A292" s="6" t="s">
        <v>104</v>
      </c>
      <c r="B292" s="29" t="s">
        <v>26</v>
      </c>
      <c r="C292" s="4" t="str">
        <f>sensorCalcs!C219</f>
        <v>2015-11-19 13:06</v>
      </c>
      <c r="D292" s="4" t="s">
        <v>105</v>
      </c>
      <c r="E292" s="4" t="s">
        <v>2297</v>
      </c>
      <c r="F292" s="17">
        <v>39.017555000000002</v>
      </c>
      <c r="G292" s="17">
        <v>-84.101951</v>
      </c>
      <c r="H292" s="17">
        <v>37</v>
      </c>
      <c r="I292" s="17">
        <f>sensorCalcs!G219</f>
        <v>14.552777777777777</v>
      </c>
      <c r="J292" s="17">
        <f>25+26+15</f>
        <v>66</v>
      </c>
      <c r="K292" s="18" t="str">
        <f>sensorCalcs!O219</f>
        <v>NA</v>
      </c>
      <c r="L292" s="18" t="str">
        <f>sensorCalcs!U219</f>
        <v>NA</v>
      </c>
      <c r="M292" s="18">
        <f>sensorCalcs!P219</f>
        <v>103.3054658239751</v>
      </c>
      <c r="N292" s="17">
        <f>sensorCalcs!E219</f>
        <v>0.70147000000000004</v>
      </c>
      <c r="O292" s="17">
        <v>754.5</v>
      </c>
    </row>
    <row r="293" spans="1:15" hidden="1" x14ac:dyDescent="0.35">
      <c r="A293" s="6" t="s">
        <v>104</v>
      </c>
      <c r="B293" s="72" t="s">
        <v>69</v>
      </c>
      <c r="C293" s="4" t="str">
        <f>sensorCalcs!C158</f>
        <v>2015-09-28 14:54</v>
      </c>
      <c r="D293" s="4" t="s">
        <v>2126</v>
      </c>
      <c r="E293" s="4" t="s">
        <v>2125</v>
      </c>
      <c r="F293" s="21" t="s">
        <v>105</v>
      </c>
      <c r="G293" s="21" t="s">
        <v>105</v>
      </c>
      <c r="H293" s="17">
        <v>64</v>
      </c>
      <c r="I293" s="17">
        <f>sensorCalcs!G158</f>
        <v>22.130000000000003</v>
      </c>
      <c r="J293" s="17">
        <f>29+27+27+140+140+140+63</f>
        <v>566</v>
      </c>
      <c r="K293" s="18">
        <f>sensorCalcs!O158</f>
        <v>124.90806224262089</v>
      </c>
      <c r="L293" s="18">
        <f>sensorCalcs!U158</f>
        <v>1.9694291860696977</v>
      </c>
      <c r="M293" s="18">
        <f>sensorCalcs!P158</f>
        <v>124.96706937226409</v>
      </c>
      <c r="N293" s="17">
        <f>sensorCalcs!E158</f>
        <v>0.38217000000000001</v>
      </c>
      <c r="O293" s="44">
        <v>746.7</v>
      </c>
    </row>
    <row r="294" spans="1:15" hidden="1" x14ac:dyDescent="0.35">
      <c r="A294" s="6" t="s">
        <v>104</v>
      </c>
      <c r="B294" s="29" t="s">
        <v>64</v>
      </c>
      <c r="C294" s="4" t="str">
        <f>sensorCalcs!C221</f>
        <v>2015-11-20 11:03</v>
      </c>
      <c r="D294" s="4" t="s">
        <v>105</v>
      </c>
      <c r="E294" s="4" t="s">
        <v>2291</v>
      </c>
      <c r="F294" s="17">
        <v>39.037025999999997</v>
      </c>
      <c r="G294" s="17">
        <v>-84.137744999999995</v>
      </c>
      <c r="H294" s="17">
        <v>44</v>
      </c>
      <c r="I294" s="17">
        <f>sensorCalcs!G221</f>
        <v>11.199999999999998</v>
      </c>
      <c r="J294" s="17">
        <f>26+26+26+140+140</f>
        <v>358</v>
      </c>
      <c r="K294" s="18">
        <f>sensorCalcs!O221</f>
        <v>118.25242852875142</v>
      </c>
      <c r="L294" s="18">
        <f>sensorCalcs!U221</f>
        <v>2.0646645551781897</v>
      </c>
      <c r="M294" s="18">
        <f>sensorCalcs!P221</f>
        <v>140.70088136879886</v>
      </c>
      <c r="N294" s="17">
        <f>sensorCalcs!E221</f>
        <v>0.16972000000000001</v>
      </c>
      <c r="O294" s="17">
        <v>754.5</v>
      </c>
    </row>
    <row r="295" spans="1:15" hidden="1" x14ac:dyDescent="0.35">
      <c r="A295" s="9" t="s">
        <v>104</v>
      </c>
      <c r="B295" s="92" t="s">
        <v>60</v>
      </c>
      <c r="C295" s="16" t="str">
        <f>sensorCalcs!C222</f>
        <v>2015-11-20 13:16</v>
      </c>
      <c r="D295" s="16" t="s">
        <v>105</v>
      </c>
      <c r="E295" s="16" t="s">
        <v>2294</v>
      </c>
      <c r="F295" s="19">
        <v>39.020110000000003</v>
      </c>
      <c r="G295" s="19">
        <v>-84.153752999999995</v>
      </c>
      <c r="H295" s="19" t="s">
        <v>105</v>
      </c>
      <c r="I295" s="19">
        <f>sensorCalcs!G222</f>
        <v>13.20888888888889</v>
      </c>
      <c r="J295" s="19">
        <f>26+24</f>
        <v>50</v>
      </c>
      <c r="K295" s="78">
        <f>sensorCalcs!O222</f>
        <v>35.456776487976299</v>
      </c>
      <c r="L295" s="78">
        <f>sensorCalcs!U222</f>
        <v>2.0387246052595103</v>
      </c>
      <c r="M295" s="78">
        <f>sensorCalcs!P222</f>
        <v>142.40552088977049</v>
      </c>
      <c r="N295" s="19">
        <f>sensorCalcs!E222</f>
        <v>9.4630000000000006E-2</v>
      </c>
      <c r="O295" s="19">
        <v>754.5</v>
      </c>
    </row>
    <row r="296" spans="1:15" hidden="1" x14ac:dyDescent="0.35">
      <c r="A296" s="6" t="s">
        <v>104</v>
      </c>
      <c r="B296" s="29" t="s">
        <v>9</v>
      </c>
      <c r="C296" s="4" t="str">
        <f>sensorCalcs!C223</f>
        <v>2015-11-25 11:01</v>
      </c>
      <c r="D296" s="4" t="s">
        <v>105</v>
      </c>
      <c r="E296" s="4" t="s">
        <v>2351</v>
      </c>
      <c r="F296" s="17">
        <v>39.029485999999999</v>
      </c>
      <c r="G296" s="17">
        <v>-84.091070999999999</v>
      </c>
      <c r="H296" s="17" t="s">
        <v>105</v>
      </c>
      <c r="I296" s="17">
        <f>sensorCalcs!G223</f>
        <v>9.4599999999999991</v>
      </c>
      <c r="J296" s="17">
        <f>25+25+26+140+75</f>
        <v>291</v>
      </c>
      <c r="K296" s="18" t="str">
        <f>sensorCalcs!O223</f>
        <v>NA</v>
      </c>
      <c r="L296" s="18" t="str">
        <f>sensorCalcs!U223</f>
        <v>NA</v>
      </c>
      <c r="M296" s="18">
        <f>sensorCalcs!P223</f>
        <v>356.93190851909037</v>
      </c>
      <c r="N296" s="17">
        <f>sensorCalcs!E223</f>
        <v>0.32274000000000003</v>
      </c>
      <c r="O296" s="44">
        <v>736.2</v>
      </c>
    </row>
    <row r="297" spans="1:15" hidden="1" x14ac:dyDescent="0.35">
      <c r="A297" s="6" t="s">
        <v>104</v>
      </c>
      <c r="B297" s="72" t="s">
        <v>14</v>
      </c>
      <c r="C297" s="4" t="s">
        <v>1951</v>
      </c>
      <c r="D297" s="4" t="s">
        <v>105</v>
      </c>
      <c r="E297" s="4" t="s">
        <v>1953</v>
      </c>
      <c r="F297" s="21" t="s">
        <v>105</v>
      </c>
      <c r="G297" s="21" t="s">
        <v>105</v>
      </c>
      <c r="H297" s="17">
        <v>12</v>
      </c>
      <c r="I297" s="17">
        <v>25</v>
      </c>
      <c r="J297" s="17">
        <f>26+26+26+140+140+52</f>
        <v>410</v>
      </c>
      <c r="K297" s="18" t="s">
        <v>105</v>
      </c>
      <c r="L297" s="18" t="s">
        <v>105</v>
      </c>
      <c r="M297" s="18" t="s">
        <v>105</v>
      </c>
      <c r="N297" s="17" t="s">
        <v>105</v>
      </c>
      <c r="O297" s="44">
        <v>766.06399999999996</v>
      </c>
    </row>
    <row r="298" spans="1:15" hidden="1" x14ac:dyDescent="0.35">
      <c r="A298" s="6" t="s">
        <v>104</v>
      </c>
      <c r="B298" s="29" t="s">
        <v>18</v>
      </c>
      <c r="C298" s="4" t="str">
        <f>sensorCalcs!C225</f>
        <v>2015-11-25 11:53</v>
      </c>
      <c r="D298" s="4" t="s">
        <v>105</v>
      </c>
      <c r="E298" s="4" t="s">
        <v>2353</v>
      </c>
      <c r="F298" s="17">
        <v>39.024175</v>
      </c>
      <c r="G298" s="17">
        <v>-84.090930999999998</v>
      </c>
      <c r="H298" s="17">
        <v>10</v>
      </c>
      <c r="I298" s="17">
        <f>sensorCalcs!G225</f>
        <v>9.3122222222222231</v>
      </c>
      <c r="J298" s="17">
        <f>27+28+27+(140*5)+90</f>
        <v>872</v>
      </c>
      <c r="K298" s="18" t="str">
        <f>sensorCalcs!O225</f>
        <v>NA</v>
      </c>
      <c r="L298" s="18" t="str">
        <f>sensorCalcs!U225</f>
        <v>NA</v>
      </c>
      <c r="M298" s="18">
        <f>sensorCalcs!P225</f>
        <v>380.36676113431275</v>
      </c>
      <c r="N298" s="17">
        <f>sensorCalcs!E225</f>
        <v>0.27772000000000002</v>
      </c>
      <c r="O298" s="44">
        <v>736.2</v>
      </c>
    </row>
    <row r="299" spans="1:15" hidden="1" x14ac:dyDescent="0.35">
      <c r="A299" s="9" t="s">
        <v>104</v>
      </c>
      <c r="B299" s="92" t="s">
        <v>60</v>
      </c>
      <c r="C299" s="16" t="str">
        <f>sensorCalcs!C226</f>
        <v>2015-11-25 15:28</v>
      </c>
      <c r="D299" s="16" t="s">
        <v>105</v>
      </c>
      <c r="E299" s="16" t="s">
        <v>2345</v>
      </c>
      <c r="F299" s="19">
        <v>39.020290000000003</v>
      </c>
      <c r="G299" s="19">
        <v>-84.153685999999993</v>
      </c>
      <c r="H299" s="19">
        <v>100</v>
      </c>
      <c r="I299" s="19">
        <f>sensorCalcs!G226</f>
        <v>13.20888888888889</v>
      </c>
      <c r="J299" s="19">
        <f>26+26+26+60</f>
        <v>138</v>
      </c>
      <c r="K299" s="78">
        <f>sensorCalcs!O226</f>
        <v>133.08102214731554</v>
      </c>
      <c r="L299" s="78">
        <f>sensorCalcs!U226</f>
        <v>2.0551287020813147</v>
      </c>
      <c r="M299" s="78">
        <f>sensorCalcs!P226</f>
        <v>139.11678498409827</v>
      </c>
      <c r="N299" s="19">
        <f>sensorCalcs!E226</f>
        <v>0.15018000000000001</v>
      </c>
      <c r="O299" s="42">
        <v>736.2</v>
      </c>
    </row>
    <row r="300" spans="1:15" hidden="1" x14ac:dyDescent="0.35">
      <c r="A300" s="6" t="s">
        <v>104</v>
      </c>
      <c r="B300" s="29" t="s">
        <v>64</v>
      </c>
      <c r="C300" s="4" t="str">
        <f>sensorCalcs!C227</f>
        <v>2015-11-25 15:57</v>
      </c>
      <c r="D300" s="4" t="s">
        <v>105</v>
      </c>
      <c r="E300" s="4" t="s">
        <v>2347</v>
      </c>
      <c r="F300" s="17">
        <v>39.037289999999999</v>
      </c>
      <c r="G300" s="17">
        <v>-84.137646000000004</v>
      </c>
      <c r="H300" s="17">
        <v>40</v>
      </c>
      <c r="I300" s="17">
        <f>sensorCalcs!G227</f>
        <v>12.484999999999999</v>
      </c>
      <c r="J300" s="17">
        <f>26+26+18</f>
        <v>70</v>
      </c>
      <c r="K300" s="18">
        <f>sensorCalcs!O227</f>
        <v>69.078850763176689</v>
      </c>
      <c r="L300" s="18">
        <f>sensorCalcs!U227</f>
        <v>2.0510073919441565</v>
      </c>
      <c r="M300" s="18">
        <f>sensorCalcs!P227</f>
        <v>150.24807027400956</v>
      </c>
      <c r="N300" s="17">
        <f>sensorCalcs!E227</f>
        <v>1.1599999999999999E-2</v>
      </c>
      <c r="O300" s="44">
        <v>736.2</v>
      </c>
    </row>
    <row r="301" spans="1:15" hidden="1" x14ac:dyDescent="0.35">
      <c r="A301" s="9" t="s">
        <v>104</v>
      </c>
      <c r="B301" s="92" t="s">
        <v>69</v>
      </c>
      <c r="C301" s="16" t="str">
        <f>sensorCalcs!C202</f>
        <v>2015-11-05 11:26</v>
      </c>
      <c r="D301" s="16" t="s">
        <v>2261</v>
      </c>
      <c r="E301" s="16" t="s">
        <v>2270</v>
      </c>
      <c r="F301" s="19" t="s">
        <v>105</v>
      </c>
      <c r="G301" s="19" t="s">
        <v>105</v>
      </c>
      <c r="H301" s="19" t="s">
        <v>105</v>
      </c>
      <c r="I301" s="19">
        <f>sensorCalcs!G202</f>
        <v>15.986111111111111</v>
      </c>
      <c r="J301" s="19">
        <f>140+140+47+29+29+31</f>
        <v>416</v>
      </c>
      <c r="K301" s="78">
        <f>sensorCalcs!O202</f>
        <v>127.68518477021918</v>
      </c>
      <c r="L301" s="78">
        <f>sensorCalcs!U202</f>
        <v>2.0254745372033409</v>
      </c>
      <c r="M301" s="78">
        <f>sensorCalcs!P202</f>
        <v>127.74144738220457</v>
      </c>
      <c r="N301" s="19">
        <f>sensorCalcs!E202</f>
        <v>0.22955</v>
      </c>
      <c r="O301" s="42">
        <v>756.66599999999994</v>
      </c>
    </row>
    <row r="302" spans="1:15" hidden="1" x14ac:dyDescent="0.35">
      <c r="A302" s="6" t="s">
        <v>104</v>
      </c>
      <c r="B302" s="29" t="s">
        <v>26</v>
      </c>
      <c r="C302" s="4" t="str">
        <f>sensorCalcs!C229</f>
        <v>2015-11-25 13:17</v>
      </c>
      <c r="D302" s="4" t="s">
        <v>105</v>
      </c>
      <c r="E302" s="4" t="s">
        <v>2355</v>
      </c>
      <c r="F302" s="17">
        <v>39.018287999999998</v>
      </c>
      <c r="G302" s="17">
        <v>-84.100048000000001</v>
      </c>
      <c r="H302" s="17" t="s">
        <v>105</v>
      </c>
      <c r="I302" s="17">
        <f>sensorCalcs!G229</f>
        <v>11.612777777777778</v>
      </c>
      <c r="J302" s="17">
        <f>26+26+26+140+70</f>
        <v>288</v>
      </c>
      <c r="K302" s="18" t="str">
        <f>sensorCalcs!O229</f>
        <v>NA</v>
      </c>
      <c r="L302" s="18" t="str">
        <f>sensorCalcs!U229</f>
        <v>NA</v>
      </c>
      <c r="M302" s="18">
        <f>sensorCalcs!P229</f>
        <v>143.49197153090574</v>
      </c>
      <c r="N302" s="17">
        <f>sensorCalcs!E229</f>
        <v>1.83E-3</v>
      </c>
      <c r="O302" s="44">
        <v>736.2</v>
      </c>
    </row>
    <row r="303" spans="1:15" x14ac:dyDescent="0.35">
      <c r="A303" s="6" t="s">
        <v>104</v>
      </c>
      <c r="B303" s="29" t="s">
        <v>167</v>
      </c>
      <c r="C303" s="4" t="str">
        <f>sensorCalcs!C183</f>
        <v>2015-10-19 15:31</v>
      </c>
      <c r="D303" s="4" t="s">
        <v>2189</v>
      </c>
      <c r="E303" s="4" t="s">
        <v>2188</v>
      </c>
      <c r="F303" s="21" t="s">
        <v>105</v>
      </c>
      <c r="G303" s="21" t="s">
        <v>105</v>
      </c>
      <c r="H303" s="17">
        <v>24</v>
      </c>
      <c r="I303" s="17">
        <f>sensorCalcs!G183</f>
        <v>18.747222222222224</v>
      </c>
      <c r="J303" s="17">
        <f>25+25+25+60</f>
        <v>135</v>
      </c>
      <c r="K303" s="18">
        <f>sensorCalcs!O183</f>
        <v>113.98694035272719</v>
      </c>
      <c r="L303" s="18">
        <f>sensorCalcs!U183</f>
        <v>1.9990738126443635</v>
      </c>
      <c r="M303" s="18">
        <f>sensorCalcs!P183</f>
        <v>114.04555540841925</v>
      </c>
      <c r="N303" s="17">
        <f>sensorCalcs!E183</f>
        <v>0.55432999999999999</v>
      </c>
      <c r="O303" s="44">
        <v>750.4</v>
      </c>
    </row>
    <row r="304" spans="1:15" hidden="1" x14ac:dyDescent="0.35">
      <c r="A304" s="6" t="s">
        <v>104</v>
      </c>
      <c r="B304" s="29" t="s">
        <v>9</v>
      </c>
      <c r="C304" s="4" t="str">
        <f>sensorCalcs!C231</f>
        <v>2015-12-02 11:43</v>
      </c>
      <c r="D304" s="4" t="s">
        <v>105</v>
      </c>
      <c r="E304" s="4" t="s">
        <v>2366</v>
      </c>
      <c r="F304" s="17" t="s">
        <v>105</v>
      </c>
      <c r="G304" s="17" t="s">
        <v>105</v>
      </c>
      <c r="H304" s="17">
        <v>10</v>
      </c>
      <c r="I304" s="17">
        <f>sensorCalcs!G231</f>
        <v>10.565000000000001</v>
      </c>
      <c r="J304" s="17">
        <f>28+28+28+(140*4)+75</f>
        <v>719</v>
      </c>
      <c r="K304" s="18" t="str">
        <f>sensorCalcs!O231</f>
        <v>NA</v>
      </c>
      <c r="L304" s="18" t="str">
        <f>sensorCalcs!U231</f>
        <v>NA</v>
      </c>
      <c r="M304" s="18">
        <f>sensorCalcs!P231</f>
        <v>399.13238613360778</v>
      </c>
      <c r="N304" s="17">
        <f>sensorCalcs!E231</f>
        <v>6.5320000000000003E-2</v>
      </c>
      <c r="O304" s="44">
        <v>763.524</v>
      </c>
    </row>
    <row r="305" spans="1:15" hidden="1" x14ac:dyDescent="0.35">
      <c r="A305" s="9" t="s">
        <v>104</v>
      </c>
      <c r="B305" s="92" t="s">
        <v>18</v>
      </c>
      <c r="C305" s="16" t="str">
        <f>sensorCalcs!C232</f>
        <v>2015-12-02 12:28</v>
      </c>
      <c r="D305" s="16" t="s">
        <v>105</v>
      </c>
      <c r="E305" s="16" t="s">
        <v>2369</v>
      </c>
      <c r="F305" s="19">
        <v>39.024220999999997</v>
      </c>
      <c r="G305" s="19">
        <v>-84.090960999999993</v>
      </c>
      <c r="H305" s="19" t="s">
        <v>105</v>
      </c>
      <c r="I305" s="19">
        <f>sensorCalcs!G232</f>
        <v>8.8411111111111111</v>
      </c>
      <c r="J305" s="19">
        <f>28+28+26+(140*7)+10</f>
        <v>1072</v>
      </c>
      <c r="K305" s="78" t="str">
        <f>sensorCalcs!O232</f>
        <v>NA</v>
      </c>
      <c r="L305" s="78" t="str">
        <f>sensorCalcs!U232</f>
        <v>NA</v>
      </c>
      <c r="M305" s="78">
        <f>sensorCalcs!P232</f>
        <v>425.60279408254047</v>
      </c>
      <c r="N305" s="19">
        <f>sensorCalcs!E232</f>
        <v>1.3429999999999999E-2</v>
      </c>
      <c r="O305" s="42">
        <v>763.524</v>
      </c>
    </row>
    <row r="306" spans="1:15" hidden="1" x14ac:dyDescent="0.35">
      <c r="A306" s="6" t="s">
        <v>104</v>
      </c>
      <c r="B306" s="29" t="s">
        <v>14</v>
      </c>
      <c r="C306" s="4" t="str">
        <f>sensorCalcs!C233</f>
        <v>2015-12-02 12:04</v>
      </c>
      <c r="D306" s="4" t="s">
        <v>2361</v>
      </c>
      <c r="E306" s="4" t="s">
        <v>2367</v>
      </c>
      <c r="F306" s="17" t="s">
        <v>105</v>
      </c>
      <c r="G306" s="17" t="s">
        <v>105</v>
      </c>
      <c r="H306" s="17" t="s">
        <v>105</v>
      </c>
      <c r="I306" s="17">
        <f>sensorCalcs!G233</f>
        <v>9.4100000000000019</v>
      </c>
      <c r="J306" s="17">
        <f>27+26+26+140+140+100</f>
        <v>459</v>
      </c>
      <c r="K306" s="18">
        <f>sensorCalcs!O233</f>
        <v>412.08631434894954</v>
      </c>
      <c r="L306" s="18" t="e">
        <f>sensorCalcs!U233</f>
        <v>#DIV/0!</v>
      </c>
      <c r="M306" s="18">
        <f>sensorCalcs!P233</f>
        <v>412.25247349540456</v>
      </c>
      <c r="N306" s="17">
        <f>sensorCalcs!E233</f>
        <v>1.8929999999999999E-2</v>
      </c>
      <c r="O306" s="44">
        <v>763.524</v>
      </c>
    </row>
    <row r="307" spans="1:15" hidden="1" x14ac:dyDescent="0.35">
      <c r="A307" s="9" t="s">
        <v>104</v>
      </c>
      <c r="B307" s="92" t="s">
        <v>26</v>
      </c>
      <c r="C307" s="16" t="str">
        <f>sensorCalcs!C234</f>
        <v>2015-12-02 15:44</v>
      </c>
      <c r="D307" s="16" t="s">
        <v>105</v>
      </c>
      <c r="E307" s="16" t="s">
        <v>2383</v>
      </c>
      <c r="F307" s="19">
        <v>39.01923</v>
      </c>
      <c r="G307" s="19">
        <v>-84.099101000000005</v>
      </c>
      <c r="H307" s="19">
        <v>26</v>
      </c>
      <c r="I307" s="19">
        <f>sensorCalcs!G234</f>
        <v>9.9522222222222236</v>
      </c>
      <c r="J307" s="19">
        <f>26+26+12</f>
        <v>64</v>
      </c>
      <c r="K307" s="78" t="str">
        <f>sensorCalcs!O234</f>
        <v>NA</v>
      </c>
      <c r="L307" s="78" t="str">
        <f>sensorCalcs!U234</f>
        <v>NA</v>
      </c>
      <c r="M307" s="78">
        <f>sensorCalcs!P234</f>
        <v>143.5970845968306</v>
      </c>
      <c r="N307" s="19">
        <f>sensorCalcs!E234</f>
        <v>0</v>
      </c>
      <c r="O307" s="42">
        <v>732.8</v>
      </c>
    </row>
    <row r="308" spans="1:15" x14ac:dyDescent="0.35">
      <c r="A308" s="9" t="s">
        <v>104</v>
      </c>
      <c r="B308" s="92" t="s">
        <v>167</v>
      </c>
      <c r="C308" s="16" t="str">
        <f>sensorCalcs!C210</f>
        <v>2015-11-12 12:46</v>
      </c>
      <c r="D308" s="16" t="s">
        <v>105</v>
      </c>
      <c r="E308" s="16" t="s">
        <v>2377</v>
      </c>
      <c r="F308" s="19" t="s">
        <v>105</v>
      </c>
      <c r="G308" s="19" t="s">
        <v>105</v>
      </c>
      <c r="H308" s="19" t="s">
        <v>105</v>
      </c>
      <c r="I308" s="19">
        <f>sensorCalcs!G210</f>
        <v>14.457222222222224</v>
      </c>
      <c r="J308" s="19">
        <v>25</v>
      </c>
      <c r="K308" s="78">
        <f>sensorCalcs!O210</f>
        <v>20.253846343843087</v>
      </c>
      <c r="L308" s="78">
        <f>sensorCalcs!U210</f>
        <v>2.0247813348167649</v>
      </c>
      <c r="M308" s="78">
        <f>sensorCalcs!P210</f>
        <v>115.26181781403001</v>
      </c>
      <c r="N308" s="19">
        <f>sensorCalcs!E210</f>
        <v>0.53358000000000005</v>
      </c>
      <c r="O308" s="42">
        <v>763.01600000000008</v>
      </c>
    </row>
    <row r="309" spans="1:15" hidden="1" x14ac:dyDescent="0.35">
      <c r="A309" s="6" t="s">
        <v>104</v>
      </c>
      <c r="B309" s="29" t="s">
        <v>25</v>
      </c>
      <c r="C309" s="4" t="str">
        <f>sensorCalcs!C236</f>
        <v>2015-12-02 15:00</v>
      </c>
      <c r="D309" s="97" t="s">
        <v>105</v>
      </c>
      <c r="E309" s="4" t="s">
        <v>2380</v>
      </c>
      <c r="F309" s="17" t="s">
        <v>105</v>
      </c>
      <c r="G309" s="17" t="s">
        <v>105</v>
      </c>
      <c r="H309" s="17">
        <v>30</v>
      </c>
      <c r="I309" s="17">
        <f>sensorCalcs!G236</f>
        <v>10</v>
      </c>
      <c r="J309" s="17">
        <v>0</v>
      </c>
      <c r="K309" s="18" t="str">
        <f>sensorCalcs!O236</f>
        <v>NA</v>
      </c>
      <c r="L309" s="18" t="str">
        <f>sensorCalcs!U236</f>
        <v>NA</v>
      </c>
      <c r="M309" s="18" t="e">
        <f>sensorCalcs!P236</f>
        <v>#VALUE!</v>
      </c>
      <c r="N309" s="17" t="str">
        <f>sensorCalcs!E236</f>
        <v>NA</v>
      </c>
      <c r="O309" s="44">
        <v>763.524</v>
      </c>
    </row>
    <row r="310" spans="1:15" hidden="1" x14ac:dyDescent="0.35">
      <c r="A310" s="9" t="s">
        <v>104</v>
      </c>
      <c r="B310" s="92" t="s">
        <v>60</v>
      </c>
      <c r="C310" s="16" t="str">
        <f>sensorCalcs!C237</f>
        <v>2015-12-02 14:54</v>
      </c>
      <c r="D310" s="16" t="s">
        <v>2363</v>
      </c>
      <c r="E310" s="16" t="s">
        <v>2364</v>
      </c>
      <c r="F310" s="19">
        <v>39.020429999999998</v>
      </c>
      <c r="G310" s="19">
        <v>-84.153530000000003</v>
      </c>
      <c r="H310" s="19" t="s">
        <v>105</v>
      </c>
      <c r="I310" s="19">
        <f>sensorCalcs!G237</f>
        <v>16.77277777777778</v>
      </c>
      <c r="J310" s="19">
        <f>140+28+27+27</f>
        <v>222</v>
      </c>
      <c r="K310" s="78">
        <f>sensorCalcs!O237</f>
        <v>144.44270185312209</v>
      </c>
      <c r="L310" s="78" t="e">
        <f>sensorCalcs!U237</f>
        <v>#DIV/0!</v>
      </c>
      <c r="M310" s="78">
        <f>sensorCalcs!P237</f>
        <v>144.50190501974086</v>
      </c>
      <c r="N310" s="19">
        <f>sensorCalcs!E237</f>
        <v>5.9220000000000002E-2</v>
      </c>
      <c r="O310" s="42">
        <v>762.76200000000006</v>
      </c>
    </row>
    <row r="311" spans="1:15" hidden="1" x14ac:dyDescent="0.35">
      <c r="A311" s="6" t="s">
        <v>104</v>
      </c>
      <c r="B311" s="29" t="s">
        <v>69</v>
      </c>
      <c r="C311" s="4" t="str">
        <f>sensorCalcs!C238</f>
        <v>2015-12-02 15:10</v>
      </c>
      <c r="D311" s="97" t="s">
        <v>105</v>
      </c>
      <c r="E311" s="16" t="s">
        <v>2382</v>
      </c>
      <c r="F311" t="s">
        <v>105</v>
      </c>
      <c r="G311" t="s">
        <v>105</v>
      </c>
      <c r="H311" s="17">
        <v>64</v>
      </c>
      <c r="I311">
        <f>sensorCalcs!G238</f>
        <v>16.666666666666668</v>
      </c>
      <c r="J311">
        <v>28</v>
      </c>
      <c r="K311" s="78" t="s">
        <v>105</v>
      </c>
      <c r="L311" s="78" t="s">
        <v>105</v>
      </c>
      <c r="M311" s="78" t="e">
        <f>sensorCalcs!P238</f>
        <v>#VALUE!</v>
      </c>
      <c r="N311" s="19" t="str">
        <f>sensorCalcs!E238</f>
        <v>NA</v>
      </c>
      <c r="O311" s="42">
        <v>762.76200000000006</v>
      </c>
    </row>
  </sheetData>
  <autoFilter ref="A2:O311" xr:uid="{00000000-0001-0000-0000-000000000000}">
    <filterColumn colId="1">
      <filters>
        <filter val="ENN"/>
      </filters>
    </filterColumn>
    <sortState xmlns:xlrd2="http://schemas.microsoft.com/office/spreadsheetml/2017/richdata2" ref="A41:O308">
      <sortCondition ref="G3:G311"/>
    </sortState>
  </autoFilter>
  <sortState xmlns:xlrd2="http://schemas.microsoft.com/office/spreadsheetml/2017/richdata2" ref="A4:O306">
    <sortCondition ref="G3:G306"/>
  </sortState>
  <mergeCells count="1">
    <mergeCell ref="H1:M1"/>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38"/>
  <sheetViews>
    <sheetView zoomScale="70" zoomScaleNormal="70" workbookViewId="0">
      <pane xSplit="2" ySplit="2" topLeftCell="C214" activePane="bottomRight" state="frozen"/>
      <selection pane="topRight" activeCell="C1" sqref="C1"/>
      <selection pane="bottomLeft" activeCell="A3" sqref="A3"/>
      <selection pane="bottomRight" activeCell="D238" sqref="D238"/>
    </sheetView>
  </sheetViews>
  <sheetFormatPr defaultRowHeight="14.5" x14ac:dyDescent="0.35"/>
  <cols>
    <col min="1" max="2" width="12" customWidth="1"/>
    <col min="3" max="3" width="23.6328125" style="4" customWidth="1"/>
    <col min="4" max="4" width="9.90625" style="12" customWidth="1"/>
    <col min="5" max="5" width="12.90625" style="49" customWidth="1"/>
    <col min="6" max="6" width="12.36328125" customWidth="1"/>
    <col min="7" max="7" width="12.36328125" style="12" customWidth="1"/>
    <col min="8" max="8" width="9.6328125" customWidth="1"/>
    <col min="9" max="9" width="9.6328125" style="75" customWidth="1"/>
    <col min="10" max="11" width="17.54296875" customWidth="1"/>
    <col min="12" max="14" width="9.08984375" customWidth="1"/>
    <col min="15" max="15" width="10.6328125" customWidth="1"/>
    <col min="16" max="16" width="9.81640625" customWidth="1"/>
    <col min="17" max="17" width="28.08984375" style="32" hidden="1" customWidth="1"/>
    <col min="18" max="18" width="0" hidden="1" customWidth="1"/>
    <col min="19" max="19" width="3.1796875" hidden="1" customWidth="1"/>
    <col min="20" max="20" width="6.6328125" style="28" hidden="1" customWidth="1"/>
    <col min="21" max="21" width="12.1796875" customWidth="1"/>
    <col min="22" max="22" width="18.90625" customWidth="1"/>
  </cols>
  <sheetData>
    <row r="1" spans="1:21" ht="21" x14ac:dyDescent="0.5">
      <c r="A1" s="5"/>
      <c r="B1" s="5"/>
      <c r="C1" s="14"/>
      <c r="D1" s="79"/>
      <c r="E1" s="46"/>
      <c r="F1" s="14"/>
      <c r="G1" s="79"/>
      <c r="H1" s="14"/>
      <c r="I1" s="83"/>
      <c r="J1" s="1"/>
      <c r="K1" s="29" t="s">
        <v>518</v>
      </c>
      <c r="L1" s="29"/>
      <c r="M1" s="29"/>
      <c r="N1" s="29"/>
      <c r="O1" s="29"/>
      <c r="P1" s="29"/>
      <c r="Q1" s="29" t="s">
        <v>703</v>
      </c>
      <c r="R1" s="29"/>
      <c r="S1" s="29"/>
      <c r="T1" s="29"/>
      <c r="U1" s="29"/>
    </row>
    <row r="2" spans="1:21" ht="72.5" x14ac:dyDescent="0.35">
      <c r="A2" s="1" t="s">
        <v>2</v>
      </c>
      <c r="B2" s="1" t="s">
        <v>1</v>
      </c>
      <c r="C2" s="3" t="s">
        <v>299</v>
      </c>
      <c r="D2" s="3" t="s">
        <v>524</v>
      </c>
      <c r="E2" s="47" t="s">
        <v>526</v>
      </c>
      <c r="F2" s="3" t="s">
        <v>697</v>
      </c>
      <c r="G2" s="80" t="s">
        <v>698</v>
      </c>
      <c r="H2" s="3" t="s">
        <v>525</v>
      </c>
      <c r="I2" s="50" t="s">
        <v>696</v>
      </c>
      <c r="J2" s="1" t="s">
        <v>519</v>
      </c>
      <c r="K2" s="33" t="s">
        <v>699</v>
      </c>
      <c r="L2" s="1" t="s">
        <v>700</v>
      </c>
      <c r="M2" s="24" t="s">
        <v>701</v>
      </c>
      <c r="N2" s="24" t="s">
        <v>702</v>
      </c>
      <c r="O2" s="24" t="s">
        <v>1062</v>
      </c>
      <c r="P2" s="24" t="s">
        <v>1063</v>
      </c>
      <c r="Q2" s="30" t="s">
        <v>520</v>
      </c>
      <c r="R2" s="1" t="s">
        <v>521</v>
      </c>
      <c r="S2" s="1" t="s">
        <v>522</v>
      </c>
      <c r="T2" s="26" t="s">
        <v>523</v>
      </c>
      <c r="U2" s="24" t="s">
        <v>1064</v>
      </c>
    </row>
    <row r="3" spans="1:21" x14ac:dyDescent="0.35">
      <c r="A3" s="38" t="s">
        <v>3</v>
      </c>
      <c r="B3" s="38" t="s">
        <v>4</v>
      </c>
      <c r="C3" s="39" t="s">
        <v>219</v>
      </c>
      <c r="D3" s="81">
        <v>14</v>
      </c>
      <c r="E3" s="48" t="s">
        <v>691</v>
      </c>
      <c r="F3" s="39" t="s">
        <v>692</v>
      </c>
      <c r="G3" s="75">
        <f>CONVERT(F3,"F","C")</f>
        <v>20.43611111111111</v>
      </c>
      <c r="H3" s="39" t="s">
        <v>517</v>
      </c>
      <c r="I3" s="84" t="s">
        <v>105</v>
      </c>
      <c r="J3" s="17">
        <f t="shared" ref="J3:J33" si="0">IF(D3=1, 32.2,IF(D3=2, 30.8, IF(D3=3, 29.9, IF(D3=4, 29.6, IF(D3=5, 29.9, IF(D3=6, 30.2, IF(D3=7, 30.4, IF(D3=8, 28, IF(D3=9, 32.2, IF(D3=10, 30.1, IF(D3=11, 30.1, IF(D3=12, 29.2, IF(D3=13, 30.8,IF(D3=14,29.3, IF(D3=15,30.2,IF(D3=16, 30.8,IF(D3=17,30.1,IF(D3=18,29.5,IF(D3=19,28.7,IF(D3=20,30.2,IF(D3=21,31.7, "NOT LISTED")))))))))))))))))))))</f>
        <v>29.3</v>
      </c>
      <c r="K3" s="34">
        <f>J3*(H3-E3)</f>
        <v>62.928781999999991</v>
      </c>
      <c r="L3" s="17">
        <f t="shared" ref="L3:L32" si="1">IF(OR(B3="P4",B3="P5",B3="EUS3",B3="EUS",B3="EUS2"),1,0.5)</f>
        <v>0.5</v>
      </c>
      <c r="M3" s="17">
        <f t="shared" ref="M3:M41" si="2">IF(L3 = 0.5, 0.78994,IF(L3=1, 1.33, "NOT LISTED"))</f>
        <v>0.78993999999999998</v>
      </c>
      <c r="N3" s="17">
        <f t="shared" ref="N3:N41" si="3">$M3^2*3.141592</f>
        <v>1.9603697555881312</v>
      </c>
      <c r="O3" s="25">
        <f>K3*N3</f>
        <v>123.36368098879878</v>
      </c>
      <c r="P3" s="25">
        <f>(J3*(2.5-E3))*N3</f>
        <v>123.3987186774404</v>
      </c>
      <c r="Q3" s="31">
        <f>(999.83952+16.945176*G3-0.00798704*G3^2-0.000046170461*G3^3+0.00000010556302*G3^4-0.00000000028054253*G3^5)/(1+0.01689785*G3)</f>
        <v>997.84020440060601</v>
      </c>
      <c r="R3" s="17">
        <f>IF(I3="NA", 101325, I3*133.322368)</f>
        <v>101325</v>
      </c>
      <c r="S3" s="17">
        <v>9.8000000000000007</v>
      </c>
      <c r="T3" s="27">
        <f t="shared" ref="T3:T33" si="4">G3+273.15</f>
        <v>293.58611111111111</v>
      </c>
      <c r="U3" s="25">
        <f>(1+((Q3*S3/R3/100)*(1+0.01*K3)))*N3*(293/T3)</f>
        <v>1.9595324701330219</v>
      </c>
    </row>
    <row r="4" spans="1:21" x14ac:dyDescent="0.35">
      <c r="A4" s="38" t="s">
        <v>3</v>
      </c>
      <c r="B4" s="38" t="s">
        <v>5</v>
      </c>
      <c r="C4" s="39" t="s">
        <v>220</v>
      </c>
      <c r="D4" s="81">
        <v>20</v>
      </c>
      <c r="E4" s="48" t="s">
        <v>693</v>
      </c>
      <c r="F4" s="39" t="s">
        <v>695</v>
      </c>
      <c r="G4" s="75">
        <f t="shared" ref="G4:G62" si="5">CONVERT(F4,"F","C")</f>
        <v>19.555</v>
      </c>
      <c r="H4" s="39" t="s">
        <v>694</v>
      </c>
      <c r="I4" s="84" t="s">
        <v>105</v>
      </c>
      <c r="J4" s="17">
        <f t="shared" si="0"/>
        <v>30.2</v>
      </c>
      <c r="K4" s="34">
        <f t="shared" ref="K4:K62" si="6">J4*(H4-E4)</f>
        <v>3.8350979999999995</v>
      </c>
      <c r="L4" s="17">
        <f t="shared" si="1"/>
        <v>1</v>
      </c>
      <c r="M4" s="17">
        <f t="shared" si="2"/>
        <v>1.33</v>
      </c>
      <c r="N4" s="17">
        <f t="shared" si="3"/>
        <v>5.5571620888000011</v>
      </c>
      <c r="O4" s="25">
        <f t="shared" ref="O4:O62" si="7">K4*N4</f>
        <v>21.312261212432702</v>
      </c>
      <c r="P4" s="25">
        <f t="shared" ref="P4:P62" si="8">(J4*(2.5-E4))*N4</f>
        <v>349.79195552415837</v>
      </c>
      <c r="Q4" s="31">
        <f t="shared" ref="Q4:Q62" si="9">(999.83952+16.945176*G4-0.00798704*G4^2-0.000046170461*G4^3+0.00000010556302*G4^4-0.00000000028054253*G4^5)/(1+0.01689785*G4)</f>
        <v>998.03082252400623</v>
      </c>
      <c r="R4" s="17">
        <f t="shared" ref="R4:R62" si="10">IF(I4="NA", 101325, I4*133.322368)</f>
        <v>101325</v>
      </c>
      <c r="S4" s="17">
        <v>9.8000000000000007</v>
      </c>
      <c r="T4" s="27">
        <f t="shared" si="4"/>
        <v>292.70499999999998</v>
      </c>
      <c r="U4" s="25">
        <f t="shared" ref="U4:U40" si="11">(1+((Q4*S4/R4/100)*(1+0.01*K4)))*N4*(293/T4)</f>
        <v>5.5683383781312745</v>
      </c>
    </row>
    <row r="5" spans="1:21" x14ac:dyDescent="0.35">
      <c r="A5" s="38" t="s">
        <v>3</v>
      </c>
      <c r="B5" s="38" t="s">
        <v>267</v>
      </c>
      <c r="C5" s="39" t="s">
        <v>268</v>
      </c>
      <c r="D5" s="81">
        <v>15</v>
      </c>
      <c r="E5" s="48" t="s">
        <v>517</v>
      </c>
      <c r="F5" s="39" t="s">
        <v>633</v>
      </c>
      <c r="G5" s="75">
        <f t="shared" si="5"/>
        <v>20.602777777777774</v>
      </c>
      <c r="H5" s="39" t="s">
        <v>517</v>
      </c>
      <c r="I5" s="84" t="s">
        <v>105</v>
      </c>
      <c r="J5" s="17">
        <f t="shared" si="0"/>
        <v>30.2</v>
      </c>
      <c r="K5" s="34">
        <f>J5*(H5-E5)</f>
        <v>0</v>
      </c>
      <c r="L5" s="17">
        <f t="shared" si="1"/>
        <v>0.5</v>
      </c>
      <c r="M5" s="17">
        <f t="shared" si="2"/>
        <v>0.78993999999999998</v>
      </c>
      <c r="N5" s="17">
        <f t="shared" si="3"/>
        <v>1.9603697555881312</v>
      </c>
      <c r="O5" s="35" t="s">
        <v>105</v>
      </c>
      <c r="P5" s="35" t="s">
        <v>105</v>
      </c>
      <c r="Q5" s="36">
        <f t="shared" si="9"/>
        <v>997.80325503941401</v>
      </c>
      <c r="R5" s="22">
        <f t="shared" si="10"/>
        <v>101325</v>
      </c>
      <c r="S5" s="22">
        <v>9.8000000000000007</v>
      </c>
      <c r="T5" s="37">
        <f t="shared" si="4"/>
        <v>293.75277777777774</v>
      </c>
      <c r="U5" s="35" t="s">
        <v>105</v>
      </c>
    </row>
    <row r="6" spans="1:21" x14ac:dyDescent="0.35">
      <c r="A6" s="38" t="s">
        <v>3</v>
      </c>
      <c r="B6" s="38" t="s">
        <v>237</v>
      </c>
      <c r="C6" s="39" t="s">
        <v>269</v>
      </c>
      <c r="D6" s="81">
        <v>12</v>
      </c>
      <c r="E6" s="48" t="s">
        <v>105</v>
      </c>
      <c r="F6" s="39" t="s">
        <v>105</v>
      </c>
      <c r="G6" s="82" t="s">
        <v>105</v>
      </c>
      <c r="H6" s="39" t="s">
        <v>105</v>
      </c>
      <c r="I6" s="84" t="s">
        <v>105</v>
      </c>
      <c r="J6" s="17">
        <f t="shared" si="0"/>
        <v>29.2</v>
      </c>
      <c r="K6" s="34" t="s">
        <v>105</v>
      </c>
      <c r="L6" s="17">
        <f t="shared" si="1"/>
        <v>1</v>
      </c>
      <c r="M6" s="17">
        <f t="shared" si="2"/>
        <v>1.33</v>
      </c>
      <c r="N6" s="17">
        <f t="shared" si="3"/>
        <v>5.5571620888000011</v>
      </c>
      <c r="O6" s="35" t="s">
        <v>105</v>
      </c>
      <c r="P6" s="35" t="s">
        <v>105</v>
      </c>
      <c r="Q6" s="36" t="e">
        <f t="shared" si="9"/>
        <v>#VALUE!</v>
      </c>
      <c r="R6" s="22">
        <f t="shared" si="10"/>
        <v>101325</v>
      </c>
      <c r="S6" s="22">
        <v>9.8000000000000007</v>
      </c>
      <c r="T6" s="37" t="e">
        <f t="shared" si="4"/>
        <v>#VALUE!</v>
      </c>
      <c r="U6" s="35" t="s">
        <v>105</v>
      </c>
    </row>
    <row r="7" spans="1:21" x14ac:dyDescent="0.35">
      <c r="A7" s="38" t="s">
        <v>3</v>
      </c>
      <c r="B7" s="38" t="s">
        <v>119</v>
      </c>
      <c r="C7" s="39" t="s">
        <v>270</v>
      </c>
      <c r="D7" s="81">
        <v>16</v>
      </c>
      <c r="E7" s="48" t="s">
        <v>517</v>
      </c>
      <c r="F7" s="39" t="s">
        <v>690</v>
      </c>
      <c r="G7" s="75">
        <f t="shared" si="5"/>
        <v>16.152777777777779</v>
      </c>
      <c r="H7" s="39" t="s">
        <v>517</v>
      </c>
      <c r="I7" s="84" t="s">
        <v>105</v>
      </c>
      <c r="J7" s="17">
        <f t="shared" si="0"/>
        <v>30.8</v>
      </c>
      <c r="K7" s="34">
        <f t="shared" si="6"/>
        <v>0</v>
      </c>
      <c r="L7" s="17">
        <f t="shared" si="1"/>
        <v>0.5</v>
      </c>
      <c r="M7" s="17">
        <f t="shared" si="2"/>
        <v>0.78993999999999998</v>
      </c>
      <c r="N7" s="17">
        <f t="shared" si="3"/>
        <v>1.9603697555881312</v>
      </c>
      <c r="O7" s="35" t="s">
        <v>105</v>
      </c>
      <c r="P7" s="35" t="s">
        <v>105</v>
      </c>
      <c r="Q7" s="36">
        <f t="shared" si="9"/>
        <v>998.68992544806031</v>
      </c>
      <c r="R7" s="22">
        <f t="shared" si="10"/>
        <v>101325</v>
      </c>
      <c r="S7" s="22">
        <v>9.8000000000000007</v>
      </c>
      <c r="T7" s="37">
        <f t="shared" si="4"/>
        <v>289.30277777777775</v>
      </c>
      <c r="U7" s="35" t="s">
        <v>105</v>
      </c>
    </row>
    <row r="8" spans="1:21" x14ac:dyDescent="0.35">
      <c r="A8" s="38" t="s">
        <v>104</v>
      </c>
      <c r="B8" s="38" t="s">
        <v>18</v>
      </c>
      <c r="C8" s="39" t="s">
        <v>221</v>
      </c>
      <c r="D8" s="81">
        <v>3</v>
      </c>
      <c r="E8" s="48" t="s">
        <v>684</v>
      </c>
      <c r="F8" s="39" t="s">
        <v>621</v>
      </c>
      <c r="G8" s="75">
        <f t="shared" si="5"/>
        <v>22.728888888888893</v>
      </c>
      <c r="H8" s="39" t="s">
        <v>517</v>
      </c>
      <c r="I8" s="84" t="s">
        <v>105</v>
      </c>
      <c r="J8" s="17">
        <f t="shared" si="0"/>
        <v>29.9</v>
      </c>
      <c r="K8" s="34">
        <f t="shared" si="6"/>
        <v>53.904018999999998</v>
      </c>
      <c r="L8" s="17">
        <f t="shared" si="1"/>
        <v>1</v>
      </c>
      <c r="M8" s="17">
        <f t="shared" si="2"/>
        <v>1.33</v>
      </c>
      <c r="N8" s="17">
        <f t="shared" si="3"/>
        <v>5.5571620888000011</v>
      </c>
      <c r="O8" s="35">
        <f t="shared" si="7"/>
        <v>299.55337082075494</v>
      </c>
      <c r="P8" s="35">
        <f t="shared" si="8"/>
        <v>299.65472790009255</v>
      </c>
      <c r="Q8" s="36">
        <f t="shared" si="9"/>
        <v>997.30751203907448</v>
      </c>
      <c r="R8" s="22">
        <f t="shared" si="10"/>
        <v>101325</v>
      </c>
      <c r="S8" s="22">
        <v>9.8000000000000007</v>
      </c>
      <c r="T8" s="37">
        <f t="shared" si="4"/>
        <v>295.87888888888887</v>
      </c>
      <c r="U8" s="35">
        <f t="shared" si="11"/>
        <v>5.5112606353709142</v>
      </c>
    </row>
    <row r="9" spans="1:21" x14ac:dyDescent="0.35">
      <c r="A9" s="38" t="s">
        <v>104</v>
      </c>
      <c r="B9" s="38" t="s">
        <v>14</v>
      </c>
      <c r="C9" s="39" t="s">
        <v>222</v>
      </c>
      <c r="D9" s="81">
        <v>4</v>
      </c>
      <c r="E9" s="48" t="s">
        <v>683</v>
      </c>
      <c r="F9" s="39" t="s">
        <v>646</v>
      </c>
      <c r="G9" s="75">
        <f t="shared" si="5"/>
        <v>25.186111111111106</v>
      </c>
      <c r="H9" s="39" t="s">
        <v>517</v>
      </c>
      <c r="I9" s="84" t="s">
        <v>105</v>
      </c>
      <c r="J9" s="17">
        <f t="shared" si="0"/>
        <v>29.6</v>
      </c>
      <c r="K9" s="34">
        <f t="shared" si="6"/>
        <v>57.646000000000001</v>
      </c>
      <c r="L9" s="17">
        <f t="shared" si="1"/>
        <v>1</v>
      </c>
      <c r="M9" s="17">
        <f t="shared" si="2"/>
        <v>1.33</v>
      </c>
      <c r="N9" s="17">
        <f t="shared" si="3"/>
        <v>5.5571620888000011</v>
      </c>
      <c r="O9" s="25">
        <f t="shared" si="7"/>
        <v>320.34816577096484</v>
      </c>
      <c r="P9" s="25">
        <f t="shared" si="8"/>
        <v>320.44850588964027</v>
      </c>
      <c r="Q9" s="31">
        <f t="shared" si="9"/>
        <v>996.67995001543864</v>
      </c>
      <c r="R9" s="17">
        <f t="shared" si="10"/>
        <v>101325</v>
      </c>
      <c r="S9" s="17">
        <v>9.8000000000000007</v>
      </c>
      <c r="T9" s="27">
        <f t="shared" si="4"/>
        <v>298.33611111111111</v>
      </c>
      <c r="U9" s="25">
        <f t="shared" si="11"/>
        <v>5.4660593375121564</v>
      </c>
    </row>
    <row r="10" spans="1:21" x14ac:dyDescent="0.35">
      <c r="A10" s="38" t="s">
        <v>104</v>
      </c>
      <c r="B10" s="38" t="s">
        <v>9</v>
      </c>
      <c r="C10" s="39" t="s">
        <v>223</v>
      </c>
      <c r="D10" s="81">
        <v>5</v>
      </c>
      <c r="E10" s="48" t="s">
        <v>681</v>
      </c>
      <c r="F10" s="39" t="s">
        <v>682</v>
      </c>
      <c r="G10" s="75">
        <f t="shared" si="5"/>
        <v>24.483888888888888</v>
      </c>
      <c r="H10" s="39" t="s">
        <v>517</v>
      </c>
      <c r="I10" s="84" t="s">
        <v>105</v>
      </c>
      <c r="J10" s="17">
        <f t="shared" si="0"/>
        <v>29.9</v>
      </c>
      <c r="K10" s="34">
        <f t="shared" si="6"/>
        <v>68.288011999999995</v>
      </c>
      <c r="L10" s="17">
        <f t="shared" si="1"/>
        <v>1</v>
      </c>
      <c r="M10" s="17">
        <f t="shared" si="2"/>
        <v>1.33</v>
      </c>
      <c r="N10" s="17">
        <f t="shared" si="3"/>
        <v>5.5571620888000011</v>
      </c>
      <c r="O10" s="25">
        <f t="shared" si="7"/>
        <v>379.48755140591953</v>
      </c>
      <c r="P10" s="25">
        <f t="shared" si="8"/>
        <v>379.58890848525709</v>
      </c>
      <c r="Q10" s="31">
        <f t="shared" si="9"/>
        <v>996.86512116838594</v>
      </c>
      <c r="R10" s="17">
        <f t="shared" si="10"/>
        <v>101325</v>
      </c>
      <c r="S10" s="17">
        <v>9.8000000000000007</v>
      </c>
      <c r="T10" s="27">
        <f t="shared" si="4"/>
        <v>297.63388888888886</v>
      </c>
      <c r="U10" s="25">
        <f t="shared" si="11"/>
        <v>5.4795185404134852</v>
      </c>
    </row>
    <row r="11" spans="1:21" x14ac:dyDescent="0.35">
      <c r="A11" s="38" t="s">
        <v>104</v>
      </c>
      <c r="B11" s="38" t="s">
        <v>26</v>
      </c>
      <c r="C11" s="39" t="s">
        <v>224</v>
      </c>
      <c r="D11" s="81">
        <v>2</v>
      </c>
      <c r="E11" s="48" t="s">
        <v>685</v>
      </c>
      <c r="F11" s="39" t="s">
        <v>686</v>
      </c>
      <c r="G11" s="75">
        <f t="shared" si="5"/>
        <v>22.847777777777779</v>
      </c>
      <c r="H11" s="39" t="s">
        <v>517</v>
      </c>
      <c r="I11" s="84" t="s">
        <v>105</v>
      </c>
      <c r="J11" s="17">
        <f t="shared" si="0"/>
        <v>30.8</v>
      </c>
      <c r="K11" s="34">
        <f t="shared" si="6"/>
        <v>70.437752000000003</v>
      </c>
      <c r="L11" s="17">
        <f t="shared" si="1"/>
        <v>0.5</v>
      </c>
      <c r="M11" s="17">
        <f t="shared" si="2"/>
        <v>0.78993999999999998</v>
      </c>
      <c r="N11" s="17">
        <f t="shared" si="3"/>
        <v>1.9603697555881312</v>
      </c>
      <c r="O11" s="25">
        <f t="shared" si="7"/>
        <v>138.08403867241739</v>
      </c>
      <c r="P11" s="25">
        <f t="shared" si="8"/>
        <v>138.1208700993854</v>
      </c>
      <c r="Q11" s="31">
        <f t="shared" si="9"/>
        <v>997.27847674931604</v>
      </c>
      <c r="R11" s="17">
        <f t="shared" si="10"/>
        <v>101325</v>
      </c>
      <c r="S11" s="17">
        <v>9.8000000000000007</v>
      </c>
      <c r="T11" s="27">
        <f t="shared" si="4"/>
        <v>295.99777777777774</v>
      </c>
      <c r="U11" s="25">
        <f t="shared" si="11"/>
        <v>1.9437058452293001</v>
      </c>
    </row>
    <row r="12" spans="1:21" x14ac:dyDescent="0.35">
      <c r="A12" s="38" t="s">
        <v>104</v>
      </c>
      <c r="B12" s="38" t="s">
        <v>25</v>
      </c>
      <c r="C12" s="39" t="s">
        <v>225</v>
      </c>
      <c r="D12" s="81">
        <v>6</v>
      </c>
      <c r="E12" s="48" t="s">
        <v>687</v>
      </c>
      <c r="F12" s="39" t="s">
        <v>689</v>
      </c>
      <c r="G12" s="75">
        <f t="shared" si="5"/>
        <v>23.06388888888889</v>
      </c>
      <c r="H12" s="39" t="s">
        <v>688</v>
      </c>
      <c r="I12" s="84" t="s">
        <v>105</v>
      </c>
      <c r="J12" s="17">
        <f t="shared" si="0"/>
        <v>30.2</v>
      </c>
      <c r="K12" s="34">
        <f t="shared" si="6"/>
        <v>2.175608</v>
      </c>
      <c r="L12" s="17">
        <f t="shared" si="1"/>
        <v>0.5</v>
      </c>
      <c r="M12" s="17">
        <f t="shared" si="2"/>
        <v>0.78993999999999998</v>
      </c>
      <c r="N12" s="17">
        <f t="shared" si="3"/>
        <v>1.9603697555881312</v>
      </c>
      <c r="O12" s="25">
        <f t="shared" si="7"/>
        <v>4.2649961232155826</v>
      </c>
      <c r="P12" s="25">
        <f t="shared" si="8"/>
        <v>140.99589349257778</v>
      </c>
      <c r="Q12" s="31">
        <f t="shared" si="9"/>
        <v>997.22534697908134</v>
      </c>
      <c r="R12" s="17">
        <f t="shared" si="10"/>
        <v>101325</v>
      </c>
      <c r="S12" s="17">
        <v>9.8000000000000007</v>
      </c>
      <c r="T12" s="27">
        <f t="shared" si="4"/>
        <v>296.21388888888885</v>
      </c>
      <c r="U12" s="25">
        <f t="shared" si="11"/>
        <v>1.9410109080813478</v>
      </c>
    </row>
    <row r="13" spans="1:21" x14ac:dyDescent="0.35">
      <c r="A13" s="38" t="s">
        <v>3</v>
      </c>
      <c r="B13" s="38" t="s">
        <v>5</v>
      </c>
      <c r="C13" s="39" t="s">
        <v>226</v>
      </c>
      <c r="D13" s="81">
        <v>10</v>
      </c>
      <c r="E13" s="48" t="s">
        <v>678</v>
      </c>
      <c r="F13" s="39" t="s">
        <v>680</v>
      </c>
      <c r="G13" s="75">
        <f t="shared" si="5"/>
        <v>21.056111111111107</v>
      </c>
      <c r="H13" s="39" t="s">
        <v>679</v>
      </c>
      <c r="I13" s="84" t="s">
        <v>105</v>
      </c>
      <c r="J13" s="17">
        <f t="shared" si="0"/>
        <v>30.1</v>
      </c>
      <c r="K13" s="34">
        <f t="shared" si="6"/>
        <v>43.698277000000004</v>
      </c>
      <c r="L13" s="17">
        <f t="shared" si="1"/>
        <v>1</v>
      </c>
      <c r="M13" s="17">
        <f t="shared" si="2"/>
        <v>1.33</v>
      </c>
      <c r="N13" s="17">
        <f t="shared" si="3"/>
        <v>5.5571620888000011</v>
      </c>
      <c r="O13" s="25">
        <f t="shared" si="7"/>
        <v>242.83840829028108</v>
      </c>
      <c r="P13" s="25">
        <f t="shared" si="8"/>
        <v>390.29745980145725</v>
      </c>
      <c r="Q13" s="31">
        <f t="shared" si="9"/>
        <v>997.70133038062215</v>
      </c>
      <c r="R13" s="17">
        <f t="shared" si="10"/>
        <v>101325</v>
      </c>
      <c r="S13" s="17">
        <v>9.8000000000000007</v>
      </c>
      <c r="T13" s="27">
        <f t="shared" si="4"/>
        <v>294.20611111111111</v>
      </c>
      <c r="U13" s="25">
        <f t="shared" si="11"/>
        <v>5.5420544093373092</v>
      </c>
    </row>
    <row r="14" spans="1:21" x14ac:dyDescent="0.35">
      <c r="A14" s="38" t="s">
        <v>3</v>
      </c>
      <c r="B14" s="38" t="s">
        <v>119</v>
      </c>
      <c r="C14" s="39" t="s">
        <v>272</v>
      </c>
      <c r="D14" s="81">
        <v>8</v>
      </c>
      <c r="E14" s="48" t="s">
        <v>672</v>
      </c>
      <c r="F14" s="39" t="s">
        <v>674</v>
      </c>
      <c r="G14" s="75">
        <f t="shared" si="5"/>
        <v>19.865000000000002</v>
      </c>
      <c r="H14" s="39" t="s">
        <v>673</v>
      </c>
      <c r="I14" s="84" t="s">
        <v>105</v>
      </c>
      <c r="J14" s="17">
        <f t="shared" si="0"/>
        <v>28</v>
      </c>
      <c r="K14" s="34">
        <f t="shared" si="6"/>
        <v>-2.5642400000000016</v>
      </c>
      <c r="L14" s="17">
        <f t="shared" si="1"/>
        <v>0.5</v>
      </c>
      <c r="M14" s="17">
        <f t="shared" si="2"/>
        <v>0.78993999999999998</v>
      </c>
      <c r="N14" s="17">
        <f t="shared" si="3"/>
        <v>1.9603697555881312</v>
      </c>
      <c r="O14" s="25">
        <f t="shared" si="7"/>
        <v>-5.0268585420693128</v>
      </c>
      <c r="P14" s="25">
        <f t="shared" si="8"/>
        <v>109.17746133174576</v>
      </c>
      <c r="Q14" s="31">
        <f t="shared" si="9"/>
        <v>997.96466760795261</v>
      </c>
      <c r="R14" s="17">
        <f t="shared" si="10"/>
        <v>101325</v>
      </c>
      <c r="S14" s="17">
        <v>9.8000000000000007</v>
      </c>
      <c r="T14" s="27">
        <f t="shared" si="4"/>
        <v>293.01499999999999</v>
      </c>
      <c r="U14" s="25">
        <f t="shared" si="11"/>
        <v>1.9621129668242887</v>
      </c>
    </row>
    <row r="15" spans="1:21" x14ac:dyDescent="0.35">
      <c r="A15" s="38" t="s">
        <v>3</v>
      </c>
      <c r="B15" s="38" t="s">
        <v>267</v>
      </c>
      <c r="C15" s="39" t="s">
        <v>273</v>
      </c>
      <c r="D15" s="81">
        <v>13</v>
      </c>
      <c r="E15" s="48" t="s">
        <v>675</v>
      </c>
      <c r="F15" s="39" t="s">
        <v>677</v>
      </c>
      <c r="G15" s="75">
        <f t="shared" si="5"/>
        <v>19.293888888888887</v>
      </c>
      <c r="H15" s="39" t="s">
        <v>676</v>
      </c>
      <c r="I15" s="84" t="s">
        <v>105</v>
      </c>
      <c r="J15" s="17">
        <f t="shared" si="0"/>
        <v>30.8</v>
      </c>
      <c r="K15" s="34">
        <f t="shared" si="6"/>
        <v>1.636096</v>
      </c>
      <c r="L15" s="17">
        <f t="shared" si="1"/>
        <v>0.5</v>
      </c>
      <c r="M15" s="17">
        <f t="shared" si="2"/>
        <v>0.78993999999999998</v>
      </c>
      <c r="N15" s="17">
        <f t="shared" si="3"/>
        <v>1.9603697555881312</v>
      </c>
      <c r="O15" s="25">
        <f t="shared" si="7"/>
        <v>3.2073531156387189</v>
      </c>
      <c r="P15" s="25">
        <f t="shared" si="8"/>
        <v>140.51672423395891</v>
      </c>
      <c r="Q15" s="31">
        <f t="shared" si="9"/>
        <v>998.08577178485677</v>
      </c>
      <c r="R15" s="17">
        <f t="shared" si="10"/>
        <v>101325</v>
      </c>
      <c r="S15" s="17">
        <v>9.8000000000000007</v>
      </c>
      <c r="T15" s="27">
        <f t="shared" si="4"/>
        <v>292.44388888888886</v>
      </c>
      <c r="U15" s="25">
        <f t="shared" si="11"/>
        <v>1.9660246229684086</v>
      </c>
    </row>
    <row r="16" spans="1:21" x14ac:dyDescent="0.35">
      <c r="A16" s="38" t="s">
        <v>104</v>
      </c>
      <c r="B16" s="38" t="s">
        <v>9</v>
      </c>
      <c r="C16" s="39" t="s">
        <v>232</v>
      </c>
      <c r="D16" s="81">
        <v>18</v>
      </c>
      <c r="E16" s="48" t="s">
        <v>591</v>
      </c>
      <c r="F16" s="39" t="s">
        <v>667</v>
      </c>
      <c r="G16" s="75">
        <f t="shared" si="5"/>
        <v>21.508888888888887</v>
      </c>
      <c r="H16" s="39" t="s">
        <v>517</v>
      </c>
      <c r="I16" s="84" t="s">
        <v>105</v>
      </c>
      <c r="J16" s="17">
        <f t="shared" si="0"/>
        <v>29.5</v>
      </c>
      <c r="K16" s="34">
        <f t="shared" si="6"/>
        <v>59.61242</v>
      </c>
      <c r="L16" s="17">
        <f t="shared" si="1"/>
        <v>1</v>
      </c>
      <c r="M16" s="17">
        <f t="shared" si="2"/>
        <v>1.33</v>
      </c>
      <c r="N16" s="17">
        <f t="shared" si="3"/>
        <v>5.5571620888000011</v>
      </c>
      <c r="O16" s="25">
        <f t="shared" si="7"/>
        <v>331.27588044562299</v>
      </c>
      <c r="P16" s="25">
        <f t="shared" si="8"/>
        <v>331.37588157741095</v>
      </c>
      <c r="Q16" s="31">
        <f t="shared" si="9"/>
        <v>997.59746954185744</v>
      </c>
      <c r="R16" s="17">
        <f t="shared" si="10"/>
        <v>101325</v>
      </c>
      <c r="S16" s="17">
        <v>9.8000000000000007</v>
      </c>
      <c r="T16" s="27">
        <f t="shared" si="4"/>
        <v>294.65888888888884</v>
      </c>
      <c r="U16" s="25">
        <f t="shared" si="11"/>
        <v>5.5343860929918973</v>
      </c>
    </row>
    <row r="17" spans="1:21" x14ac:dyDescent="0.35">
      <c r="A17" s="38" t="s">
        <v>104</v>
      </c>
      <c r="B17" s="38" t="s">
        <v>14</v>
      </c>
      <c r="C17" s="39" t="s">
        <v>230</v>
      </c>
      <c r="D17" s="81">
        <v>16</v>
      </c>
      <c r="E17" s="48" t="s">
        <v>665</v>
      </c>
      <c r="F17" s="39" t="s">
        <v>666</v>
      </c>
      <c r="G17" s="75">
        <f t="shared" si="5"/>
        <v>22.56111111111111</v>
      </c>
      <c r="H17" s="39" t="s">
        <v>517</v>
      </c>
      <c r="I17" s="84" t="s">
        <v>105</v>
      </c>
      <c r="J17" s="17">
        <f t="shared" si="0"/>
        <v>30.8</v>
      </c>
      <c r="K17" s="34">
        <f t="shared" si="6"/>
        <v>63.818832</v>
      </c>
      <c r="L17" s="17">
        <f t="shared" si="1"/>
        <v>1</v>
      </c>
      <c r="M17" s="17">
        <f t="shared" si="2"/>
        <v>1.33</v>
      </c>
      <c r="N17" s="17">
        <f t="shared" si="3"/>
        <v>5.5571620888000011</v>
      </c>
      <c r="O17" s="25">
        <f t="shared" si="7"/>
        <v>354.65159374189636</v>
      </c>
      <c r="P17" s="25">
        <f t="shared" si="8"/>
        <v>354.7560017032207</v>
      </c>
      <c r="Q17" s="31">
        <f t="shared" si="9"/>
        <v>997.34825334359778</v>
      </c>
      <c r="R17" s="17">
        <f t="shared" si="10"/>
        <v>101325</v>
      </c>
      <c r="S17" s="17">
        <v>9.8000000000000007</v>
      </c>
      <c r="T17" s="27">
        <f t="shared" si="4"/>
        <v>295.71111111111111</v>
      </c>
      <c r="U17" s="25">
        <f t="shared" si="11"/>
        <v>5.5149145120845482</v>
      </c>
    </row>
    <row r="18" spans="1:21" x14ac:dyDescent="0.35">
      <c r="A18" s="38" t="s">
        <v>104</v>
      </c>
      <c r="B18" s="38" t="s">
        <v>18</v>
      </c>
      <c r="C18" s="39" t="s">
        <v>228</v>
      </c>
      <c r="D18" s="81">
        <v>20</v>
      </c>
      <c r="E18" s="48" t="s">
        <v>663</v>
      </c>
      <c r="F18" s="39" t="s">
        <v>664</v>
      </c>
      <c r="G18" s="75">
        <f t="shared" si="5"/>
        <v>22.202222222222222</v>
      </c>
      <c r="H18" s="39" t="s">
        <v>517</v>
      </c>
      <c r="I18" s="84" t="s">
        <v>105</v>
      </c>
      <c r="J18" s="17">
        <f t="shared" si="0"/>
        <v>30.2</v>
      </c>
      <c r="K18" s="34">
        <f t="shared" si="6"/>
        <v>66.134073999999998</v>
      </c>
      <c r="L18" s="17">
        <f t="shared" si="1"/>
        <v>1</v>
      </c>
      <c r="M18" s="17">
        <f t="shared" si="2"/>
        <v>1.33</v>
      </c>
      <c r="N18" s="17">
        <f t="shared" si="3"/>
        <v>5.5571620888000011</v>
      </c>
      <c r="O18" s="25">
        <f t="shared" si="7"/>
        <v>367.51776881069384</v>
      </c>
      <c r="P18" s="25">
        <f t="shared" si="8"/>
        <v>367.6201428506937</v>
      </c>
      <c r="Q18" s="31">
        <f t="shared" si="9"/>
        <v>997.43447950963389</v>
      </c>
      <c r="R18" s="17">
        <f t="shared" si="10"/>
        <v>101325</v>
      </c>
      <c r="S18" s="17">
        <v>9.8000000000000007</v>
      </c>
      <c r="T18" s="27">
        <f t="shared" si="4"/>
        <v>295.35222222222222</v>
      </c>
      <c r="U18" s="25">
        <f t="shared" si="11"/>
        <v>5.5217396893756545</v>
      </c>
    </row>
    <row r="19" spans="1:21" x14ac:dyDescent="0.35">
      <c r="A19" s="38" t="s">
        <v>104</v>
      </c>
      <c r="B19" s="38" t="s">
        <v>25</v>
      </c>
      <c r="C19" s="39" t="s">
        <v>236</v>
      </c>
      <c r="D19" s="81">
        <v>21</v>
      </c>
      <c r="E19" s="48" t="s">
        <v>669</v>
      </c>
      <c r="F19" s="39" t="s">
        <v>671</v>
      </c>
      <c r="G19" s="75">
        <f t="shared" si="5"/>
        <v>21.938888888888886</v>
      </c>
      <c r="H19" s="39" t="s">
        <v>670</v>
      </c>
      <c r="I19" s="84" t="s">
        <v>105</v>
      </c>
      <c r="J19" s="17">
        <f t="shared" si="0"/>
        <v>31.7</v>
      </c>
      <c r="K19" s="34">
        <f t="shared" si="6"/>
        <v>0.9288099999999998</v>
      </c>
      <c r="L19" s="17">
        <f t="shared" si="1"/>
        <v>0.5</v>
      </c>
      <c r="M19" s="17">
        <f t="shared" si="2"/>
        <v>0.78993999999999998</v>
      </c>
      <c r="N19" s="17">
        <f t="shared" si="3"/>
        <v>1.9603697555881312</v>
      </c>
      <c r="O19" s="25">
        <f t="shared" si="7"/>
        <v>1.8208110326878117</v>
      </c>
      <c r="P19" s="25">
        <f t="shared" si="8"/>
        <v>100.15827841650514</v>
      </c>
      <c r="Q19" s="31">
        <f t="shared" si="9"/>
        <v>997.4969437895536</v>
      </c>
      <c r="R19" s="17">
        <f t="shared" si="10"/>
        <v>101325</v>
      </c>
      <c r="S19" s="17">
        <v>9.8000000000000007</v>
      </c>
      <c r="T19" s="27">
        <f t="shared" si="4"/>
        <v>295.08888888888885</v>
      </c>
      <c r="U19" s="25">
        <f t="shared" si="11"/>
        <v>1.9483879473355699</v>
      </c>
    </row>
    <row r="20" spans="1:21" x14ac:dyDescent="0.35">
      <c r="A20" s="38" t="s">
        <v>104</v>
      </c>
      <c r="B20" s="38" t="s">
        <v>26</v>
      </c>
      <c r="C20" s="39" t="s">
        <v>234</v>
      </c>
      <c r="D20" s="81">
        <v>11</v>
      </c>
      <c r="E20" s="48" t="s">
        <v>668</v>
      </c>
      <c r="F20" s="39" t="s">
        <v>654</v>
      </c>
      <c r="G20" s="75">
        <f t="shared" si="5"/>
        <v>21.867222222222225</v>
      </c>
      <c r="H20" s="39" t="s">
        <v>517</v>
      </c>
      <c r="I20" s="84" t="s">
        <v>105</v>
      </c>
      <c r="J20" s="17">
        <f t="shared" si="0"/>
        <v>30.1</v>
      </c>
      <c r="K20" s="34">
        <f t="shared" si="6"/>
        <v>61.100592000000006</v>
      </c>
      <c r="L20" s="17">
        <f t="shared" si="1"/>
        <v>0.5</v>
      </c>
      <c r="M20" s="17">
        <f t="shared" si="2"/>
        <v>0.78993999999999998</v>
      </c>
      <c r="N20" s="17">
        <f t="shared" si="3"/>
        <v>1.9603697555881312</v>
      </c>
      <c r="O20" s="35">
        <f t="shared" si="7"/>
        <v>119.77975260533013</v>
      </c>
      <c r="P20" s="35">
        <f t="shared" si="8"/>
        <v>119.81574695441249</v>
      </c>
      <c r="Q20" s="36">
        <f t="shared" si="9"/>
        <v>997.51382523642644</v>
      </c>
      <c r="R20" s="22">
        <f t="shared" si="10"/>
        <v>101325</v>
      </c>
      <c r="S20" s="22">
        <v>9.8000000000000007</v>
      </c>
      <c r="T20" s="37">
        <f t="shared" si="4"/>
        <v>295.01722222222219</v>
      </c>
      <c r="U20" s="35">
        <f t="shared" si="11"/>
        <v>1.949991551956803</v>
      </c>
    </row>
    <row r="21" spans="1:21" x14ac:dyDescent="0.35">
      <c r="A21" s="38" t="s">
        <v>3</v>
      </c>
      <c r="B21" s="38" t="s">
        <v>5</v>
      </c>
      <c r="C21" s="39" t="s">
        <v>265</v>
      </c>
      <c r="D21" s="81">
        <v>10</v>
      </c>
      <c r="E21" s="48" t="s">
        <v>662</v>
      </c>
      <c r="F21" s="39" t="s">
        <v>651</v>
      </c>
      <c r="G21" s="75">
        <f t="shared" si="5"/>
        <v>26.402222222222221</v>
      </c>
      <c r="H21" s="39" t="s">
        <v>517</v>
      </c>
      <c r="I21" s="84" t="s">
        <v>105</v>
      </c>
      <c r="J21" s="17">
        <f t="shared" si="0"/>
        <v>30.1</v>
      </c>
      <c r="K21" s="34">
        <f t="shared" si="6"/>
        <v>69.847351000000003</v>
      </c>
      <c r="L21" s="17">
        <f t="shared" si="1"/>
        <v>1</v>
      </c>
      <c r="M21" s="17">
        <f t="shared" si="2"/>
        <v>1.33</v>
      </c>
      <c r="N21" s="17">
        <f t="shared" si="3"/>
        <v>5.5571620888000011</v>
      </c>
      <c r="O21" s="25">
        <f t="shared" si="7"/>
        <v>388.15305098030689</v>
      </c>
      <c r="P21" s="25">
        <f t="shared" si="8"/>
        <v>388.25508603341933</v>
      </c>
      <c r="Q21" s="31">
        <f t="shared" si="9"/>
        <v>996.34849070774533</v>
      </c>
      <c r="R21" s="17">
        <f t="shared" si="10"/>
        <v>101325</v>
      </c>
      <c r="S21" s="17">
        <v>9.8000000000000007</v>
      </c>
      <c r="T21" s="27">
        <f t="shared" si="4"/>
        <v>299.55222222222221</v>
      </c>
      <c r="U21" s="25">
        <f t="shared" si="11"/>
        <v>5.4445047952035504</v>
      </c>
    </row>
    <row r="22" spans="1:21" x14ac:dyDescent="0.35">
      <c r="A22" s="38" t="s">
        <v>3</v>
      </c>
      <c r="B22" s="38" t="s">
        <v>119</v>
      </c>
      <c r="C22" s="39" t="s">
        <v>266</v>
      </c>
      <c r="D22" s="81">
        <v>8</v>
      </c>
      <c r="E22" s="48" t="s">
        <v>582</v>
      </c>
      <c r="F22" s="39" t="s">
        <v>661</v>
      </c>
      <c r="G22" s="75">
        <f t="shared" si="5"/>
        <v>27.481111111111108</v>
      </c>
      <c r="H22" s="39" t="s">
        <v>517</v>
      </c>
      <c r="I22" s="84" t="s">
        <v>105</v>
      </c>
      <c r="J22" s="17">
        <f t="shared" si="0"/>
        <v>28</v>
      </c>
      <c r="K22" s="34">
        <f t="shared" si="6"/>
        <v>61.606719999999996</v>
      </c>
      <c r="L22" s="17">
        <f t="shared" si="1"/>
        <v>0.5</v>
      </c>
      <c r="M22" s="17">
        <f t="shared" si="2"/>
        <v>0.78993999999999998</v>
      </c>
      <c r="N22" s="17">
        <f t="shared" si="3"/>
        <v>1.9603697555881312</v>
      </c>
      <c r="O22" s="25">
        <f t="shared" si="7"/>
        <v>120.77195062898643</v>
      </c>
      <c r="P22" s="25">
        <f t="shared" si="8"/>
        <v>120.80543374441189</v>
      </c>
      <c r="Q22" s="31">
        <f t="shared" si="9"/>
        <v>996.04319921107844</v>
      </c>
      <c r="R22" s="17">
        <f t="shared" si="10"/>
        <v>101325</v>
      </c>
      <c r="T22" s="27">
        <f t="shared" si="4"/>
        <v>300.63111111111107</v>
      </c>
      <c r="U22" s="25">
        <f t="shared" si="11"/>
        <v>1.9106084405716504</v>
      </c>
    </row>
    <row r="23" spans="1:21" x14ac:dyDescent="0.35">
      <c r="A23" s="38" t="s">
        <v>104</v>
      </c>
      <c r="B23" s="38" t="s">
        <v>60</v>
      </c>
      <c r="C23" s="39" t="s">
        <v>239</v>
      </c>
      <c r="D23" s="81">
        <v>7</v>
      </c>
      <c r="E23" s="48" t="s">
        <v>652</v>
      </c>
      <c r="F23" s="39" t="s">
        <v>654</v>
      </c>
      <c r="G23" s="75">
        <f t="shared" si="5"/>
        <v>21.867222222222225</v>
      </c>
      <c r="H23" s="39" t="s">
        <v>653</v>
      </c>
      <c r="I23" s="84" t="s">
        <v>105</v>
      </c>
      <c r="J23" s="17">
        <f t="shared" si="0"/>
        <v>30.4</v>
      </c>
      <c r="K23" s="34">
        <f t="shared" si="6"/>
        <v>50.962863999999996</v>
      </c>
      <c r="L23" s="17">
        <f t="shared" si="1"/>
        <v>0.5</v>
      </c>
      <c r="M23" s="17">
        <f t="shared" si="2"/>
        <v>0.78993999999999998</v>
      </c>
      <c r="N23" s="17">
        <f t="shared" si="3"/>
        <v>1.9603697555881312</v>
      </c>
      <c r="O23" s="25">
        <f t="shared" si="7"/>
        <v>99.906057243751164</v>
      </c>
      <c r="P23" s="25">
        <f t="shared" si="8"/>
        <v>133.4891672096895</v>
      </c>
      <c r="Q23" s="31">
        <f t="shared" si="9"/>
        <v>997.51382523642644</v>
      </c>
      <c r="R23" s="17">
        <f t="shared" si="10"/>
        <v>101325</v>
      </c>
      <c r="S23" s="17">
        <v>9.8000000000000007</v>
      </c>
      <c r="T23" s="27">
        <f t="shared" si="4"/>
        <v>295.01722222222219</v>
      </c>
      <c r="U23" s="25">
        <f t="shared" si="11"/>
        <v>1.9498011255090664</v>
      </c>
    </row>
    <row r="24" spans="1:21" x14ac:dyDescent="0.35">
      <c r="A24" s="38" t="s">
        <v>104</v>
      </c>
      <c r="B24" s="38" t="s">
        <v>64</v>
      </c>
      <c r="C24" s="39" t="s">
        <v>240</v>
      </c>
      <c r="D24" s="81">
        <v>9</v>
      </c>
      <c r="E24" s="48" t="s">
        <v>655</v>
      </c>
      <c r="F24" s="39" t="s">
        <v>657</v>
      </c>
      <c r="G24" s="75">
        <f t="shared" si="5"/>
        <v>22.417222222222222</v>
      </c>
      <c r="H24" s="39" t="s">
        <v>656</v>
      </c>
      <c r="I24" s="84" t="s">
        <v>105</v>
      </c>
      <c r="J24" s="17">
        <f t="shared" si="0"/>
        <v>32.200000000000003</v>
      </c>
      <c r="K24" s="34">
        <f t="shared" si="6"/>
        <v>8.3349700000000002</v>
      </c>
      <c r="L24" s="17">
        <f t="shared" si="1"/>
        <v>0.5</v>
      </c>
      <c r="M24" s="17">
        <f t="shared" si="2"/>
        <v>0.78993999999999998</v>
      </c>
      <c r="N24" s="17">
        <f t="shared" si="3"/>
        <v>1.9603697555881312</v>
      </c>
      <c r="O24" s="25">
        <f t="shared" si="7"/>
        <v>16.339623101734407</v>
      </c>
      <c r="P24" s="25">
        <f t="shared" si="8"/>
        <v>134.72598409218762</v>
      </c>
      <c r="Q24" s="31">
        <f t="shared" si="9"/>
        <v>997.38297518454272</v>
      </c>
      <c r="R24" s="17">
        <f t="shared" si="10"/>
        <v>101325</v>
      </c>
      <c r="S24" s="17">
        <v>9.8000000000000007</v>
      </c>
      <c r="T24" s="27">
        <f t="shared" si="4"/>
        <v>295.5672222222222</v>
      </c>
      <c r="U24" s="25">
        <f t="shared" si="11"/>
        <v>1.9453733832871318</v>
      </c>
    </row>
    <row r="25" spans="1:21" x14ac:dyDescent="0.35">
      <c r="A25" s="38" t="s">
        <v>104</v>
      </c>
      <c r="B25" s="38" t="s">
        <v>69</v>
      </c>
      <c r="C25" s="39" t="s">
        <v>241</v>
      </c>
      <c r="D25" s="81">
        <v>14</v>
      </c>
      <c r="E25" s="48" t="s">
        <v>658</v>
      </c>
      <c r="F25" s="39" t="s">
        <v>660</v>
      </c>
      <c r="G25" s="75">
        <f t="shared" si="5"/>
        <v>21.747777777777777</v>
      </c>
      <c r="H25" s="39" t="s">
        <v>659</v>
      </c>
      <c r="I25" s="84" t="s">
        <v>105</v>
      </c>
      <c r="J25" s="17">
        <f t="shared" si="0"/>
        <v>29.3</v>
      </c>
      <c r="K25" s="34">
        <f t="shared" si="6"/>
        <v>28.888628000000004</v>
      </c>
      <c r="L25" s="17">
        <f t="shared" si="1"/>
        <v>0.5</v>
      </c>
      <c r="M25" s="17">
        <f t="shared" si="2"/>
        <v>0.78993999999999998</v>
      </c>
      <c r="N25" s="17">
        <f t="shared" si="3"/>
        <v>1.9603697555881312</v>
      </c>
      <c r="O25" s="25">
        <f t="shared" si="7"/>
        <v>56.632392611636455</v>
      </c>
      <c r="P25" s="25">
        <f t="shared" si="8"/>
        <v>121.71576084596558</v>
      </c>
      <c r="Q25" s="31">
        <f t="shared" si="9"/>
        <v>997.54184813558527</v>
      </c>
      <c r="R25" s="17">
        <f t="shared" si="10"/>
        <v>101325</v>
      </c>
      <c r="S25" s="17">
        <v>9.8000000000000007</v>
      </c>
      <c r="T25" s="27">
        <f t="shared" si="4"/>
        <v>294.89777777777778</v>
      </c>
      <c r="U25" s="25">
        <f t="shared" si="11"/>
        <v>1.9501761256959353</v>
      </c>
    </row>
    <row r="26" spans="1:21" x14ac:dyDescent="0.35">
      <c r="A26" s="38" t="s">
        <v>104</v>
      </c>
      <c r="B26" s="38" t="s">
        <v>9</v>
      </c>
      <c r="C26" s="39" t="s">
        <v>242</v>
      </c>
      <c r="D26" s="81">
        <v>18</v>
      </c>
      <c r="E26" s="48" t="s">
        <v>638</v>
      </c>
      <c r="F26" s="39" t="s">
        <v>639</v>
      </c>
      <c r="G26" s="75">
        <f t="shared" si="5"/>
        <v>25.89</v>
      </c>
      <c r="H26" s="39" t="s">
        <v>517</v>
      </c>
      <c r="I26" s="84" t="s">
        <v>105</v>
      </c>
      <c r="J26" s="17">
        <f t="shared" si="0"/>
        <v>29.5</v>
      </c>
      <c r="K26" s="34">
        <f t="shared" si="6"/>
        <v>61.809579999999997</v>
      </c>
      <c r="L26" s="17">
        <f t="shared" si="1"/>
        <v>1</v>
      </c>
      <c r="M26" s="17">
        <f t="shared" si="2"/>
        <v>1.33</v>
      </c>
      <c r="N26" s="17">
        <f t="shared" si="3"/>
        <v>5.5571620888000011</v>
      </c>
      <c r="O26" s="25">
        <f t="shared" si="7"/>
        <v>343.48585470065075</v>
      </c>
      <c r="P26" s="25">
        <f t="shared" si="8"/>
        <v>343.58585583243877</v>
      </c>
      <c r="Q26" s="31">
        <f t="shared" si="9"/>
        <v>996.489751843872</v>
      </c>
      <c r="R26" s="17">
        <f t="shared" si="10"/>
        <v>101325</v>
      </c>
      <c r="S26" s="17">
        <v>9.8000000000000007</v>
      </c>
      <c r="T26" s="27">
        <f t="shared" si="4"/>
        <v>299.03999999999996</v>
      </c>
      <c r="U26" s="25">
        <f t="shared" si="11"/>
        <v>5.4534100865240074</v>
      </c>
    </row>
    <row r="27" spans="1:21" x14ac:dyDescent="0.35">
      <c r="A27" s="38" t="s">
        <v>104</v>
      </c>
      <c r="B27" s="38" t="s">
        <v>14</v>
      </c>
      <c r="C27" s="39" t="s">
        <v>243</v>
      </c>
      <c r="D27" s="81">
        <v>16</v>
      </c>
      <c r="E27" s="48" t="s">
        <v>640</v>
      </c>
      <c r="F27" s="39" t="s">
        <v>600</v>
      </c>
      <c r="G27" s="75">
        <f t="shared" si="5"/>
        <v>27.77611111111111</v>
      </c>
      <c r="H27" s="39" t="s">
        <v>517</v>
      </c>
      <c r="I27" s="84" t="s">
        <v>105</v>
      </c>
      <c r="J27" s="17">
        <f t="shared" si="0"/>
        <v>30.8</v>
      </c>
      <c r="K27" s="34">
        <f t="shared" si="6"/>
        <v>64.890672000000009</v>
      </c>
      <c r="L27" s="17">
        <f t="shared" si="1"/>
        <v>1</v>
      </c>
      <c r="M27" s="17">
        <f t="shared" si="2"/>
        <v>1.33</v>
      </c>
      <c r="N27" s="17">
        <f t="shared" si="3"/>
        <v>5.5571620888000011</v>
      </c>
      <c r="O27" s="25">
        <f t="shared" si="7"/>
        <v>360.6079823551558</v>
      </c>
      <c r="P27" s="25">
        <f t="shared" si="8"/>
        <v>360.7123903164802</v>
      </c>
      <c r="Q27" s="31">
        <f t="shared" si="9"/>
        <v>995.95791323142646</v>
      </c>
      <c r="R27" s="17">
        <f t="shared" si="10"/>
        <v>101325</v>
      </c>
      <c r="S27" s="17">
        <v>9.8000000000000007</v>
      </c>
      <c r="T27" s="27">
        <f t="shared" si="4"/>
        <v>300.92611111111108</v>
      </c>
      <c r="U27" s="25">
        <f t="shared" si="11"/>
        <v>5.4193858966141182</v>
      </c>
    </row>
    <row r="28" spans="1:21" x14ac:dyDescent="0.35">
      <c r="A28" s="38" t="s">
        <v>104</v>
      </c>
      <c r="B28" s="38" t="s">
        <v>18</v>
      </c>
      <c r="C28" s="39" t="s">
        <v>244</v>
      </c>
      <c r="D28" s="81">
        <v>20</v>
      </c>
      <c r="E28" s="48" t="s">
        <v>641</v>
      </c>
      <c r="F28" s="39" t="s">
        <v>642</v>
      </c>
      <c r="G28" s="75">
        <f t="shared" si="5"/>
        <v>26.012222222222224</v>
      </c>
      <c r="H28" s="39" t="s">
        <v>517</v>
      </c>
      <c r="I28" s="84" t="s">
        <v>105</v>
      </c>
      <c r="J28" s="17">
        <f t="shared" si="0"/>
        <v>30.2</v>
      </c>
      <c r="K28" s="34">
        <f t="shared" si="6"/>
        <v>64.622261999999992</v>
      </c>
      <c r="L28" s="17">
        <f t="shared" si="1"/>
        <v>1</v>
      </c>
      <c r="M28" s="17">
        <f t="shared" si="2"/>
        <v>1.33</v>
      </c>
      <c r="N28" s="17">
        <f t="shared" si="3"/>
        <v>5.5571620888000011</v>
      </c>
      <c r="O28" s="25">
        <f t="shared" si="7"/>
        <v>359.1163844789009</v>
      </c>
      <c r="P28" s="25">
        <f t="shared" si="8"/>
        <v>359.21875851890076</v>
      </c>
      <c r="Q28" s="31">
        <f t="shared" si="9"/>
        <v>996.45626251980605</v>
      </c>
      <c r="R28" s="17">
        <f t="shared" si="10"/>
        <v>101325</v>
      </c>
      <c r="S28" s="17">
        <v>9.8000000000000007</v>
      </c>
      <c r="T28" s="27">
        <f t="shared" si="4"/>
        <v>299.16222222222223</v>
      </c>
      <c r="U28" s="25">
        <f t="shared" si="11"/>
        <v>5.4513293572087163</v>
      </c>
    </row>
    <row r="29" spans="1:21" x14ac:dyDescent="0.35">
      <c r="A29" s="38" t="s">
        <v>104</v>
      </c>
      <c r="B29" s="38" t="s">
        <v>25</v>
      </c>
      <c r="C29" s="39" t="s">
        <v>248</v>
      </c>
      <c r="D29" s="81">
        <v>21</v>
      </c>
      <c r="E29" s="48" t="s">
        <v>643</v>
      </c>
      <c r="F29" s="39" t="s">
        <v>645</v>
      </c>
      <c r="G29" s="75">
        <f t="shared" si="5"/>
        <v>26.157777777777778</v>
      </c>
      <c r="H29" s="39" t="s">
        <v>644</v>
      </c>
      <c r="I29" s="84" t="s">
        <v>105</v>
      </c>
      <c r="J29" s="17">
        <f t="shared" si="0"/>
        <v>31.7</v>
      </c>
      <c r="K29" s="34">
        <f t="shared" si="6"/>
        <v>2.8257379999999999</v>
      </c>
      <c r="L29" s="17">
        <f t="shared" si="1"/>
        <v>0.5</v>
      </c>
      <c r="M29" s="17">
        <f t="shared" si="2"/>
        <v>0.78993999999999998</v>
      </c>
      <c r="N29" s="17">
        <f t="shared" si="3"/>
        <v>1.9603697555881312</v>
      </c>
      <c r="O29" s="25">
        <f t="shared" si="7"/>
        <v>5.5394913124160947</v>
      </c>
      <c r="P29" s="25">
        <f t="shared" si="8"/>
        <v>108.04990957831487</v>
      </c>
      <c r="Q29" s="31">
        <f t="shared" si="9"/>
        <v>996.41620188230945</v>
      </c>
      <c r="R29" s="17">
        <f t="shared" si="10"/>
        <v>101325</v>
      </c>
      <c r="T29" s="27">
        <f t="shared" si="4"/>
        <v>299.30777777777774</v>
      </c>
      <c r="U29" s="25">
        <f t="shared" si="11"/>
        <v>1.919055838280886</v>
      </c>
    </row>
    <row r="30" spans="1:21" x14ac:dyDescent="0.35">
      <c r="A30" s="38" t="s">
        <v>104</v>
      </c>
      <c r="B30" s="38" t="s">
        <v>26</v>
      </c>
      <c r="C30" s="39" t="s">
        <v>250</v>
      </c>
      <c r="D30" s="81">
        <v>11</v>
      </c>
      <c r="E30" s="48" t="s">
        <v>603</v>
      </c>
      <c r="F30" s="39" t="s">
        <v>646</v>
      </c>
      <c r="G30" s="75">
        <f t="shared" si="5"/>
        <v>25.186111111111106</v>
      </c>
      <c r="H30" s="39" t="s">
        <v>517</v>
      </c>
      <c r="I30" s="84" t="s">
        <v>105</v>
      </c>
      <c r="J30" s="17">
        <f t="shared" si="0"/>
        <v>30.1</v>
      </c>
      <c r="K30" s="34">
        <f t="shared" si="6"/>
        <v>63.397523000000007</v>
      </c>
      <c r="L30" s="17">
        <f t="shared" si="1"/>
        <v>0.5</v>
      </c>
      <c r="M30" s="17">
        <f t="shared" si="2"/>
        <v>0.78993999999999998</v>
      </c>
      <c r="N30" s="17">
        <f t="shared" si="3"/>
        <v>1.9603697555881312</v>
      </c>
      <c r="O30" s="25">
        <f t="shared" si="7"/>
        <v>124.28258666840294</v>
      </c>
      <c r="P30" s="25">
        <f t="shared" si="8"/>
        <v>124.31858101748529</v>
      </c>
      <c r="Q30" s="31">
        <f t="shared" si="9"/>
        <v>996.67995001543864</v>
      </c>
      <c r="R30" s="17">
        <f t="shared" si="10"/>
        <v>101325</v>
      </c>
      <c r="T30" s="27">
        <f t="shared" si="4"/>
        <v>298.33611111111111</v>
      </c>
      <c r="U30" s="25">
        <f t="shared" si="11"/>
        <v>1.9253061127869953</v>
      </c>
    </row>
    <row r="31" spans="1:21" x14ac:dyDescent="0.35">
      <c r="A31" s="38" t="s">
        <v>104</v>
      </c>
      <c r="B31" s="38" t="s">
        <v>60</v>
      </c>
      <c r="C31" s="39" t="s">
        <v>251</v>
      </c>
      <c r="D31" s="81">
        <v>4</v>
      </c>
      <c r="E31" s="48" t="s">
        <v>647</v>
      </c>
      <c r="F31" s="39" t="s">
        <v>648</v>
      </c>
      <c r="G31" s="75">
        <f t="shared" si="5"/>
        <v>26.28</v>
      </c>
      <c r="H31" s="39" t="s">
        <v>517</v>
      </c>
      <c r="I31" s="84" t="s">
        <v>105</v>
      </c>
      <c r="J31" s="17">
        <f t="shared" si="0"/>
        <v>29.6</v>
      </c>
      <c r="K31" s="34">
        <f t="shared" si="6"/>
        <v>64.042856</v>
      </c>
      <c r="L31" s="17">
        <f t="shared" si="1"/>
        <v>0.5</v>
      </c>
      <c r="M31" s="17">
        <f t="shared" si="2"/>
        <v>0.78993999999999998</v>
      </c>
      <c r="N31" s="17">
        <f t="shared" si="3"/>
        <v>1.9603697555881312</v>
      </c>
      <c r="O31" s="25">
        <f t="shared" si="7"/>
        <v>125.54767796388589</v>
      </c>
      <c r="P31" s="25">
        <f t="shared" si="8"/>
        <v>125.58307440019279</v>
      </c>
      <c r="Q31" s="31">
        <f t="shared" si="9"/>
        <v>996.38241415398272</v>
      </c>
      <c r="R31" s="17">
        <f t="shared" si="10"/>
        <v>101325</v>
      </c>
      <c r="T31" s="27">
        <f t="shared" si="4"/>
        <v>299.42999999999995</v>
      </c>
      <c r="U31" s="25">
        <f t="shared" si="11"/>
        <v>1.9182725123979647</v>
      </c>
    </row>
    <row r="32" spans="1:21" x14ac:dyDescent="0.35">
      <c r="A32" s="38" t="s">
        <v>104</v>
      </c>
      <c r="B32" s="38" t="s">
        <v>64</v>
      </c>
      <c r="C32" s="39" t="s">
        <v>254</v>
      </c>
      <c r="D32" s="81">
        <v>9</v>
      </c>
      <c r="E32" s="48" t="s">
        <v>649</v>
      </c>
      <c r="F32" s="39" t="s">
        <v>650</v>
      </c>
      <c r="G32" s="75">
        <f t="shared" si="5"/>
        <v>25.743888888888886</v>
      </c>
      <c r="H32" s="39" t="s">
        <v>517</v>
      </c>
      <c r="I32" s="84" t="s">
        <v>105</v>
      </c>
      <c r="J32" s="17">
        <f t="shared" si="0"/>
        <v>32.200000000000003</v>
      </c>
      <c r="K32" s="34">
        <f t="shared" si="6"/>
        <v>68.37090400000001</v>
      </c>
      <c r="L32" s="17">
        <f t="shared" si="1"/>
        <v>0.5</v>
      </c>
      <c r="M32" s="17">
        <f t="shared" si="2"/>
        <v>0.78993999999999998</v>
      </c>
      <c r="N32" s="17">
        <f t="shared" si="3"/>
        <v>1.9603697555881312</v>
      </c>
      <c r="O32" s="25">
        <f t="shared" si="7"/>
        <v>134.03225236381959</v>
      </c>
      <c r="P32" s="25">
        <f t="shared" si="8"/>
        <v>134.07075794655887</v>
      </c>
      <c r="Q32" s="31">
        <f t="shared" si="9"/>
        <v>996.5296074094631</v>
      </c>
      <c r="R32" s="17">
        <f t="shared" si="10"/>
        <v>101325</v>
      </c>
      <c r="S32" s="17">
        <v>9.8000000000000007</v>
      </c>
      <c r="T32" s="27">
        <f t="shared" si="4"/>
        <v>298.89388888888885</v>
      </c>
      <c r="U32" s="25">
        <f t="shared" si="11"/>
        <v>1.924831790977219</v>
      </c>
    </row>
    <row r="33" spans="1:21" x14ac:dyDescent="0.35">
      <c r="A33" s="38" t="s">
        <v>104</v>
      </c>
      <c r="B33" s="38" t="s">
        <v>69</v>
      </c>
      <c r="C33" s="39" t="s">
        <v>255</v>
      </c>
      <c r="D33" s="81">
        <v>14</v>
      </c>
      <c r="E33" s="48" t="s">
        <v>493</v>
      </c>
      <c r="F33" s="39" t="s">
        <v>705</v>
      </c>
      <c r="G33" s="75">
        <f t="shared" si="5"/>
        <v>25.161111111111115</v>
      </c>
      <c r="H33" s="39" t="s">
        <v>517</v>
      </c>
      <c r="I33" s="84" t="s">
        <v>105</v>
      </c>
      <c r="J33" s="17">
        <f t="shared" si="0"/>
        <v>29.3</v>
      </c>
      <c r="K33" s="34">
        <f t="shared" si="6"/>
        <v>58.582127</v>
      </c>
      <c r="L33" s="17">
        <f>IF(OR(B33="P4",B33="P5",B33="EUS3",B33="EUS",B33="EUS2"),1,0.5)</f>
        <v>0.5</v>
      </c>
      <c r="M33" s="17">
        <f t="shared" si="2"/>
        <v>0.78993999999999998</v>
      </c>
      <c r="N33" s="17">
        <f t="shared" si="3"/>
        <v>1.9603697555881312</v>
      </c>
      <c r="O33" s="25">
        <f t="shared" si="7"/>
        <v>114.84262998882286</v>
      </c>
      <c r="P33" s="25">
        <f t="shared" si="8"/>
        <v>114.87766767746449</v>
      </c>
      <c r="Q33" s="31">
        <f t="shared" si="9"/>
        <v>996.6866211720519</v>
      </c>
      <c r="R33" s="17">
        <f t="shared" si="10"/>
        <v>101325</v>
      </c>
      <c r="T33" s="27">
        <f t="shared" si="4"/>
        <v>298.31111111111107</v>
      </c>
      <c r="U33" s="25">
        <f t="shared" si="11"/>
        <v>1.9254674633067277</v>
      </c>
    </row>
    <row r="34" spans="1:21" x14ac:dyDescent="0.35">
      <c r="A34" s="38" t="s">
        <v>104</v>
      </c>
      <c r="B34" s="38" t="s">
        <v>9</v>
      </c>
      <c r="C34" s="39" t="s">
        <v>256</v>
      </c>
      <c r="D34" s="81">
        <v>18</v>
      </c>
      <c r="E34" s="48" t="s">
        <v>628</v>
      </c>
      <c r="F34" s="39" t="s">
        <v>629</v>
      </c>
      <c r="G34" s="75">
        <f t="shared" si="5"/>
        <v>20.341111111111115</v>
      </c>
      <c r="H34" s="39" t="s">
        <v>517</v>
      </c>
      <c r="I34" s="84" t="s">
        <v>105</v>
      </c>
      <c r="J34" s="17">
        <f t="shared" ref="J34:J65" si="12">IF(D34=1, 32.2,IF(D34=2, 30.8, IF(D34=3, 29.9, IF(D34=4, 29.6, IF(D34=5, 29.9, IF(D34=6, 30.2, IF(D34=7, 30.4, IF(D34=8, 28, IF(D34=9, 32.2, IF(D34=10, 30.1, IF(D34=11, 30.1, IF(D34=12, 29.2, IF(D34=13, 30.8,IF(D34=14,29.3, IF(D34=15,30.2,IF(D34=16, 30.8,IF(D34=17,30.1,IF(D34=18,29.5,IF(D34=19,28.7,IF(D34=20,30.2,IF(D34=21,31.7, "NOT LISTED")))))))))))))))))))))</f>
        <v>29.5</v>
      </c>
      <c r="K34" s="34">
        <f t="shared" si="6"/>
        <v>64.024734999999993</v>
      </c>
      <c r="L34" s="17">
        <f t="shared" ref="L34:L92" si="13">IF(OR(B34="P4",B34="P5",B34="EUS3",B34="EUS",B34="EUS2"),1,0.5)</f>
        <v>1</v>
      </c>
      <c r="M34" s="17">
        <f t="shared" si="2"/>
        <v>1.33</v>
      </c>
      <c r="N34" s="17">
        <f t="shared" si="3"/>
        <v>5.5571620888000011</v>
      </c>
      <c r="O34" s="25">
        <f t="shared" si="7"/>
        <v>355.79583008746647</v>
      </c>
      <c r="P34" s="25">
        <f t="shared" si="8"/>
        <v>355.89583121925443</v>
      </c>
      <c r="Q34" s="31">
        <f t="shared" si="9"/>
        <v>997.86113911595237</v>
      </c>
      <c r="R34" s="17">
        <f t="shared" si="10"/>
        <v>101325</v>
      </c>
      <c r="S34" s="17">
        <v>9.8000000000000007</v>
      </c>
      <c r="T34" s="27">
        <f t="shared" ref="T34:T65" si="14">G34+273.15</f>
        <v>293.49111111111108</v>
      </c>
      <c r="U34" s="25">
        <f t="shared" si="11"/>
        <v>5.556645483076263</v>
      </c>
    </row>
    <row r="35" spans="1:21" x14ac:dyDescent="0.35">
      <c r="A35" s="38" t="s">
        <v>104</v>
      </c>
      <c r="B35" s="38" t="s">
        <v>14</v>
      </c>
      <c r="C35" s="39" t="s">
        <v>257</v>
      </c>
      <c r="D35" s="81">
        <v>16</v>
      </c>
      <c r="E35" s="48" t="s">
        <v>632</v>
      </c>
      <c r="F35" s="39" t="s">
        <v>633</v>
      </c>
      <c r="G35" s="75">
        <f t="shared" si="5"/>
        <v>20.602777777777774</v>
      </c>
      <c r="H35" s="39" t="s">
        <v>517</v>
      </c>
      <c r="I35" s="84" t="s">
        <v>105</v>
      </c>
      <c r="J35" s="17">
        <f t="shared" si="12"/>
        <v>30.8</v>
      </c>
      <c r="K35" s="34">
        <f t="shared" si="6"/>
        <v>68.200132000000011</v>
      </c>
      <c r="L35" s="17">
        <f t="shared" si="13"/>
        <v>1</v>
      </c>
      <c r="M35" s="17">
        <f t="shared" si="2"/>
        <v>1.33</v>
      </c>
      <c r="N35" s="17">
        <f t="shared" si="3"/>
        <v>5.5571620888000011</v>
      </c>
      <c r="O35" s="25">
        <f t="shared" si="7"/>
        <v>378.99918800155586</v>
      </c>
      <c r="P35" s="25">
        <f t="shared" si="8"/>
        <v>379.10359596288021</v>
      </c>
      <c r="Q35" s="31">
        <f t="shared" si="9"/>
        <v>997.80325503941401</v>
      </c>
      <c r="R35" s="17">
        <f t="shared" si="10"/>
        <v>101325</v>
      </c>
      <c r="S35" s="17">
        <v>9.8000000000000007</v>
      </c>
      <c r="T35" s="27">
        <f t="shared" si="14"/>
        <v>293.75277777777774</v>
      </c>
      <c r="U35" s="25">
        <f t="shared" si="11"/>
        <v>5.5519186239518552</v>
      </c>
    </row>
    <row r="36" spans="1:21" x14ac:dyDescent="0.35">
      <c r="A36" s="38" t="s">
        <v>104</v>
      </c>
      <c r="B36" s="38" t="s">
        <v>18</v>
      </c>
      <c r="C36" s="39" t="s">
        <v>260</v>
      </c>
      <c r="D36" s="81">
        <v>20</v>
      </c>
      <c r="E36" s="48" t="s">
        <v>634</v>
      </c>
      <c r="F36" s="39" t="s">
        <v>635</v>
      </c>
      <c r="G36" s="75">
        <f t="shared" si="5"/>
        <v>24.726111111111113</v>
      </c>
      <c r="H36" s="39" t="s">
        <v>517</v>
      </c>
      <c r="I36" s="84" t="s">
        <v>105</v>
      </c>
      <c r="J36" s="17">
        <f t="shared" si="12"/>
        <v>30.2</v>
      </c>
      <c r="K36" s="34">
        <f t="shared" si="6"/>
        <v>68.346525999999997</v>
      </c>
      <c r="L36" s="17">
        <f t="shared" si="13"/>
        <v>1</v>
      </c>
      <c r="M36" s="17">
        <f t="shared" si="2"/>
        <v>1.33</v>
      </c>
      <c r="N36" s="17">
        <f t="shared" si="3"/>
        <v>5.5571620888000011</v>
      </c>
      <c r="O36" s="25">
        <f t="shared" si="7"/>
        <v>379.81272318838359</v>
      </c>
      <c r="P36" s="25">
        <f t="shared" si="8"/>
        <v>379.91509722838344</v>
      </c>
      <c r="Q36" s="31">
        <f t="shared" si="9"/>
        <v>996.80176903662516</v>
      </c>
      <c r="R36" s="17">
        <f t="shared" si="10"/>
        <v>101325</v>
      </c>
      <c r="S36" s="17">
        <v>9.8000000000000007</v>
      </c>
      <c r="T36" s="27">
        <f t="shared" si="14"/>
        <v>297.87611111111107</v>
      </c>
      <c r="U36" s="25">
        <f t="shared" si="11"/>
        <v>5.4750653114893959</v>
      </c>
    </row>
    <row r="37" spans="1:21" x14ac:dyDescent="0.35">
      <c r="A37" s="38" t="s">
        <v>104</v>
      </c>
      <c r="B37" s="38" t="s">
        <v>25</v>
      </c>
      <c r="C37" s="39" t="s">
        <v>262</v>
      </c>
      <c r="D37" s="81">
        <v>21</v>
      </c>
      <c r="E37" s="48" t="s">
        <v>630</v>
      </c>
      <c r="F37" s="39" t="s">
        <v>631</v>
      </c>
      <c r="G37" s="75">
        <f t="shared" si="5"/>
        <v>24.933888888888887</v>
      </c>
      <c r="H37" s="39" t="s">
        <v>517</v>
      </c>
      <c r="I37" s="84" t="s">
        <v>105</v>
      </c>
      <c r="J37" s="17">
        <f t="shared" si="12"/>
        <v>31.7</v>
      </c>
      <c r="K37" s="34">
        <f t="shared" si="6"/>
        <v>56.704008999999999</v>
      </c>
      <c r="L37" s="17">
        <f t="shared" si="13"/>
        <v>0.5</v>
      </c>
      <c r="M37" s="17">
        <f t="shared" si="2"/>
        <v>0.78993999999999998</v>
      </c>
      <c r="N37" s="17">
        <f t="shared" si="3"/>
        <v>1.9603697555881312</v>
      </c>
      <c r="O37" s="25">
        <f t="shared" si="7"/>
        <v>111.16082426419719</v>
      </c>
      <c r="P37" s="25">
        <f t="shared" si="8"/>
        <v>111.198731934161</v>
      </c>
      <c r="Q37" s="31">
        <f t="shared" si="9"/>
        <v>996.7469884831379</v>
      </c>
      <c r="R37" s="17">
        <f t="shared" si="10"/>
        <v>101325</v>
      </c>
      <c r="S37" s="17">
        <v>9.8000000000000007</v>
      </c>
      <c r="T37" s="27">
        <f t="shared" si="14"/>
        <v>298.08388888888885</v>
      </c>
      <c r="U37" s="25">
        <f t="shared" si="11"/>
        <v>1.929846197152348</v>
      </c>
    </row>
    <row r="38" spans="1:21" x14ac:dyDescent="0.35">
      <c r="A38" s="38" t="s">
        <v>104</v>
      </c>
      <c r="B38" s="38" t="s">
        <v>26</v>
      </c>
      <c r="C38" s="39" t="s">
        <v>263</v>
      </c>
      <c r="D38" s="81">
        <v>11</v>
      </c>
      <c r="E38" s="48" t="s">
        <v>636</v>
      </c>
      <c r="F38" s="39" t="s">
        <v>637</v>
      </c>
      <c r="G38" s="75">
        <f t="shared" si="5"/>
        <v>24.532222222222224</v>
      </c>
      <c r="H38" s="39" t="s">
        <v>517</v>
      </c>
      <c r="I38" s="84" t="s">
        <v>105</v>
      </c>
      <c r="J38" s="17">
        <f t="shared" si="12"/>
        <v>30.1</v>
      </c>
      <c r="K38" s="34">
        <f t="shared" si="6"/>
        <v>47.980001999999999</v>
      </c>
      <c r="L38" s="17">
        <f t="shared" si="13"/>
        <v>0.5</v>
      </c>
      <c r="M38" s="17">
        <f t="shared" si="2"/>
        <v>0.78993999999999998</v>
      </c>
      <c r="N38" s="17">
        <f t="shared" si="3"/>
        <v>1.9603697555881312</v>
      </c>
      <c r="O38" s="25">
        <f t="shared" si="7"/>
        <v>94.058544793858047</v>
      </c>
      <c r="P38" s="25">
        <f t="shared" si="8"/>
        <v>94.094539142940405</v>
      </c>
      <c r="Q38" s="31">
        <f t="shared" si="9"/>
        <v>996.8525237339145</v>
      </c>
      <c r="R38" s="17">
        <f t="shared" si="10"/>
        <v>101325</v>
      </c>
      <c r="S38" s="17">
        <v>9.8000000000000007</v>
      </c>
      <c r="T38" s="27">
        <f t="shared" si="14"/>
        <v>297.68222222222221</v>
      </c>
      <c r="U38" s="25">
        <f t="shared" si="11"/>
        <v>1.9322881769973155</v>
      </c>
    </row>
    <row r="39" spans="1:21" x14ac:dyDescent="0.35">
      <c r="A39" s="38" t="s">
        <v>104</v>
      </c>
      <c r="B39" s="38" t="s">
        <v>167</v>
      </c>
      <c r="C39" s="39" t="s">
        <v>294</v>
      </c>
      <c r="D39" s="81">
        <v>3</v>
      </c>
      <c r="E39" s="48" t="s">
        <v>626</v>
      </c>
      <c r="F39" s="39" t="s">
        <v>627</v>
      </c>
      <c r="G39" s="75">
        <f t="shared" si="5"/>
        <v>25.501111111111111</v>
      </c>
      <c r="H39" s="39" t="s">
        <v>517</v>
      </c>
      <c r="I39" s="84" t="s">
        <v>105</v>
      </c>
      <c r="J39" s="17">
        <f t="shared" si="12"/>
        <v>29.9</v>
      </c>
      <c r="K39" s="34">
        <f t="shared" si="6"/>
        <v>54.068169999999995</v>
      </c>
      <c r="L39" s="17">
        <f t="shared" si="13"/>
        <v>0.5</v>
      </c>
      <c r="M39" s="17">
        <f t="shared" si="2"/>
        <v>0.78993999999999998</v>
      </c>
      <c r="N39" s="17">
        <f t="shared" si="3"/>
        <v>1.9603697555881312</v>
      </c>
      <c r="O39" s="25">
        <f t="shared" si="7"/>
        <v>105.99360520799752</v>
      </c>
      <c r="P39" s="25">
        <f t="shared" si="8"/>
        <v>106.02936039196969</v>
      </c>
      <c r="Q39" s="31">
        <f t="shared" si="9"/>
        <v>996.5953979282225</v>
      </c>
      <c r="R39" s="17">
        <f t="shared" si="10"/>
        <v>101325</v>
      </c>
      <c r="S39" s="17">
        <v>9.8000000000000007</v>
      </c>
      <c r="T39" s="27">
        <f t="shared" si="14"/>
        <v>298.65111111111111</v>
      </c>
      <c r="U39" s="25">
        <f t="shared" si="11"/>
        <v>1.9261315721196663</v>
      </c>
    </row>
    <row r="40" spans="1:21" x14ac:dyDescent="0.35">
      <c r="A40" s="38" t="s">
        <v>3</v>
      </c>
      <c r="B40" s="38" t="s">
        <v>4</v>
      </c>
      <c r="C40" s="39" t="s">
        <v>335</v>
      </c>
      <c r="D40" s="81">
        <v>6</v>
      </c>
      <c r="E40" s="48" t="s">
        <v>620</v>
      </c>
      <c r="F40" s="39" t="s">
        <v>624</v>
      </c>
      <c r="G40" s="75">
        <f t="shared" si="5"/>
        <v>23.737222222222226</v>
      </c>
      <c r="H40" s="39" t="s">
        <v>517</v>
      </c>
      <c r="I40" s="84" t="s">
        <v>105</v>
      </c>
      <c r="J40" s="17">
        <f t="shared" si="12"/>
        <v>30.2</v>
      </c>
      <c r="K40" s="34">
        <f t="shared" si="6"/>
        <v>70.153391999999997</v>
      </c>
      <c r="L40" s="17">
        <f t="shared" si="13"/>
        <v>0.5</v>
      </c>
      <c r="M40" s="17">
        <f t="shared" si="2"/>
        <v>0.78993999999999998</v>
      </c>
      <c r="N40" s="17">
        <f t="shared" si="3"/>
        <v>1.9603697555881312</v>
      </c>
      <c r="O40" s="25">
        <f t="shared" si="7"/>
        <v>137.52658792871836</v>
      </c>
      <c r="P40" s="25">
        <f t="shared" si="8"/>
        <v>137.56270186035579</v>
      </c>
      <c r="Q40" s="31">
        <f t="shared" si="9"/>
        <v>997.05692964385605</v>
      </c>
      <c r="R40" s="17">
        <f t="shared" si="10"/>
        <v>101325</v>
      </c>
      <c r="S40" s="17">
        <v>9.8000000000000007</v>
      </c>
      <c r="T40" s="27">
        <f t="shared" si="14"/>
        <v>296.88722222222219</v>
      </c>
      <c r="U40" s="25">
        <f t="shared" si="11"/>
        <v>1.9378766848909343</v>
      </c>
    </row>
    <row r="41" spans="1:21" x14ac:dyDescent="0.35">
      <c r="A41" s="38" t="s">
        <v>3</v>
      </c>
      <c r="B41" s="38" t="s">
        <v>119</v>
      </c>
      <c r="C41" s="39" t="s">
        <v>342</v>
      </c>
      <c r="D41" s="81">
        <v>8</v>
      </c>
      <c r="E41" s="48" t="s">
        <v>619</v>
      </c>
      <c r="F41" s="39" t="s">
        <v>625</v>
      </c>
      <c r="G41" s="75">
        <f t="shared" si="5"/>
        <v>23.617222222222221</v>
      </c>
      <c r="H41" s="39" t="s">
        <v>517</v>
      </c>
      <c r="I41" s="84" t="s">
        <v>105</v>
      </c>
      <c r="J41" s="17">
        <f t="shared" si="12"/>
        <v>28</v>
      </c>
      <c r="K41" s="34">
        <f t="shared" si="6"/>
        <v>57.931719999999999</v>
      </c>
      <c r="L41" s="17">
        <f t="shared" si="13"/>
        <v>0.5</v>
      </c>
      <c r="M41" s="17">
        <f t="shared" si="2"/>
        <v>0.78993999999999998</v>
      </c>
      <c r="N41" s="17">
        <f t="shared" si="3"/>
        <v>1.9603697555881312</v>
      </c>
      <c r="O41" s="25">
        <f t="shared" si="7"/>
        <v>113.56759177720005</v>
      </c>
      <c r="P41" s="25">
        <f t="shared" si="8"/>
        <v>113.60107489262549</v>
      </c>
      <c r="Q41" s="31">
        <f t="shared" si="9"/>
        <v>997.08726254810665</v>
      </c>
      <c r="R41" s="17">
        <f t="shared" si="10"/>
        <v>101325</v>
      </c>
      <c r="S41" s="17">
        <v>9.8000000000000007</v>
      </c>
      <c r="T41" s="27">
        <f t="shared" si="14"/>
        <v>296.76722222222219</v>
      </c>
      <c r="U41" s="25">
        <f t="shared" ref="U41:U92" si="15">(1+((Q41*S41/R41/100)*(1+0.01*K41)))*N41*(293/T41)</f>
        <v>1.9384322563628043</v>
      </c>
    </row>
    <row r="42" spans="1:21" x14ac:dyDescent="0.35">
      <c r="A42" s="38" t="s">
        <v>3</v>
      </c>
      <c r="B42" s="38" t="s">
        <v>5</v>
      </c>
      <c r="C42" s="39" t="s">
        <v>346</v>
      </c>
      <c r="D42" s="81">
        <v>10</v>
      </c>
      <c r="E42" s="48" t="s">
        <v>622</v>
      </c>
      <c r="F42" s="39" t="s">
        <v>623</v>
      </c>
      <c r="G42" s="75">
        <f t="shared" si="5"/>
        <v>18.937222222222225</v>
      </c>
      <c r="H42" s="39" t="s">
        <v>517</v>
      </c>
      <c r="I42" s="84" t="s">
        <v>105</v>
      </c>
      <c r="J42" s="17">
        <f t="shared" si="12"/>
        <v>30.1</v>
      </c>
      <c r="K42" s="34">
        <f t="shared" si="6"/>
        <v>68.689705000000004</v>
      </c>
      <c r="L42" s="17">
        <f t="shared" si="13"/>
        <v>1</v>
      </c>
      <c r="M42" s="17">
        <f t="shared" ref="M42:M92" si="16">IF(L42 = 0.5, 0.78994,IF(L42=1, 1.33, "NOT LISTED"))</f>
        <v>1.33</v>
      </c>
      <c r="N42" s="17">
        <f t="shared" ref="N42:N105" si="17">$M42^2*3.141592</f>
        <v>5.5571620888000011</v>
      </c>
      <c r="O42" s="25">
        <f t="shared" si="7"/>
        <v>381.71982451685591</v>
      </c>
      <c r="P42" s="25">
        <f t="shared" si="8"/>
        <v>381.82185956996835</v>
      </c>
      <c r="Q42" s="31">
        <f t="shared" si="9"/>
        <v>998.15968101796614</v>
      </c>
      <c r="R42" s="17">
        <f t="shared" si="10"/>
        <v>101325</v>
      </c>
      <c r="S42" s="17">
        <v>9.8000000000000007</v>
      </c>
      <c r="T42" s="27">
        <f t="shared" si="14"/>
        <v>292.08722222222218</v>
      </c>
      <c r="U42" s="25">
        <f t="shared" si="15"/>
        <v>5.5836066541432166</v>
      </c>
    </row>
    <row r="43" spans="1:21" x14ac:dyDescent="0.35">
      <c r="A43" s="38" t="s">
        <v>104</v>
      </c>
      <c r="B43" s="38" t="s">
        <v>9</v>
      </c>
      <c r="C43" s="39" t="s">
        <v>351</v>
      </c>
      <c r="D43" s="81">
        <v>18</v>
      </c>
      <c r="E43" s="48" t="s">
        <v>603</v>
      </c>
      <c r="F43" s="39" t="s">
        <v>608</v>
      </c>
      <c r="G43" s="75">
        <f t="shared" si="5"/>
        <v>27.874999999999996</v>
      </c>
      <c r="H43" s="39" t="s">
        <v>517</v>
      </c>
      <c r="I43" s="84" t="s">
        <v>105</v>
      </c>
      <c r="J43" s="17">
        <f t="shared" si="12"/>
        <v>29.5</v>
      </c>
      <c r="K43" s="34">
        <f t="shared" si="6"/>
        <v>62.133785000000003</v>
      </c>
      <c r="L43" s="17">
        <f t="shared" si="13"/>
        <v>1</v>
      </c>
      <c r="M43" s="17">
        <f t="shared" si="16"/>
        <v>1.33</v>
      </c>
      <c r="N43" s="17">
        <f t="shared" si="17"/>
        <v>5.5571620888000011</v>
      </c>
      <c r="O43" s="25">
        <f t="shared" si="7"/>
        <v>345.28751443565017</v>
      </c>
      <c r="P43" s="25">
        <f t="shared" si="8"/>
        <v>345.38751556743813</v>
      </c>
      <c r="Q43" s="31">
        <f t="shared" si="9"/>
        <v>995.92915149055455</v>
      </c>
      <c r="R43" s="17">
        <f t="shared" si="10"/>
        <v>101325</v>
      </c>
      <c r="S43" s="17">
        <v>9.8000000000000007</v>
      </c>
      <c r="T43" s="27">
        <f t="shared" si="14"/>
        <v>301.02499999999998</v>
      </c>
      <c r="U43" s="25">
        <f t="shared" si="15"/>
        <v>5.4174617011918622</v>
      </c>
    </row>
    <row r="44" spans="1:21" x14ac:dyDescent="0.35">
      <c r="A44" s="38" t="s">
        <v>104</v>
      </c>
      <c r="B44" s="38" t="s">
        <v>14</v>
      </c>
      <c r="C44" s="39" t="s">
        <v>462</v>
      </c>
      <c r="D44" s="81">
        <v>16</v>
      </c>
      <c r="E44" s="48" t="s">
        <v>609</v>
      </c>
      <c r="F44" s="39" t="s">
        <v>610</v>
      </c>
      <c r="G44" s="75">
        <f t="shared" si="5"/>
        <v>22.872222222222224</v>
      </c>
      <c r="H44" s="39" t="s">
        <v>517</v>
      </c>
      <c r="I44" s="84" t="s">
        <v>105</v>
      </c>
      <c r="J44" s="17">
        <f t="shared" si="12"/>
        <v>30.8</v>
      </c>
      <c r="K44" s="34">
        <f t="shared" si="6"/>
        <v>66.263120000000001</v>
      </c>
      <c r="L44" s="17">
        <f t="shared" si="13"/>
        <v>1</v>
      </c>
      <c r="M44" s="17">
        <f t="shared" si="16"/>
        <v>1.33</v>
      </c>
      <c r="N44" s="17">
        <f t="shared" si="17"/>
        <v>5.5571620888000011</v>
      </c>
      <c r="O44" s="25">
        <f t="shared" si="7"/>
        <v>368.23489834960515</v>
      </c>
      <c r="P44" s="25">
        <f t="shared" si="8"/>
        <v>368.33930631092943</v>
      </c>
      <c r="Q44" s="31">
        <f t="shared" si="9"/>
        <v>997.27248988459837</v>
      </c>
      <c r="R44" s="17">
        <f t="shared" si="10"/>
        <v>101325</v>
      </c>
      <c r="S44" s="17">
        <v>9.8000000000000007</v>
      </c>
      <c r="T44" s="27">
        <f t="shared" si="14"/>
        <v>296.02222222222218</v>
      </c>
      <c r="U44" s="25">
        <f t="shared" si="15"/>
        <v>5.5092475099601321</v>
      </c>
    </row>
    <row r="45" spans="1:21" x14ac:dyDescent="0.35">
      <c r="A45" s="38" t="s">
        <v>104</v>
      </c>
      <c r="B45" s="40" t="s">
        <v>18</v>
      </c>
      <c r="C45" s="39" t="s">
        <v>465</v>
      </c>
      <c r="D45" s="81">
        <v>20</v>
      </c>
      <c r="E45" s="48" t="s">
        <v>611</v>
      </c>
      <c r="F45" s="39" t="s">
        <v>612</v>
      </c>
      <c r="G45" s="75">
        <f t="shared" si="5"/>
        <v>26.352777777777778</v>
      </c>
      <c r="H45" s="39" t="s">
        <v>517</v>
      </c>
      <c r="I45" s="84" t="s">
        <v>105</v>
      </c>
      <c r="J45" s="17">
        <f t="shared" si="12"/>
        <v>30.2</v>
      </c>
      <c r="K45" s="34">
        <f t="shared" si="6"/>
        <v>67.424520000000001</v>
      </c>
      <c r="L45" s="17">
        <f t="shared" si="13"/>
        <v>1</v>
      </c>
      <c r="M45" s="17">
        <f t="shared" si="16"/>
        <v>1.33</v>
      </c>
      <c r="N45" s="17">
        <f t="shared" si="17"/>
        <v>5.5571620888000011</v>
      </c>
      <c r="O45" s="25">
        <f t="shared" si="7"/>
        <v>374.68898639953744</v>
      </c>
      <c r="P45" s="25">
        <f t="shared" si="8"/>
        <v>374.79136043953736</v>
      </c>
      <c r="Q45" s="31">
        <f t="shared" si="9"/>
        <v>996.36223061085957</v>
      </c>
      <c r="R45" s="17">
        <f t="shared" si="10"/>
        <v>101325</v>
      </c>
      <c r="S45" s="17">
        <v>9.8000000000000007</v>
      </c>
      <c r="T45" s="27">
        <f t="shared" si="14"/>
        <v>299.50277777777774</v>
      </c>
      <c r="U45" s="25">
        <f t="shared" si="15"/>
        <v>5.4452768111039447</v>
      </c>
    </row>
    <row r="46" spans="1:21" x14ac:dyDescent="0.35">
      <c r="A46" s="38" t="s">
        <v>104</v>
      </c>
      <c r="B46" s="40" t="s">
        <v>167</v>
      </c>
      <c r="C46" s="39" t="s">
        <v>468</v>
      </c>
      <c r="D46" s="81">
        <v>3</v>
      </c>
      <c r="E46" s="48" t="s">
        <v>617</v>
      </c>
      <c r="F46" s="39" t="s">
        <v>618</v>
      </c>
      <c r="G46" s="75">
        <f t="shared" si="5"/>
        <v>24.628888888888884</v>
      </c>
      <c r="H46" s="39" t="s">
        <v>517</v>
      </c>
      <c r="I46" s="84" t="s">
        <v>105</v>
      </c>
      <c r="J46" s="17">
        <f t="shared" si="12"/>
        <v>29.9</v>
      </c>
      <c r="K46" s="34">
        <f t="shared" si="6"/>
        <v>55.966819999999991</v>
      </c>
      <c r="L46" s="17">
        <f t="shared" si="13"/>
        <v>0.5</v>
      </c>
      <c r="M46" s="17">
        <f t="shared" si="16"/>
        <v>0.78993999999999998</v>
      </c>
      <c r="N46" s="17">
        <f t="shared" si="17"/>
        <v>1.9603697555881312</v>
      </c>
      <c r="O46" s="25">
        <f t="shared" si="7"/>
        <v>109.71566124444492</v>
      </c>
      <c r="P46" s="25">
        <f t="shared" si="8"/>
        <v>109.75141642841709</v>
      </c>
      <c r="Q46" s="31">
        <f t="shared" si="9"/>
        <v>996.82726311672627</v>
      </c>
      <c r="R46" s="17">
        <f t="shared" si="10"/>
        <v>101325</v>
      </c>
      <c r="S46" s="17">
        <v>9.8000000000000007</v>
      </c>
      <c r="T46" s="27">
        <f t="shared" si="14"/>
        <v>297.77888888888884</v>
      </c>
      <c r="U46" s="25">
        <f t="shared" si="15"/>
        <v>1.9318093671804197</v>
      </c>
    </row>
    <row r="47" spans="1:21" x14ac:dyDescent="0.35">
      <c r="A47" s="38" t="s">
        <v>104</v>
      </c>
      <c r="B47" s="40" t="s">
        <v>25</v>
      </c>
      <c r="C47" s="39" t="s">
        <v>474</v>
      </c>
      <c r="D47" s="81">
        <v>21</v>
      </c>
      <c r="E47" s="48" t="s">
        <v>613</v>
      </c>
      <c r="F47" s="39" t="s">
        <v>614</v>
      </c>
      <c r="G47" s="75">
        <f t="shared" si="5"/>
        <v>24.871111111111112</v>
      </c>
      <c r="H47" s="39" t="s">
        <v>517</v>
      </c>
      <c r="I47" s="84" t="s">
        <v>105</v>
      </c>
      <c r="J47" s="17">
        <f t="shared" si="12"/>
        <v>31.7</v>
      </c>
      <c r="K47" s="34">
        <f t="shared" si="6"/>
        <v>56.626660999999999</v>
      </c>
      <c r="L47" s="17">
        <f t="shared" si="13"/>
        <v>0.5</v>
      </c>
      <c r="M47" s="17">
        <f t="shared" si="16"/>
        <v>0.78993999999999998</v>
      </c>
      <c r="N47" s="17">
        <f t="shared" si="17"/>
        <v>1.9603697555881312</v>
      </c>
      <c r="O47" s="25">
        <f t="shared" si="7"/>
        <v>111.00919358434196</v>
      </c>
      <c r="P47" s="25">
        <f t="shared" si="8"/>
        <v>111.04710125430577</v>
      </c>
      <c r="Q47" s="31">
        <f t="shared" si="9"/>
        <v>996.76358228873642</v>
      </c>
      <c r="R47" s="17">
        <f t="shared" si="10"/>
        <v>101325</v>
      </c>
      <c r="S47" s="17">
        <v>9.8000000000000007</v>
      </c>
      <c r="T47" s="27">
        <f t="shared" si="14"/>
        <v>298.02111111111111</v>
      </c>
      <c r="U47" s="25">
        <f t="shared" si="15"/>
        <v>1.9302513281610416</v>
      </c>
    </row>
    <row r="48" spans="1:21" x14ac:dyDescent="0.35">
      <c r="A48" s="38" t="s">
        <v>104</v>
      </c>
      <c r="B48" s="40" t="s">
        <v>26</v>
      </c>
      <c r="C48" s="39" t="s">
        <v>471</v>
      </c>
      <c r="D48" s="81">
        <v>11</v>
      </c>
      <c r="E48" s="48" t="s">
        <v>615</v>
      </c>
      <c r="F48" s="39" t="s">
        <v>616</v>
      </c>
      <c r="G48" s="75">
        <f t="shared" si="5"/>
        <v>27.456111111111113</v>
      </c>
      <c r="H48" s="39" t="s">
        <v>517</v>
      </c>
      <c r="I48" s="84" t="s">
        <v>105</v>
      </c>
      <c r="J48" s="17">
        <f t="shared" si="12"/>
        <v>30.1</v>
      </c>
      <c r="K48" s="34">
        <f t="shared" si="6"/>
        <v>66.28260800000001</v>
      </c>
      <c r="L48" s="17">
        <f t="shared" si="13"/>
        <v>0.5</v>
      </c>
      <c r="M48" s="17">
        <f t="shared" si="16"/>
        <v>0.78993999999999998</v>
      </c>
      <c r="N48" s="17">
        <f t="shared" si="17"/>
        <v>1.9603697555881312</v>
      </c>
      <c r="O48" s="25">
        <f t="shared" si="7"/>
        <v>129.93842004470392</v>
      </c>
      <c r="P48" s="25">
        <f t="shared" si="8"/>
        <v>129.97441439378628</v>
      </c>
      <c r="Q48" s="31">
        <f t="shared" si="9"/>
        <v>996.05039132692082</v>
      </c>
      <c r="R48" s="17">
        <f t="shared" si="10"/>
        <v>101325</v>
      </c>
      <c r="S48" s="17">
        <v>9.8000000000000007</v>
      </c>
      <c r="T48" s="27">
        <f t="shared" si="14"/>
        <v>300.60611111111109</v>
      </c>
      <c r="U48" s="25">
        <f t="shared" si="15"/>
        <v>1.9138282106128814</v>
      </c>
    </row>
    <row r="49" spans="1:21" x14ac:dyDescent="0.35">
      <c r="A49" s="38" t="s">
        <v>104</v>
      </c>
      <c r="B49" s="38" t="s">
        <v>69</v>
      </c>
      <c r="C49" s="39" t="s">
        <v>704</v>
      </c>
      <c r="D49" s="81">
        <v>14</v>
      </c>
      <c r="E49" s="48" t="s">
        <v>708</v>
      </c>
      <c r="F49" s="39" t="s">
        <v>709</v>
      </c>
      <c r="G49" s="75">
        <f t="shared" si="5"/>
        <v>26.426111111111105</v>
      </c>
      <c r="H49" s="39" t="s">
        <v>517</v>
      </c>
      <c r="I49" s="84" t="s">
        <v>105</v>
      </c>
      <c r="J49" s="17">
        <f t="shared" si="12"/>
        <v>29.3</v>
      </c>
      <c r="K49" s="34">
        <f t="shared" si="6"/>
        <v>51.802692999999998</v>
      </c>
      <c r="L49" s="17">
        <f t="shared" si="13"/>
        <v>0.5</v>
      </c>
      <c r="M49" s="17">
        <f t="shared" si="16"/>
        <v>0.78993999999999998</v>
      </c>
      <c r="N49" s="17">
        <f t="shared" si="17"/>
        <v>1.9603697555881312</v>
      </c>
      <c r="O49" s="25">
        <f t="shared" si="7"/>
        <v>101.55243261521699</v>
      </c>
      <c r="P49" s="25">
        <f t="shared" si="8"/>
        <v>101.58747030385862</v>
      </c>
      <c r="Q49" s="31">
        <f t="shared" si="9"/>
        <v>996.34184438600209</v>
      </c>
      <c r="R49" s="17">
        <f t="shared" si="10"/>
        <v>101325</v>
      </c>
      <c r="T49" s="27">
        <f t="shared" si="14"/>
        <v>299.57611111111106</v>
      </c>
      <c r="U49" s="25">
        <f t="shared" si="15"/>
        <v>1.9173369206808519</v>
      </c>
    </row>
    <row r="50" spans="1:21" x14ac:dyDescent="0.35">
      <c r="A50" s="38" t="s">
        <v>104</v>
      </c>
      <c r="B50" s="40" t="s">
        <v>64</v>
      </c>
      <c r="C50" s="39" t="s">
        <v>458</v>
      </c>
      <c r="D50" s="81">
        <v>9</v>
      </c>
      <c r="E50" s="48" t="s">
        <v>603</v>
      </c>
      <c r="F50" s="39" t="s">
        <v>605</v>
      </c>
      <c r="G50" s="75">
        <f t="shared" si="5"/>
        <v>27.283888888888889</v>
      </c>
      <c r="H50" s="39" t="s">
        <v>604</v>
      </c>
      <c r="I50" s="84" t="s">
        <v>105</v>
      </c>
      <c r="J50" s="17">
        <f t="shared" si="12"/>
        <v>32.200000000000003</v>
      </c>
      <c r="K50" s="34">
        <f t="shared" si="6"/>
        <v>27.796650000000003</v>
      </c>
      <c r="L50" s="17">
        <f t="shared" si="13"/>
        <v>0.5</v>
      </c>
      <c r="M50" s="17">
        <f t="shared" si="16"/>
        <v>0.78993999999999998</v>
      </c>
      <c r="N50" s="17">
        <f t="shared" si="17"/>
        <v>1.9603697555881312</v>
      </c>
      <c r="O50" s="25">
        <f t="shared" si="7"/>
        <v>54.491711966668831</v>
      </c>
      <c r="P50" s="25">
        <f t="shared" si="8"/>
        <v>132.9919703907982</v>
      </c>
      <c r="Q50" s="31">
        <f t="shared" si="9"/>
        <v>996.09978581039229</v>
      </c>
      <c r="R50" s="17">
        <f t="shared" si="10"/>
        <v>101325</v>
      </c>
      <c r="S50" s="17">
        <v>9.8000000000000007</v>
      </c>
      <c r="T50" s="27">
        <f t="shared" si="14"/>
        <v>300.43388888888887</v>
      </c>
      <c r="U50" s="25">
        <f t="shared" si="15"/>
        <v>1.9142165772405002</v>
      </c>
    </row>
    <row r="51" spans="1:21" x14ac:dyDescent="0.35">
      <c r="A51" s="38" t="s">
        <v>104</v>
      </c>
      <c r="B51" s="38" t="s">
        <v>69</v>
      </c>
      <c r="C51" s="39" t="s">
        <v>455</v>
      </c>
      <c r="D51" s="81">
        <v>14</v>
      </c>
      <c r="E51" s="48" t="s">
        <v>606</v>
      </c>
      <c r="F51" s="39" t="s">
        <v>607</v>
      </c>
      <c r="G51" s="75">
        <f t="shared" si="5"/>
        <v>25.86611111111111</v>
      </c>
      <c r="H51" s="39" t="s">
        <v>517</v>
      </c>
      <c r="I51" s="84" t="s">
        <v>105</v>
      </c>
      <c r="J51" s="17">
        <f t="shared" si="12"/>
        <v>29.3</v>
      </c>
      <c r="K51" s="34">
        <f t="shared" si="6"/>
        <v>56.918472999999999</v>
      </c>
      <c r="L51" s="17">
        <f t="shared" si="13"/>
        <v>0.5</v>
      </c>
      <c r="M51" s="17">
        <f t="shared" si="16"/>
        <v>0.78993999999999998</v>
      </c>
      <c r="N51" s="17">
        <f t="shared" si="17"/>
        <v>1.9603697555881312</v>
      </c>
      <c r="O51" s="25">
        <f t="shared" si="7"/>
        <v>111.58125300345964</v>
      </c>
      <c r="P51" s="25">
        <f t="shared" si="8"/>
        <v>111.61629069210127</v>
      </c>
      <c r="Q51" s="31">
        <f t="shared" si="9"/>
        <v>996.49628152507023</v>
      </c>
      <c r="R51" s="17">
        <f t="shared" si="10"/>
        <v>101325</v>
      </c>
      <c r="S51" s="17">
        <v>9.8000000000000007</v>
      </c>
      <c r="T51" s="27">
        <f t="shared" si="14"/>
        <v>299.01611111111106</v>
      </c>
      <c r="U51" s="25">
        <f t="shared" si="15"/>
        <v>1.92383288737015</v>
      </c>
    </row>
    <row r="52" spans="1:21" x14ac:dyDescent="0.35">
      <c r="A52" s="38" t="s">
        <v>104</v>
      </c>
      <c r="B52" s="38" t="s">
        <v>60</v>
      </c>
      <c r="C52" s="39" t="s">
        <v>452</v>
      </c>
      <c r="D52" s="81">
        <v>4</v>
      </c>
      <c r="E52" s="48" t="s">
        <v>601</v>
      </c>
      <c r="F52" s="39" t="s">
        <v>602</v>
      </c>
      <c r="G52" s="75">
        <f t="shared" si="5"/>
        <v>27.087222222222223</v>
      </c>
      <c r="H52" s="39" t="s">
        <v>517</v>
      </c>
      <c r="I52" s="84" t="s">
        <v>105</v>
      </c>
      <c r="J52" s="17">
        <f t="shared" si="12"/>
        <v>29.6</v>
      </c>
      <c r="K52" s="34">
        <f t="shared" si="6"/>
        <v>60.302304000000007</v>
      </c>
      <c r="L52" s="17">
        <f t="shared" si="13"/>
        <v>0.5</v>
      </c>
      <c r="M52" s="17">
        <f t="shared" si="16"/>
        <v>0.78993999999999998</v>
      </c>
      <c r="N52" s="17">
        <f t="shared" si="17"/>
        <v>1.9603697555881312</v>
      </c>
      <c r="O52" s="25">
        <f t="shared" si="7"/>
        <v>118.21481295388119</v>
      </c>
      <c r="P52" s="25">
        <f t="shared" si="8"/>
        <v>118.2502093901881</v>
      </c>
      <c r="Q52" s="31">
        <f t="shared" si="9"/>
        <v>996.15586741341178</v>
      </c>
      <c r="R52" s="17">
        <f t="shared" si="10"/>
        <v>101325</v>
      </c>
      <c r="S52" s="17">
        <v>9.8000000000000007</v>
      </c>
      <c r="T52" s="27">
        <f t="shared" si="14"/>
        <v>300.23722222222221</v>
      </c>
      <c r="U52" s="25">
        <f t="shared" si="15"/>
        <v>1.9160697453055671</v>
      </c>
    </row>
    <row r="53" spans="1:21" x14ac:dyDescent="0.35">
      <c r="A53" s="38" t="s">
        <v>104</v>
      </c>
      <c r="B53" s="38" t="s">
        <v>25</v>
      </c>
      <c r="C53" s="39" t="s">
        <v>449</v>
      </c>
      <c r="D53" s="81">
        <v>21</v>
      </c>
      <c r="E53" s="48" t="s">
        <v>597</v>
      </c>
      <c r="F53" s="39" t="s">
        <v>598</v>
      </c>
      <c r="G53" s="75">
        <f t="shared" si="5"/>
        <v>27.332777777777775</v>
      </c>
      <c r="H53" s="39" t="s">
        <v>517</v>
      </c>
      <c r="I53" s="84" t="s">
        <v>105</v>
      </c>
      <c r="J53" s="17">
        <f t="shared" si="12"/>
        <v>31.7</v>
      </c>
      <c r="K53" s="34">
        <f t="shared" si="6"/>
        <v>53.665563999999996</v>
      </c>
      <c r="L53" s="17">
        <f t="shared" si="13"/>
        <v>0.5</v>
      </c>
      <c r="M53" s="17">
        <f t="shared" si="16"/>
        <v>0.78993999999999998</v>
      </c>
      <c r="N53" s="17">
        <f t="shared" si="17"/>
        <v>1.9603697555881312</v>
      </c>
      <c r="O53" s="25">
        <f t="shared" si="7"/>
        <v>105.20434858217921</v>
      </c>
      <c r="P53" s="25">
        <f t="shared" si="8"/>
        <v>105.24225625214301</v>
      </c>
      <c r="Q53" s="31">
        <f t="shared" si="9"/>
        <v>996.08579101566181</v>
      </c>
      <c r="R53" s="17">
        <f t="shared" si="10"/>
        <v>101325</v>
      </c>
      <c r="S53" s="17">
        <v>9.8000000000000007</v>
      </c>
      <c r="T53" s="27">
        <f t="shared" si="14"/>
        <v>300.48277777777776</v>
      </c>
      <c r="U53" s="25">
        <f t="shared" si="15"/>
        <v>1.9143814975186628</v>
      </c>
    </row>
    <row r="54" spans="1:21" x14ac:dyDescent="0.35">
      <c r="A54" s="38" t="s">
        <v>104</v>
      </c>
      <c r="B54" s="40" t="s">
        <v>69</v>
      </c>
      <c r="C54" s="39" t="s">
        <v>446</v>
      </c>
      <c r="D54" s="81">
        <v>14</v>
      </c>
      <c r="E54" s="48" t="s">
        <v>599</v>
      </c>
      <c r="F54" s="39" t="s">
        <v>600</v>
      </c>
      <c r="G54" s="75">
        <f t="shared" si="5"/>
        <v>27.77611111111111</v>
      </c>
      <c r="H54" s="39" t="s">
        <v>517</v>
      </c>
      <c r="I54" s="84" t="s">
        <v>105</v>
      </c>
      <c r="J54" s="17">
        <f t="shared" si="12"/>
        <v>29.3</v>
      </c>
      <c r="K54" s="34">
        <f t="shared" si="6"/>
        <v>54.271218000000005</v>
      </c>
      <c r="L54" s="17">
        <f t="shared" si="13"/>
        <v>0.5</v>
      </c>
      <c r="M54" s="17">
        <f t="shared" si="16"/>
        <v>0.78993999999999998</v>
      </c>
      <c r="N54" s="17">
        <f t="shared" si="17"/>
        <v>1.9603697555881312</v>
      </c>
      <c r="O54" s="25">
        <f t="shared" si="7"/>
        <v>106.3916543661302</v>
      </c>
      <c r="P54" s="25">
        <f t="shared" si="8"/>
        <v>106.42669205477181</v>
      </c>
      <c r="Q54" s="31">
        <f t="shared" si="9"/>
        <v>995.95791323142646</v>
      </c>
      <c r="R54" s="17">
        <f t="shared" si="10"/>
        <v>101325</v>
      </c>
      <c r="S54" s="17">
        <v>9.8000000000000007</v>
      </c>
      <c r="T54" s="27">
        <f t="shared" si="14"/>
        <v>300.92611111111108</v>
      </c>
      <c r="U54" s="25">
        <f t="shared" si="15"/>
        <v>1.9115719465453711</v>
      </c>
    </row>
    <row r="55" spans="1:21" x14ac:dyDescent="0.35">
      <c r="A55" s="38" t="s">
        <v>104</v>
      </c>
      <c r="B55" s="38" t="s">
        <v>167</v>
      </c>
      <c r="C55" s="39" t="s">
        <v>443</v>
      </c>
      <c r="D55" s="81">
        <v>3</v>
      </c>
      <c r="E55" s="48" t="s">
        <v>595</v>
      </c>
      <c r="F55" s="39" t="s">
        <v>596</v>
      </c>
      <c r="G55" s="75">
        <f t="shared" si="5"/>
        <v>27.161111111111111</v>
      </c>
      <c r="H55" s="39" t="s">
        <v>517</v>
      </c>
      <c r="I55" s="84" t="s">
        <v>105</v>
      </c>
      <c r="J55" s="17">
        <f t="shared" si="12"/>
        <v>29.9</v>
      </c>
      <c r="K55" s="34">
        <f t="shared" si="6"/>
        <v>54.451487999999998</v>
      </c>
      <c r="L55" s="17">
        <f t="shared" si="13"/>
        <v>0.5</v>
      </c>
      <c r="M55" s="17">
        <f t="shared" si="16"/>
        <v>0.78993999999999998</v>
      </c>
      <c r="N55" s="17">
        <f t="shared" si="17"/>
        <v>1.9603697555881312</v>
      </c>
      <c r="O55" s="25">
        <f t="shared" si="7"/>
        <v>106.74505022197006</v>
      </c>
      <c r="P55" s="25">
        <f t="shared" si="8"/>
        <v>106.78080540594223</v>
      </c>
      <c r="Q55" s="31">
        <f t="shared" si="9"/>
        <v>996.1348377564691</v>
      </c>
      <c r="R55" s="17">
        <f t="shared" si="10"/>
        <v>101325</v>
      </c>
      <c r="S55" s="17">
        <v>9.8000000000000007</v>
      </c>
      <c r="T55" s="27">
        <f t="shared" si="14"/>
        <v>300.31111111111107</v>
      </c>
      <c r="U55" s="25">
        <f t="shared" si="15"/>
        <v>1.9154904361886473</v>
      </c>
    </row>
    <row r="56" spans="1:21" x14ac:dyDescent="0.35">
      <c r="A56" s="38" t="s">
        <v>104</v>
      </c>
      <c r="B56" s="38" t="s">
        <v>14</v>
      </c>
      <c r="C56" s="39" t="s">
        <v>441</v>
      </c>
      <c r="D56" s="81">
        <v>16</v>
      </c>
      <c r="E56" s="48" t="s">
        <v>593</v>
      </c>
      <c r="F56" s="39" t="s">
        <v>594</v>
      </c>
      <c r="G56" s="75">
        <f t="shared" si="5"/>
        <v>27.948888888888892</v>
      </c>
      <c r="H56" s="39" t="s">
        <v>105</v>
      </c>
      <c r="I56" s="84" t="s">
        <v>105</v>
      </c>
      <c r="J56" s="17">
        <f t="shared" si="12"/>
        <v>30.8</v>
      </c>
      <c r="K56" s="34" t="s">
        <v>105</v>
      </c>
      <c r="L56" s="17">
        <f t="shared" si="13"/>
        <v>1</v>
      </c>
      <c r="M56" s="17">
        <f t="shared" si="16"/>
        <v>1.33</v>
      </c>
      <c r="N56" s="17">
        <f t="shared" si="17"/>
        <v>5.5571620888000011</v>
      </c>
      <c r="O56" s="35" t="s">
        <v>105</v>
      </c>
      <c r="P56" s="35" t="s">
        <v>105</v>
      </c>
      <c r="Q56" s="36">
        <f t="shared" si="9"/>
        <v>995.9076046048101</v>
      </c>
      <c r="R56" s="22">
        <f t="shared" si="10"/>
        <v>101325</v>
      </c>
      <c r="S56" s="22">
        <v>9.8000000000000007</v>
      </c>
      <c r="T56" s="37">
        <f t="shared" si="14"/>
        <v>301.09888888888889</v>
      </c>
      <c r="U56" s="35" t="s">
        <v>105</v>
      </c>
    </row>
    <row r="57" spans="1:21" x14ac:dyDescent="0.35">
      <c r="A57" s="38" t="s">
        <v>104</v>
      </c>
      <c r="B57" s="41" t="s">
        <v>60</v>
      </c>
      <c r="C57" s="39" t="s">
        <v>440</v>
      </c>
      <c r="D57" s="81">
        <v>4</v>
      </c>
      <c r="E57" s="48"/>
      <c r="F57" s="39"/>
      <c r="G57" s="75">
        <f t="shared" si="5"/>
        <v>-17.777777777777779</v>
      </c>
      <c r="H57" s="39"/>
      <c r="I57" s="84" t="s">
        <v>105</v>
      </c>
      <c r="J57" s="17">
        <f t="shared" si="12"/>
        <v>29.6</v>
      </c>
      <c r="K57" s="34">
        <f t="shared" si="6"/>
        <v>0</v>
      </c>
      <c r="L57" s="17">
        <f t="shared" si="13"/>
        <v>0.5</v>
      </c>
      <c r="M57" s="17">
        <f t="shared" si="16"/>
        <v>0.78993999999999998</v>
      </c>
      <c r="N57" s="17">
        <f t="shared" si="17"/>
        <v>1.9603697555881312</v>
      </c>
      <c r="O57" s="25">
        <f t="shared" si="7"/>
        <v>0</v>
      </c>
      <c r="P57" s="25">
        <f t="shared" si="8"/>
        <v>145.06736191352172</v>
      </c>
      <c r="Q57" s="31">
        <f t="shared" si="9"/>
        <v>995.34633986582878</v>
      </c>
      <c r="R57" s="17">
        <f t="shared" si="10"/>
        <v>101325</v>
      </c>
      <c r="S57" s="17">
        <v>9.8000000000000007</v>
      </c>
      <c r="T57" s="27">
        <f t="shared" si="14"/>
        <v>255.37222222222221</v>
      </c>
      <c r="U57" s="25">
        <f t="shared" si="15"/>
        <v>2.2513854003477869</v>
      </c>
    </row>
    <row r="58" spans="1:21" x14ac:dyDescent="0.35">
      <c r="A58" s="38" t="s">
        <v>104</v>
      </c>
      <c r="B58" s="38" t="s">
        <v>64</v>
      </c>
      <c r="C58" s="39" t="s">
        <v>437</v>
      </c>
      <c r="D58" s="81">
        <v>9</v>
      </c>
      <c r="E58" s="48" t="s">
        <v>591</v>
      </c>
      <c r="F58" s="39" t="s">
        <v>592</v>
      </c>
      <c r="G58" s="75">
        <f t="shared" si="5"/>
        <v>27.013888888888889</v>
      </c>
      <c r="H58" s="39" t="s">
        <v>517</v>
      </c>
      <c r="I58" s="84" t="s">
        <v>105</v>
      </c>
      <c r="J58" s="17">
        <f t="shared" si="12"/>
        <v>32.200000000000003</v>
      </c>
      <c r="K58" s="34">
        <f t="shared" si="6"/>
        <v>65.068472000000014</v>
      </c>
      <c r="L58" s="17">
        <f t="shared" si="13"/>
        <v>0.5</v>
      </c>
      <c r="M58" s="17">
        <f t="shared" si="16"/>
        <v>0.78993999999999998</v>
      </c>
      <c r="N58" s="17">
        <f t="shared" si="17"/>
        <v>1.9603697555881312</v>
      </c>
      <c r="O58" s="25">
        <f t="shared" si="7"/>
        <v>127.55826455113319</v>
      </c>
      <c r="P58" s="25">
        <f t="shared" si="8"/>
        <v>127.59677013387243</v>
      </c>
      <c r="Q58" s="31">
        <f t="shared" si="9"/>
        <v>996.17669061754816</v>
      </c>
      <c r="R58" s="17">
        <f t="shared" si="10"/>
        <v>101325</v>
      </c>
      <c r="S58" s="17">
        <v>9.8000000000000007</v>
      </c>
      <c r="T58" s="27">
        <f t="shared" si="14"/>
        <v>300.16388888888889</v>
      </c>
      <c r="U58" s="25">
        <f t="shared" si="15"/>
        <v>1.9166257983554926</v>
      </c>
    </row>
    <row r="59" spans="1:21" x14ac:dyDescent="0.35">
      <c r="A59" s="38" t="s">
        <v>104</v>
      </c>
      <c r="B59" s="40" t="s">
        <v>18</v>
      </c>
      <c r="C59" s="39" t="s">
        <v>434</v>
      </c>
      <c r="D59" s="81">
        <v>20</v>
      </c>
      <c r="E59" s="48" t="s">
        <v>589</v>
      </c>
      <c r="F59" s="39" t="s">
        <v>590</v>
      </c>
      <c r="G59" s="75">
        <f t="shared" si="5"/>
        <v>27.40722222222222</v>
      </c>
      <c r="H59" s="39" t="s">
        <v>517</v>
      </c>
      <c r="I59" s="84" t="s">
        <v>105</v>
      </c>
      <c r="J59" s="17">
        <f t="shared" si="12"/>
        <v>30.2</v>
      </c>
      <c r="K59" s="34">
        <f t="shared" si="6"/>
        <v>66.760723999999996</v>
      </c>
      <c r="L59" s="17">
        <f t="shared" si="13"/>
        <v>1</v>
      </c>
      <c r="M59" s="17">
        <f t="shared" si="16"/>
        <v>1.33</v>
      </c>
      <c r="N59" s="17">
        <f t="shared" si="17"/>
        <v>5.5571620888000011</v>
      </c>
      <c r="O59" s="25">
        <f t="shared" si="7"/>
        <v>371.00016443364035</v>
      </c>
      <c r="P59" s="25">
        <f t="shared" si="8"/>
        <v>371.10253847364021</v>
      </c>
      <c r="Q59" s="31">
        <f t="shared" si="9"/>
        <v>996.06443984000452</v>
      </c>
      <c r="R59" s="17">
        <f t="shared" si="10"/>
        <v>101325</v>
      </c>
      <c r="S59" s="17">
        <v>9.8000000000000007</v>
      </c>
      <c r="T59" s="27">
        <f t="shared" si="14"/>
        <v>300.55722222222221</v>
      </c>
      <c r="U59" s="25">
        <f t="shared" si="15"/>
        <v>5.426135898646776</v>
      </c>
    </row>
    <row r="60" spans="1:21" x14ac:dyDescent="0.35">
      <c r="A60" s="38" t="s">
        <v>104</v>
      </c>
      <c r="B60" s="38" t="s">
        <v>25</v>
      </c>
      <c r="C60" s="39" t="s">
        <v>428</v>
      </c>
      <c r="D60" s="81">
        <v>21</v>
      </c>
      <c r="E60" s="48" t="s">
        <v>588</v>
      </c>
      <c r="F60" s="39" t="s">
        <v>538</v>
      </c>
      <c r="G60" s="75">
        <f t="shared" si="5"/>
        <v>28.294999999999998</v>
      </c>
      <c r="H60" s="39" t="s">
        <v>517</v>
      </c>
      <c r="I60" s="84" t="s">
        <v>105</v>
      </c>
      <c r="J60" s="17">
        <f t="shared" si="12"/>
        <v>31.7</v>
      </c>
      <c r="K60" s="34">
        <f t="shared" si="6"/>
        <v>55.271802999999998</v>
      </c>
      <c r="L60" s="17">
        <f t="shared" si="13"/>
        <v>0.5</v>
      </c>
      <c r="M60" s="17">
        <f t="shared" si="16"/>
        <v>0.78993999999999998</v>
      </c>
      <c r="N60" s="17">
        <f t="shared" si="17"/>
        <v>1.9603697555881312</v>
      </c>
      <c r="O60" s="25">
        <f t="shared" si="7"/>
        <v>108.35317093802533</v>
      </c>
      <c r="P60" s="25">
        <f t="shared" si="8"/>
        <v>108.39107860798914</v>
      </c>
      <c r="Q60" s="31">
        <f t="shared" si="9"/>
        <v>995.80603451282127</v>
      </c>
      <c r="R60" s="17">
        <f t="shared" si="10"/>
        <v>101325</v>
      </c>
      <c r="S60" s="17">
        <v>9.8000000000000007</v>
      </c>
      <c r="T60" s="27">
        <f t="shared" si="14"/>
        <v>301.44499999999999</v>
      </c>
      <c r="U60" s="25">
        <f t="shared" si="15"/>
        <v>1.9082994149879235</v>
      </c>
    </row>
    <row r="61" spans="1:21" x14ac:dyDescent="0.35">
      <c r="A61" s="38" t="s">
        <v>104</v>
      </c>
      <c r="B61" s="38" t="s">
        <v>26</v>
      </c>
      <c r="C61" s="39" t="s">
        <v>426</v>
      </c>
      <c r="D61" s="81">
        <v>11</v>
      </c>
      <c r="E61" s="48" t="s">
        <v>585</v>
      </c>
      <c r="F61" s="39" t="s">
        <v>587</v>
      </c>
      <c r="G61" s="75">
        <f t="shared" si="5"/>
        <v>28.542777777777776</v>
      </c>
      <c r="H61" s="39" t="s">
        <v>586</v>
      </c>
      <c r="I61" s="84" t="s">
        <v>105</v>
      </c>
      <c r="J61" s="17">
        <f t="shared" si="12"/>
        <v>30.1</v>
      </c>
      <c r="K61" s="34">
        <f t="shared" si="6"/>
        <v>60.108195000000002</v>
      </c>
      <c r="L61" s="17">
        <f t="shared" si="13"/>
        <v>0.5</v>
      </c>
      <c r="M61" s="17">
        <f t="shared" si="16"/>
        <v>0.78993999999999998</v>
      </c>
      <c r="N61" s="17">
        <f t="shared" si="17"/>
        <v>1.9603697555881312</v>
      </c>
      <c r="O61" s="25">
        <f t="shared" si="7"/>
        <v>117.83428754099373</v>
      </c>
      <c r="P61" s="25">
        <f t="shared" si="8"/>
        <v>118.84271938659607</v>
      </c>
      <c r="Q61" s="31">
        <f t="shared" si="9"/>
        <v>995.73267612021891</v>
      </c>
      <c r="R61" s="17">
        <f t="shared" si="10"/>
        <v>101325</v>
      </c>
      <c r="S61" s="17">
        <v>9.8000000000000007</v>
      </c>
      <c r="T61" s="27">
        <f t="shared" si="14"/>
        <v>301.69277777777774</v>
      </c>
      <c r="U61" s="25">
        <f t="shared" si="15"/>
        <v>1.9068206124493425</v>
      </c>
    </row>
    <row r="62" spans="1:21" x14ac:dyDescent="0.35">
      <c r="A62" s="38" t="s">
        <v>104</v>
      </c>
      <c r="B62" s="38" t="s">
        <v>167</v>
      </c>
      <c r="C62" s="39" t="s">
        <v>431</v>
      </c>
      <c r="D62" s="81">
        <v>3</v>
      </c>
      <c r="E62" s="48" t="s">
        <v>584</v>
      </c>
      <c r="F62" s="39" t="s">
        <v>570</v>
      </c>
      <c r="G62" s="75">
        <f t="shared" si="5"/>
        <v>28.344999999999999</v>
      </c>
      <c r="H62" s="39" t="s">
        <v>517</v>
      </c>
      <c r="I62" s="84" t="s">
        <v>105</v>
      </c>
      <c r="J62" s="17">
        <f t="shared" si="12"/>
        <v>29.9</v>
      </c>
      <c r="K62" s="34">
        <f t="shared" si="6"/>
        <v>54.761850000000003</v>
      </c>
      <c r="L62" s="17">
        <f t="shared" si="13"/>
        <v>0.5</v>
      </c>
      <c r="M62" s="17">
        <f t="shared" si="16"/>
        <v>0.78993999999999998</v>
      </c>
      <c r="N62" s="17">
        <f t="shared" si="17"/>
        <v>1.9603697555881312</v>
      </c>
      <c r="O62" s="25">
        <f t="shared" si="7"/>
        <v>107.35347450005391</v>
      </c>
      <c r="P62" s="25">
        <f t="shared" si="8"/>
        <v>107.38922968402608</v>
      </c>
      <c r="Q62" s="31">
        <f t="shared" si="9"/>
        <v>995.79127451483816</v>
      </c>
      <c r="R62" s="17">
        <f t="shared" si="10"/>
        <v>101325</v>
      </c>
      <c r="S62" s="17">
        <v>9.8000000000000007</v>
      </c>
      <c r="T62" s="27">
        <f t="shared" si="14"/>
        <v>301.495</v>
      </c>
      <c r="U62" s="25">
        <f t="shared" si="15"/>
        <v>1.9079735430145661</v>
      </c>
    </row>
    <row r="63" spans="1:21" x14ac:dyDescent="0.35">
      <c r="A63" s="38" t="s">
        <v>104</v>
      </c>
      <c r="B63" s="40" t="s">
        <v>14</v>
      </c>
      <c r="C63" s="39" t="s">
        <v>419</v>
      </c>
      <c r="D63" s="81">
        <v>16</v>
      </c>
      <c r="E63" s="48" t="s">
        <v>581</v>
      </c>
      <c r="F63" s="39" t="s">
        <v>570</v>
      </c>
      <c r="G63" s="75">
        <f t="shared" ref="G63:G131" si="18">CONVERT(F63,"F","C")</f>
        <v>28.344999999999999</v>
      </c>
      <c r="H63" s="39" t="s">
        <v>517</v>
      </c>
      <c r="I63" s="84" t="s">
        <v>105</v>
      </c>
      <c r="J63" s="17">
        <f t="shared" si="12"/>
        <v>30.8</v>
      </c>
      <c r="K63" s="34">
        <f t="shared" ref="K63:K92" si="19">J63*(H63-E63)</f>
        <v>67.598299999999995</v>
      </c>
      <c r="L63" s="17">
        <f t="shared" si="13"/>
        <v>1</v>
      </c>
      <c r="M63" s="17">
        <f t="shared" si="16"/>
        <v>1.33</v>
      </c>
      <c r="N63" s="17">
        <f t="shared" si="17"/>
        <v>5.5571620888000011</v>
      </c>
      <c r="O63" s="25">
        <f t="shared" ref="O63:O92" si="20">K63*N63</f>
        <v>375.65471002732909</v>
      </c>
      <c r="P63" s="25">
        <f t="shared" ref="P63:P92" si="21">(J63*(2.5-E63))*N63</f>
        <v>375.75911798865349</v>
      </c>
      <c r="Q63" s="31">
        <f t="shared" ref="Q63:Q92" si="22">(999.83952+16.945176*G63-0.00798704*G63^2-0.000046170461*G63^3+0.00000010556302*G63^4-0.00000000028054253*G63^5)/(1+0.01689785*G63)</f>
        <v>995.79127451483816</v>
      </c>
      <c r="R63" s="17">
        <f t="shared" ref="R63:R92" si="23">IF(I63="NA", 101325, I63*133.322368)</f>
        <v>101325</v>
      </c>
      <c r="S63" s="17">
        <v>9.8000000000000007</v>
      </c>
      <c r="T63" s="27">
        <f t="shared" si="14"/>
        <v>301.495</v>
      </c>
      <c r="U63" s="25">
        <f t="shared" si="15"/>
        <v>5.4092994925081159</v>
      </c>
    </row>
    <row r="64" spans="1:21" x14ac:dyDescent="0.35">
      <c r="A64" s="38" t="s">
        <v>104</v>
      </c>
      <c r="B64" s="38" t="s">
        <v>18</v>
      </c>
      <c r="C64" s="39" t="s">
        <v>422</v>
      </c>
      <c r="D64" s="81">
        <v>20</v>
      </c>
      <c r="E64" s="48" t="s">
        <v>582</v>
      </c>
      <c r="F64" s="39" t="s">
        <v>583</v>
      </c>
      <c r="G64" s="75">
        <f t="shared" si="18"/>
        <v>29.265000000000004</v>
      </c>
      <c r="H64" s="39" t="s">
        <v>517</v>
      </c>
      <c r="I64" s="84" t="s">
        <v>105</v>
      </c>
      <c r="J64" s="17">
        <f t="shared" si="12"/>
        <v>30.2</v>
      </c>
      <c r="K64" s="34">
        <f t="shared" si="19"/>
        <v>66.447248000000002</v>
      </c>
      <c r="L64" s="17">
        <f t="shared" si="13"/>
        <v>1</v>
      </c>
      <c r="M64" s="17">
        <f t="shared" si="16"/>
        <v>1.33</v>
      </c>
      <c r="N64" s="17">
        <f t="shared" si="17"/>
        <v>5.5571620888000011</v>
      </c>
      <c r="O64" s="25">
        <f t="shared" si="20"/>
        <v>369.25812749069172</v>
      </c>
      <c r="P64" s="25">
        <f t="shared" si="21"/>
        <v>369.36050153069158</v>
      </c>
      <c r="Q64" s="31">
        <f t="shared" si="22"/>
        <v>995.51580238391205</v>
      </c>
      <c r="R64" s="17">
        <f t="shared" si="23"/>
        <v>101325</v>
      </c>
      <c r="S64" s="17">
        <v>9.8000000000000007</v>
      </c>
      <c r="T64" s="27">
        <f t="shared" si="14"/>
        <v>302.41499999999996</v>
      </c>
      <c r="U64" s="25">
        <f t="shared" si="15"/>
        <v>5.3927813691179542</v>
      </c>
    </row>
    <row r="65" spans="1:21" x14ac:dyDescent="0.35">
      <c r="A65" s="38" t="s">
        <v>104</v>
      </c>
      <c r="B65" s="38" t="s">
        <v>9</v>
      </c>
      <c r="C65" s="39" t="s">
        <v>416</v>
      </c>
      <c r="D65" s="81">
        <v>18</v>
      </c>
      <c r="E65" s="48" t="s">
        <v>579</v>
      </c>
      <c r="F65" s="39" t="s">
        <v>580</v>
      </c>
      <c r="G65" s="75">
        <f t="shared" si="18"/>
        <v>28.46777777777778</v>
      </c>
      <c r="H65" s="39" t="s">
        <v>517</v>
      </c>
      <c r="I65" s="84" t="s">
        <v>105</v>
      </c>
      <c r="J65" s="17">
        <f t="shared" si="12"/>
        <v>29.5</v>
      </c>
      <c r="K65" s="34">
        <f t="shared" si="19"/>
        <v>63.304344999999991</v>
      </c>
      <c r="L65" s="17">
        <f t="shared" si="13"/>
        <v>1</v>
      </c>
      <c r="M65" s="17">
        <f t="shared" si="16"/>
        <v>1.33</v>
      </c>
      <c r="N65" s="17">
        <f t="shared" si="17"/>
        <v>5.5571620888000011</v>
      </c>
      <c r="O65" s="25">
        <f t="shared" si="20"/>
        <v>351.79250609031584</v>
      </c>
      <c r="P65" s="25">
        <f t="shared" si="21"/>
        <v>351.8925072221038</v>
      </c>
      <c r="Q65" s="31">
        <f t="shared" si="22"/>
        <v>995.75493766885791</v>
      </c>
      <c r="R65" s="17">
        <f t="shared" si="23"/>
        <v>101325</v>
      </c>
      <c r="S65" s="17">
        <v>9.8000000000000007</v>
      </c>
      <c r="T65" s="27">
        <f t="shared" si="14"/>
        <v>301.61777777777775</v>
      </c>
      <c r="U65" s="25">
        <f t="shared" si="15"/>
        <v>5.4068739970184891</v>
      </c>
    </row>
    <row r="66" spans="1:21" x14ac:dyDescent="0.35">
      <c r="A66" s="38" t="s">
        <v>104</v>
      </c>
      <c r="B66" s="38" t="s">
        <v>64</v>
      </c>
      <c r="C66" s="39" t="s">
        <v>407</v>
      </c>
      <c r="D66" s="81">
        <v>9</v>
      </c>
      <c r="E66" s="48" t="s">
        <v>573</v>
      </c>
      <c r="F66" s="39" t="s">
        <v>574</v>
      </c>
      <c r="G66" s="75">
        <f t="shared" si="18"/>
        <v>29.463888888888885</v>
      </c>
      <c r="H66" s="39" t="s">
        <v>517</v>
      </c>
      <c r="I66" s="84" t="s">
        <v>105</v>
      </c>
      <c r="J66" s="17">
        <f t="shared" ref="J66:J95" si="24">IF(D66=1, 32.2,IF(D66=2, 30.8, IF(D66=3, 29.9, IF(D66=4, 29.6, IF(D66=5, 29.9, IF(D66=6, 30.2, IF(D66=7, 30.4, IF(D66=8, 28, IF(D66=9, 32.2, IF(D66=10, 30.1, IF(D66=11, 30.1, IF(D66=12, 29.2, IF(D66=13, 30.8,IF(D66=14,29.3, IF(D66=15,30.2,IF(D66=16, 30.8,IF(D66=17,30.1,IF(D66=18,29.5,IF(D66=19,28.7,IF(D66=20,30.2,IF(D66=21,31.7, "NOT LISTED")))))))))))))))))))))</f>
        <v>32.200000000000003</v>
      </c>
      <c r="K66" s="34">
        <f t="shared" si="19"/>
        <v>66.837540000000004</v>
      </c>
      <c r="L66" s="17">
        <f t="shared" si="13"/>
        <v>0.5</v>
      </c>
      <c r="M66" s="17">
        <f t="shared" si="16"/>
        <v>0.78993999999999998</v>
      </c>
      <c r="N66" s="17">
        <f t="shared" si="17"/>
        <v>1.9603697555881312</v>
      </c>
      <c r="O66" s="25">
        <f t="shared" si="20"/>
        <v>131.02629195391197</v>
      </c>
      <c r="P66" s="25">
        <f t="shared" si="21"/>
        <v>131.06479753665121</v>
      </c>
      <c r="Q66" s="31">
        <f t="shared" si="22"/>
        <v>995.45528673251238</v>
      </c>
      <c r="R66" s="17">
        <f t="shared" si="23"/>
        <v>101325</v>
      </c>
      <c r="S66" s="17">
        <v>9.8000000000000007</v>
      </c>
      <c r="T66" s="27">
        <f t="shared" ref="T66:T92" si="25">G66+273.15</f>
        <v>302.61388888888888</v>
      </c>
      <c r="U66" s="25">
        <f t="shared" si="15"/>
        <v>1.9011386984212988</v>
      </c>
    </row>
    <row r="67" spans="1:21" x14ac:dyDescent="0.35">
      <c r="A67" s="38" t="s">
        <v>104</v>
      </c>
      <c r="B67" s="40" t="s">
        <v>69</v>
      </c>
      <c r="C67" s="39" t="s">
        <v>410</v>
      </c>
      <c r="D67" s="81">
        <v>10</v>
      </c>
      <c r="E67" s="48" t="s">
        <v>575</v>
      </c>
      <c r="F67" s="39" t="s">
        <v>576</v>
      </c>
      <c r="G67" s="75">
        <f t="shared" si="18"/>
        <v>30.267777777777777</v>
      </c>
      <c r="H67" s="39" t="s">
        <v>517</v>
      </c>
      <c r="I67" s="84" t="s">
        <v>105</v>
      </c>
      <c r="J67" s="17">
        <f t="shared" si="24"/>
        <v>30.1</v>
      </c>
      <c r="K67" s="34">
        <f t="shared" si="19"/>
        <v>59.042353999999996</v>
      </c>
      <c r="L67" s="17">
        <f t="shared" si="13"/>
        <v>0.5</v>
      </c>
      <c r="M67" s="17">
        <f t="shared" si="16"/>
        <v>0.78993999999999998</v>
      </c>
      <c r="N67" s="17">
        <f t="shared" si="17"/>
        <v>1.9603697555881312</v>
      </c>
      <c r="O67" s="25">
        <f t="shared" si="20"/>
        <v>115.74484508032791</v>
      </c>
      <c r="P67" s="25">
        <f t="shared" si="21"/>
        <v>115.78083942941026</v>
      </c>
      <c r="Q67" s="31">
        <f t="shared" si="22"/>
        <v>995.20723763692615</v>
      </c>
      <c r="R67" s="17">
        <f t="shared" si="23"/>
        <v>101325</v>
      </c>
      <c r="S67" s="17">
        <v>9.8000000000000007</v>
      </c>
      <c r="T67" s="27">
        <f t="shared" si="25"/>
        <v>303.41777777777776</v>
      </c>
      <c r="U67" s="25">
        <f>(1+((Q67*S67/R67/100)*(1+0.01*K67)))*N67*(293/T67)</f>
        <v>1.8959589360823978</v>
      </c>
    </row>
    <row r="68" spans="1:21" x14ac:dyDescent="0.35">
      <c r="A68" s="38" t="s">
        <v>104</v>
      </c>
      <c r="B68" s="38" t="s">
        <v>60</v>
      </c>
      <c r="C68" s="39" t="s">
        <v>413</v>
      </c>
      <c r="D68" s="81">
        <v>4</v>
      </c>
      <c r="E68" s="48" t="s">
        <v>577</v>
      </c>
      <c r="F68" s="39" t="s">
        <v>578</v>
      </c>
      <c r="G68" s="75">
        <f t="shared" si="18"/>
        <v>30.925000000000004</v>
      </c>
      <c r="H68" s="39" t="s">
        <v>517</v>
      </c>
      <c r="I68" s="84" t="s">
        <v>105</v>
      </c>
      <c r="J68" s="17">
        <f t="shared" si="24"/>
        <v>29.6</v>
      </c>
      <c r="K68" s="34">
        <f t="shared" si="19"/>
        <v>62.651656000000003</v>
      </c>
      <c r="L68" s="17">
        <f t="shared" si="13"/>
        <v>0.5</v>
      </c>
      <c r="M68" s="17">
        <f t="shared" si="16"/>
        <v>0.78993999999999998</v>
      </c>
      <c r="N68" s="17">
        <f t="shared" si="17"/>
        <v>1.9603697555881312</v>
      </c>
      <c r="O68" s="25">
        <f t="shared" si="20"/>
        <v>122.82041155991168</v>
      </c>
      <c r="P68" s="25">
        <f t="shared" si="21"/>
        <v>122.85580799621859</v>
      </c>
      <c r="Q68" s="31">
        <f t="shared" si="22"/>
        <v>995.00037139660321</v>
      </c>
      <c r="R68" s="17">
        <f t="shared" si="23"/>
        <v>101325</v>
      </c>
      <c r="S68" s="17">
        <v>9.8000000000000007</v>
      </c>
      <c r="T68" s="27">
        <f t="shared" si="25"/>
        <v>304.07499999999999</v>
      </c>
      <c r="U68" s="25">
        <f t="shared" si="15"/>
        <v>1.8919260551677248</v>
      </c>
    </row>
    <row r="69" spans="1:21" x14ac:dyDescent="0.35">
      <c r="A69" s="38" t="s">
        <v>104</v>
      </c>
      <c r="B69" s="38" t="s">
        <v>25</v>
      </c>
      <c r="C69" s="39" t="s">
        <v>401</v>
      </c>
      <c r="D69" s="81">
        <v>21</v>
      </c>
      <c r="E69" s="48" t="s">
        <v>569</v>
      </c>
      <c r="F69" s="39" t="s">
        <v>570</v>
      </c>
      <c r="G69" s="75">
        <f t="shared" si="18"/>
        <v>28.344999999999999</v>
      </c>
      <c r="H69" s="39" t="s">
        <v>517</v>
      </c>
      <c r="I69" s="84" t="s">
        <v>105</v>
      </c>
      <c r="J69" s="17">
        <f t="shared" si="24"/>
        <v>31.7</v>
      </c>
      <c r="K69" s="34">
        <f t="shared" si="19"/>
        <v>36.557707999999998</v>
      </c>
      <c r="L69" s="17">
        <f t="shared" si="13"/>
        <v>0.5</v>
      </c>
      <c r="M69" s="17">
        <f t="shared" si="16"/>
        <v>0.78993999999999998</v>
      </c>
      <c r="N69" s="17">
        <f t="shared" si="17"/>
        <v>1.9603697555881312</v>
      </c>
      <c r="O69" s="35" t="s">
        <v>105</v>
      </c>
      <c r="P69" s="35" t="s">
        <v>105</v>
      </c>
      <c r="Q69" s="36">
        <f t="shared" si="22"/>
        <v>995.79127451483816</v>
      </c>
      <c r="R69" s="22">
        <f t="shared" si="23"/>
        <v>101325</v>
      </c>
      <c r="S69" s="22">
        <v>9.8000000000000007</v>
      </c>
      <c r="T69" s="37">
        <f t="shared" si="25"/>
        <v>301.495</v>
      </c>
      <c r="U69" s="35" t="s">
        <v>105</v>
      </c>
    </row>
    <row r="70" spans="1:21" x14ac:dyDescent="0.35">
      <c r="A70" s="38" t="s">
        <v>104</v>
      </c>
      <c r="B70" s="38" t="s">
        <v>26</v>
      </c>
      <c r="C70" s="39" t="s">
        <v>405</v>
      </c>
      <c r="D70" s="81">
        <v>11</v>
      </c>
      <c r="E70" s="48" t="s">
        <v>571</v>
      </c>
      <c r="F70" s="39" t="s">
        <v>572</v>
      </c>
      <c r="G70" s="75">
        <f t="shared" si="18"/>
        <v>28.393888888888885</v>
      </c>
      <c r="H70" s="39" t="s">
        <v>517</v>
      </c>
      <c r="I70" s="84" t="s">
        <v>105</v>
      </c>
      <c r="J70" s="17">
        <f t="shared" si="24"/>
        <v>30.1</v>
      </c>
      <c r="K70" s="34">
        <f t="shared" si="19"/>
        <v>64.500085999999996</v>
      </c>
      <c r="L70" s="17">
        <f t="shared" si="13"/>
        <v>0.5</v>
      </c>
      <c r="M70" s="17">
        <f t="shared" si="16"/>
        <v>0.78993999999999998</v>
      </c>
      <c r="N70" s="17">
        <f t="shared" si="17"/>
        <v>1.9603697555881312</v>
      </c>
      <c r="O70" s="25">
        <f t="shared" si="20"/>
        <v>126.44401782723344</v>
      </c>
      <c r="P70" s="25">
        <f t="shared" si="21"/>
        <v>126.48001217631578</v>
      </c>
      <c r="Q70" s="31">
        <f t="shared" si="22"/>
        <v>995.77682134674956</v>
      </c>
      <c r="R70" s="17">
        <f t="shared" si="23"/>
        <v>101325</v>
      </c>
      <c r="S70" s="17">
        <v>9.8000000000000007</v>
      </c>
      <c r="T70" s="27">
        <f t="shared" si="25"/>
        <v>301.54388888888889</v>
      </c>
      <c r="U70" s="25">
        <f t="shared" si="15"/>
        <v>1.9078428163010035</v>
      </c>
    </row>
    <row r="71" spans="1:21" x14ac:dyDescent="0.35">
      <c r="A71" s="38" t="s">
        <v>104</v>
      </c>
      <c r="B71" s="40" t="s">
        <v>167</v>
      </c>
      <c r="C71" s="39" t="s">
        <v>399</v>
      </c>
      <c r="D71" s="81">
        <v>3</v>
      </c>
      <c r="E71" s="48" t="s">
        <v>567</v>
      </c>
      <c r="F71" s="39" t="s">
        <v>568</v>
      </c>
      <c r="G71" s="75">
        <f t="shared" si="18"/>
        <v>28.492777777777782</v>
      </c>
      <c r="H71" s="39" t="s">
        <v>517</v>
      </c>
      <c r="I71" s="84" t="s">
        <v>105</v>
      </c>
      <c r="J71" s="17">
        <f t="shared" si="24"/>
        <v>29.9</v>
      </c>
      <c r="K71" s="34">
        <f t="shared" si="19"/>
        <v>57.280924999999996</v>
      </c>
      <c r="L71" s="17">
        <f t="shared" si="13"/>
        <v>0.5</v>
      </c>
      <c r="M71" s="17">
        <f t="shared" si="16"/>
        <v>0.78993999999999998</v>
      </c>
      <c r="N71" s="17">
        <f t="shared" si="17"/>
        <v>1.9603697555881312</v>
      </c>
      <c r="O71" s="25">
        <f t="shared" si="20"/>
        <v>112.29179294211207</v>
      </c>
      <c r="P71" s="25">
        <f t="shared" si="21"/>
        <v>112.32754812608424</v>
      </c>
      <c r="Q71" s="31">
        <f t="shared" si="22"/>
        <v>995.74752261141305</v>
      </c>
      <c r="R71" s="17">
        <f t="shared" si="23"/>
        <v>101325</v>
      </c>
      <c r="S71" s="17">
        <v>9.8000000000000007</v>
      </c>
      <c r="T71" s="27">
        <f t="shared" si="25"/>
        <v>301.64277777777778</v>
      </c>
      <c r="U71" s="25">
        <f t="shared" si="15"/>
        <v>1.9070848800779931</v>
      </c>
    </row>
    <row r="72" spans="1:21" x14ac:dyDescent="0.35">
      <c r="A72" s="38" t="s">
        <v>104</v>
      </c>
      <c r="B72" s="38" t="s">
        <v>14</v>
      </c>
      <c r="C72" s="39" t="s">
        <v>392</v>
      </c>
      <c r="D72" s="81">
        <v>16</v>
      </c>
      <c r="E72" s="48" t="s">
        <v>563</v>
      </c>
      <c r="F72" s="39" t="s">
        <v>564</v>
      </c>
      <c r="G72" s="75">
        <f t="shared" si="18"/>
        <v>28.965</v>
      </c>
      <c r="H72" s="39" t="s">
        <v>517</v>
      </c>
      <c r="I72" s="84" t="s">
        <v>105</v>
      </c>
      <c r="J72" s="17">
        <f t="shared" si="24"/>
        <v>30.8</v>
      </c>
      <c r="K72" s="34">
        <f t="shared" si="19"/>
        <v>67.353747999999996</v>
      </c>
      <c r="L72" s="17">
        <f t="shared" si="13"/>
        <v>1</v>
      </c>
      <c r="M72" s="17">
        <f t="shared" si="16"/>
        <v>1.33</v>
      </c>
      <c r="N72" s="17">
        <f t="shared" si="17"/>
        <v>5.5571620888000011</v>
      </c>
      <c r="O72" s="25">
        <f t="shared" si="20"/>
        <v>374.29569492418887</v>
      </c>
      <c r="P72" s="25">
        <f t="shared" si="21"/>
        <v>374.40010288551326</v>
      </c>
      <c r="Q72" s="31">
        <f t="shared" si="22"/>
        <v>995.60643753283136</v>
      </c>
      <c r="R72" s="17">
        <f t="shared" si="23"/>
        <v>101325</v>
      </c>
      <c r="S72" s="17">
        <v>9.8000000000000007</v>
      </c>
      <c r="T72" s="27">
        <f t="shared" si="25"/>
        <v>302.11499999999995</v>
      </c>
      <c r="U72" s="25">
        <f t="shared" si="15"/>
        <v>5.398184228902509</v>
      </c>
    </row>
    <row r="73" spans="1:21" x14ac:dyDescent="0.35">
      <c r="A73" s="38" t="s">
        <v>104</v>
      </c>
      <c r="B73" s="38" t="s">
        <v>18</v>
      </c>
      <c r="C73" s="39" t="s">
        <v>395</v>
      </c>
      <c r="D73" s="81">
        <v>20</v>
      </c>
      <c r="E73" s="48" t="s">
        <v>565</v>
      </c>
      <c r="F73" s="39" t="s">
        <v>566</v>
      </c>
      <c r="G73" s="75">
        <f t="shared" si="18"/>
        <v>28.742222222222225</v>
      </c>
      <c r="H73" s="39" t="s">
        <v>517</v>
      </c>
      <c r="I73" s="84" t="s">
        <v>105</v>
      </c>
      <c r="J73" s="17">
        <f t="shared" si="24"/>
        <v>30.2</v>
      </c>
      <c r="K73" s="34">
        <f t="shared" si="19"/>
        <v>65.617653999999987</v>
      </c>
      <c r="L73" s="17">
        <f t="shared" si="13"/>
        <v>1</v>
      </c>
      <c r="M73" s="17">
        <f t="shared" si="16"/>
        <v>1.33</v>
      </c>
      <c r="N73" s="17">
        <f t="shared" si="17"/>
        <v>5.5571620888000011</v>
      </c>
      <c r="O73" s="25">
        <f t="shared" si="20"/>
        <v>364.64793916479567</v>
      </c>
      <c r="P73" s="25">
        <f t="shared" si="21"/>
        <v>364.75031320479553</v>
      </c>
      <c r="Q73" s="31">
        <f t="shared" si="22"/>
        <v>995.67323819979163</v>
      </c>
      <c r="R73" s="17">
        <f t="shared" si="23"/>
        <v>101325</v>
      </c>
      <c r="S73" s="17">
        <v>9.8000000000000007</v>
      </c>
      <c r="T73" s="27">
        <f t="shared" si="25"/>
        <v>301.89222222222219</v>
      </c>
      <c r="U73" s="25">
        <f t="shared" si="15"/>
        <v>5.4020781666802682</v>
      </c>
    </row>
    <row r="74" spans="1:21" x14ac:dyDescent="0.35">
      <c r="A74" s="38" t="s">
        <v>104</v>
      </c>
      <c r="B74" s="38" t="s">
        <v>9</v>
      </c>
      <c r="C74" s="39" t="s">
        <v>389</v>
      </c>
      <c r="D74" s="81">
        <v>18</v>
      </c>
      <c r="E74" s="48" t="s">
        <v>561</v>
      </c>
      <c r="F74" s="39" t="s">
        <v>562</v>
      </c>
      <c r="G74" s="75">
        <f t="shared" si="18"/>
        <v>28.841111111111111</v>
      </c>
      <c r="H74" s="39" t="s">
        <v>517</v>
      </c>
      <c r="I74" s="84" t="s">
        <v>105</v>
      </c>
      <c r="J74" s="17">
        <f t="shared" si="24"/>
        <v>29.5</v>
      </c>
      <c r="K74" s="34">
        <f t="shared" si="19"/>
        <v>64.474904999999993</v>
      </c>
      <c r="L74" s="17">
        <f t="shared" si="13"/>
        <v>1</v>
      </c>
      <c r="M74" s="17">
        <f t="shared" si="16"/>
        <v>1.33</v>
      </c>
      <c r="N74" s="17">
        <f t="shared" si="17"/>
        <v>5.5571620888000011</v>
      </c>
      <c r="O74" s="25">
        <f t="shared" si="20"/>
        <v>358.29749774498157</v>
      </c>
      <c r="P74" s="25">
        <f t="shared" si="21"/>
        <v>358.39749887676953</v>
      </c>
      <c r="Q74" s="31">
        <f t="shared" si="22"/>
        <v>995.64363921393465</v>
      </c>
      <c r="R74" s="17">
        <f t="shared" si="23"/>
        <v>101325</v>
      </c>
      <c r="S74" s="17">
        <v>9.8000000000000007</v>
      </c>
      <c r="T74" s="27">
        <f t="shared" si="25"/>
        <v>301.99111111111108</v>
      </c>
      <c r="U74" s="25">
        <f t="shared" si="15"/>
        <v>5.4002496343281994</v>
      </c>
    </row>
    <row r="75" spans="1:21" x14ac:dyDescent="0.35">
      <c r="A75" s="38" t="s">
        <v>104</v>
      </c>
      <c r="B75" s="40" t="s">
        <v>64</v>
      </c>
      <c r="C75" s="39" t="s">
        <v>386</v>
      </c>
      <c r="D75" s="81">
        <v>9</v>
      </c>
      <c r="E75" s="48" t="s">
        <v>559</v>
      </c>
      <c r="F75" s="39" t="s">
        <v>560</v>
      </c>
      <c r="G75" s="75">
        <f t="shared" si="18"/>
        <v>32.562222222222218</v>
      </c>
      <c r="H75" s="39" t="s">
        <v>517</v>
      </c>
      <c r="I75" s="84" t="s">
        <v>105</v>
      </c>
      <c r="J75" s="17">
        <f t="shared" si="24"/>
        <v>32.200000000000003</v>
      </c>
      <c r="K75" s="34">
        <f t="shared" si="19"/>
        <v>66.365809999999996</v>
      </c>
      <c r="L75" s="17">
        <f t="shared" si="13"/>
        <v>0.5</v>
      </c>
      <c r="M75" s="17">
        <f t="shared" si="16"/>
        <v>0.78993999999999998</v>
      </c>
      <c r="N75" s="17">
        <f t="shared" si="17"/>
        <v>1.9603697555881312</v>
      </c>
      <c r="O75" s="35" t="s">
        <v>105</v>
      </c>
      <c r="P75" s="35" t="s">
        <v>105</v>
      </c>
      <c r="Q75" s="36">
        <f t="shared" si="22"/>
        <v>994.46937845735954</v>
      </c>
      <c r="R75" s="22">
        <f t="shared" si="23"/>
        <v>101325</v>
      </c>
      <c r="S75" s="22">
        <v>9.8000000000000007</v>
      </c>
      <c r="T75" s="37">
        <f t="shared" si="25"/>
        <v>305.71222222222218</v>
      </c>
      <c r="U75" s="35" t="s">
        <v>105</v>
      </c>
    </row>
    <row r="76" spans="1:21" x14ac:dyDescent="0.35">
      <c r="A76" s="38" t="s">
        <v>104</v>
      </c>
      <c r="B76" s="38" t="s">
        <v>69</v>
      </c>
      <c r="C76" s="39" t="s">
        <v>383</v>
      </c>
      <c r="D76" s="81">
        <v>14</v>
      </c>
      <c r="E76" s="48" t="s">
        <v>558</v>
      </c>
      <c r="F76" s="39" t="s">
        <v>534</v>
      </c>
      <c r="G76" s="75">
        <f t="shared" si="18"/>
        <v>28.047777777777778</v>
      </c>
      <c r="H76" s="39" t="s">
        <v>517</v>
      </c>
      <c r="I76" s="84" t="s">
        <v>105</v>
      </c>
      <c r="J76" s="17">
        <f t="shared" si="24"/>
        <v>29.3</v>
      </c>
      <c r="K76" s="34">
        <f t="shared" si="19"/>
        <v>60.496002999999995</v>
      </c>
      <c r="L76" s="17">
        <f t="shared" si="13"/>
        <v>0.5</v>
      </c>
      <c r="M76" s="17">
        <f t="shared" si="16"/>
        <v>0.78993999999999998</v>
      </c>
      <c r="N76" s="17">
        <f t="shared" si="17"/>
        <v>1.9603697555881312</v>
      </c>
      <c r="O76" s="25">
        <f t="shared" si="20"/>
        <v>118.59453461516884</v>
      </c>
      <c r="P76" s="25">
        <f t="shared" si="21"/>
        <v>118.62957230381048</v>
      </c>
      <c r="Q76" s="31">
        <f t="shared" si="22"/>
        <v>995.87869209462406</v>
      </c>
      <c r="R76" s="17">
        <f t="shared" si="23"/>
        <v>101325</v>
      </c>
      <c r="S76" s="17">
        <v>9.8000000000000007</v>
      </c>
      <c r="T76" s="27">
        <f t="shared" si="25"/>
        <v>301.19777777777773</v>
      </c>
      <c r="U76" s="25">
        <f t="shared" si="15"/>
        <v>1.909961909288926</v>
      </c>
    </row>
    <row r="77" spans="1:21" x14ac:dyDescent="0.35">
      <c r="A77" s="38" t="s">
        <v>104</v>
      </c>
      <c r="B77" s="38" t="s">
        <v>60</v>
      </c>
      <c r="C77" s="39" t="s">
        <v>380</v>
      </c>
      <c r="D77" s="81">
        <v>4</v>
      </c>
      <c r="E77" s="48" t="s">
        <v>556</v>
      </c>
      <c r="F77" s="39" t="s">
        <v>557</v>
      </c>
      <c r="G77" s="75">
        <f t="shared" si="18"/>
        <v>27.553888888888885</v>
      </c>
      <c r="H77" s="39" t="s">
        <v>517</v>
      </c>
      <c r="I77" s="84" t="s">
        <v>105</v>
      </c>
      <c r="J77" s="17">
        <f t="shared" si="24"/>
        <v>29.6</v>
      </c>
      <c r="K77" s="34">
        <f t="shared" si="19"/>
        <v>63.013072000000008</v>
      </c>
      <c r="L77" s="17">
        <f t="shared" si="13"/>
        <v>0.5</v>
      </c>
      <c r="M77" s="17">
        <f t="shared" si="16"/>
        <v>0.78993999999999998</v>
      </c>
      <c r="N77" s="17">
        <f t="shared" si="17"/>
        <v>1.9603697555881312</v>
      </c>
      <c r="O77" s="25">
        <f t="shared" si="20"/>
        <v>123.52892055549734</v>
      </c>
      <c r="P77" s="25">
        <f t="shared" si="21"/>
        <v>123.56431699180423</v>
      </c>
      <c r="Q77" s="31">
        <f t="shared" si="22"/>
        <v>996.02223053540092</v>
      </c>
      <c r="R77" s="17">
        <f t="shared" si="23"/>
        <v>101325</v>
      </c>
      <c r="S77" s="17">
        <v>9.8000000000000007</v>
      </c>
      <c r="T77" s="27">
        <f t="shared" si="25"/>
        <v>300.70388888888886</v>
      </c>
      <c r="U77" s="25">
        <f t="shared" si="15"/>
        <v>1.9131456547494941</v>
      </c>
    </row>
    <row r="78" spans="1:21" x14ac:dyDescent="0.35">
      <c r="A78" s="38" t="s">
        <v>104</v>
      </c>
      <c r="B78" s="38" t="s">
        <v>25</v>
      </c>
      <c r="C78" s="39" t="s">
        <v>372</v>
      </c>
      <c r="D78" s="81">
        <v>21</v>
      </c>
      <c r="E78" s="48" t="s">
        <v>552</v>
      </c>
      <c r="F78" s="39" t="s">
        <v>547</v>
      </c>
      <c r="G78" s="75">
        <f t="shared" si="18"/>
        <v>27.603888888888886</v>
      </c>
      <c r="H78" s="39" t="s">
        <v>517</v>
      </c>
      <c r="I78" s="84" t="s">
        <v>711</v>
      </c>
      <c r="J78" s="17">
        <f t="shared" si="24"/>
        <v>31.7</v>
      </c>
      <c r="K78" s="34">
        <f t="shared" si="19"/>
        <v>51.517254999999999</v>
      </c>
      <c r="L78" s="17">
        <f t="shared" si="13"/>
        <v>0.5</v>
      </c>
      <c r="M78" s="17">
        <f t="shared" si="16"/>
        <v>0.78993999999999998</v>
      </c>
      <c r="N78" s="17">
        <f t="shared" si="17"/>
        <v>1.9603697555881312</v>
      </c>
      <c r="O78" s="25">
        <f t="shared" si="20"/>
        <v>100.99286859292143</v>
      </c>
      <c r="P78" s="25">
        <f t="shared" si="21"/>
        <v>101.03077626288524</v>
      </c>
      <c r="Q78" s="31">
        <f t="shared" si="22"/>
        <v>996.0077973144472</v>
      </c>
      <c r="R78" s="17">
        <f t="shared" si="23"/>
        <v>99471.818764800017</v>
      </c>
      <c r="S78" s="17">
        <v>9.8000000000000007</v>
      </c>
      <c r="T78" s="27">
        <f t="shared" si="25"/>
        <v>300.75388888888887</v>
      </c>
      <c r="U78" s="25">
        <f t="shared" si="15"/>
        <v>1.9126679882491946</v>
      </c>
    </row>
    <row r="79" spans="1:21" x14ac:dyDescent="0.35">
      <c r="A79" s="38" t="s">
        <v>104</v>
      </c>
      <c r="B79" s="40" t="s">
        <v>26</v>
      </c>
      <c r="C79" s="39" t="s">
        <v>374</v>
      </c>
      <c r="D79" s="81">
        <v>11</v>
      </c>
      <c r="E79" s="48" t="s">
        <v>553</v>
      </c>
      <c r="F79" s="39" t="s">
        <v>554</v>
      </c>
      <c r="G79" s="75">
        <f t="shared" si="18"/>
        <v>27.824999999999996</v>
      </c>
      <c r="H79" s="39" t="s">
        <v>517</v>
      </c>
      <c r="I79" s="84" t="s">
        <v>711</v>
      </c>
      <c r="J79" s="17">
        <f t="shared" si="24"/>
        <v>30.1</v>
      </c>
      <c r="K79" s="34">
        <f t="shared" si="19"/>
        <v>63.599494000000007</v>
      </c>
      <c r="L79" s="17">
        <f t="shared" si="13"/>
        <v>0.5</v>
      </c>
      <c r="M79" s="17">
        <f t="shared" si="16"/>
        <v>0.78993999999999998</v>
      </c>
      <c r="N79" s="17">
        <f t="shared" si="17"/>
        <v>1.9603697555881312</v>
      </c>
      <c r="O79" s="25">
        <f t="shared" si="20"/>
        <v>124.67852450830883</v>
      </c>
      <c r="P79" s="25">
        <f t="shared" si="21"/>
        <v>124.71451885739118</v>
      </c>
      <c r="Q79" s="31">
        <f t="shared" si="22"/>
        <v>995.94370474539721</v>
      </c>
      <c r="R79" s="17">
        <f t="shared" si="23"/>
        <v>99471.818764800017</v>
      </c>
      <c r="S79" s="17">
        <v>9.8000000000000007</v>
      </c>
      <c r="T79" s="27">
        <f t="shared" si="25"/>
        <v>300.97499999999997</v>
      </c>
      <c r="U79" s="25">
        <f t="shared" si="15"/>
        <v>1.9114889125295018</v>
      </c>
    </row>
    <row r="80" spans="1:21" x14ac:dyDescent="0.35">
      <c r="A80" s="38" t="s">
        <v>104</v>
      </c>
      <c r="B80" s="38" t="s">
        <v>167</v>
      </c>
      <c r="C80" s="39" t="s">
        <v>377</v>
      </c>
      <c r="D80" s="81">
        <v>3</v>
      </c>
      <c r="E80" s="48" t="s">
        <v>555</v>
      </c>
      <c r="F80" s="39" t="s">
        <v>547</v>
      </c>
      <c r="G80" s="75">
        <f t="shared" si="18"/>
        <v>27.603888888888886</v>
      </c>
      <c r="H80" s="39" t="s">
        <v>517</v>
      </c>
      <c r="I80" s="84" t="s">
        <v>711</v>
      </c>
      <c r="J80" s="17">
        <f t="shared" si="24"/>
        <v>29.9</v>
      </c>
      <c r="K80" s="34">
        <f t="shared" si="19"/>
        <v>53.831063</v>
      </c>
      <c r="L80" s="17">
        <f t="shared" si="13"/>
        <v>0.5</v>
      </c>
      <c r="M80" s="17">
        <f t="shared" si="16"/>
        <v>0.78993999999999998</v>
      </c>
      <c r="N80" s="17">
        <f t="shared" si="17"/>
        <v>1.9603697555881312</v>
      </c>
      <c r="O80" s="25">
        <f t="shared" si="20"/>
        <v>105.5287878163593</v>
      </c>
      <c r="P80" s="25">
        <f t="shared" si="21"/>
        <v>105.56454300033147</v>
      </c>
      <c r="Q80" s="31">
        <f t="shared" si="22"/>
        <v>996.0077973144472</v>
      </c>
      <c r="R80" s="17">
        <f t="shared" si="23"/>
        <v>99471.818764800017</v>
      </c>
      <c r="S80" s="17">
        <v>9.8000000000000007</v>
      </c>
      <c r="T80" s="27">
        <f t="shared" si="25"/>
        <v>300.75388888888887</v>
      </c>
      <c r="U80" s="25">
        <f t="shared" si="15"/>
        <v>1.9127113503621</v>
      </c>
    </row>
    <row r="81" spans="1:21" x14ac:dyDescent="0.35">
      <c r="A81" s="38" t="s">
        <v>104</v>
      </c>
      <c r="B81" s="38" t="s">
        <v>14</v>
      </c>
      <c r="C81" s="39" t="s">
        <v>368</v>
      </c>
      <c r="D81" s="81">
        <v>16</v>
      </c>
      <c r="E81" s="48" t="s">
        <v>548</v>
      </c>
      <c r="F81" s="39" t="s">
        <v>549</v>
      </c>
      <c r="G81" s="75">
        <f t="shared" si="18"/>
        <v>28.097222222222221</v>
      </c>
      <c r="H81" s="39" t="s">
        <v>517</v>
      </c>
      <c r="I81" s="84" t="s">
        <v>711</v>
      </c>
      <c r="J81" s="17">
        <f t="shared" si="24"/>
        <v>30.8</v>
      </c>
      <c r="K81" s="34">
        <f t="shared" si="19"/>
        <v>68.256495999999999</v>
      </c>
      <c r="L81" s="17">
        <f t="shared" si="13"/>
        <v>1</v>
      </c>
      <c r="M81" s="17">
        <f t="shared" si="16"/>
        <v>1.33</v>
      </c>
      <c r="N81" s="17">
        <f t="shared" si="17"/>
        <v>5.5571620888000011</v>
      </c>
      <c r="O81" s="25">
        <f t="shared" si="20"/>
        <v>379.31241188552889</v>
      </c>
      <c r="P81" s="25">
        <f t="shared" si="21"/>
        <v>379.41681984685329</v>
      </c>
      <c r="Q81" s="31">
        <f t="shared" si="22"/>
        <v>995.86420354753022</v>
      </c>
      <c r="R81" s="17">
        <f t="shared" si="23"/>
        <v>99471.818764800017</v>
      </c>
      <c r="S81" s="17">
        <v>9.8000000000000007</v>
      </c>
      <c r="T81" s="27">
        <f t="shared" si="25"/>
        <v>301.24722222222221</v>
      </c>
      <c r="U81" s="25">
        <f t="shared" si="15"/>
        <v>5.4139467722805952</v>
      </c>
    </row>
    <row r="82" spans="1:21" x14ac:dyDescent="0.35">
      <c r="A82" s="38" t="s">
        <v>104</v>
      </c>
      <c r="B82" s="38" t="s">
        <v>18</v>
      </c>
      <c r="C82" s="39" t="s">
        <v>367</v>
      </c>
      <c r="D82" s="81">
        <v>20</v>
      </c>
      <c r="E82" s="48" t="s">
        <v>550</v>
      </c>
      <c r="F82" s="39" t="s">
        <v>551</v>
      </c>
      <c r="G82" s="75">
        <f t="shared" si="18"/>
        <v>27.898888888888891</v>
      </c>
      <c r="H82" s="39" t="s">
        <v>517</v>
      </c>
      <c r="I82" s="84" t="s">
        <v>711</v>
      </c>
      <c r="J82" s="17">
        <f t="shared" si="24"/>
        <v>30.2</v>
      </c>
      <c r="K82" s="34">
        <f t="shared" si="19"/>
        <v>52.582729999999998</v>
      </c>
      <c r="L82" s="17">
        <f t="shared" si="13"/>
        <v>1</v>
      </c>
      <c r="M82" s="17">
        <f t="shared" si="16"/>
        <v>1.33</v>
      </c>
      <c r="N82" s="17">
        <f t="shared" si="17"/>
        <v>5.5571620888000011</v>
      </c>
      <c r="O82" s="35" t="s">
        <v>105</v>
      </c>
      <c r="P82" s="35" t="s">
        <v>105</v>
      </c>
      <c r="Q82" s="36">
        <f t="shared" si="22"/>
        <v>995.92219047461833</v>
      </c>
      <c r="R82" s="22">
        <f t="shared" si="23"/>
        <v>99471.818764800017</v>
      </c>
      <c r="S82" s="22">
        <v>9.8000000000000007</v>
      </c>
      <c r="T82" s="37">
        <f t="shared" si="25"/>
        <v>301.04888888888888</v>
      </c>
      <c r="U82" s="35" t="s">
        <v>105</v>
      </c>
    </row>
    <row r="83" spans="1:21" x14ac:dyDescent="0.35">
      <c r="A83" s="38" t="s">
        <v>104</v>
      </c>
      <c r="B83" s="40" t="s">
        <v>9</v>
      </c>
      <c r="C83" s="39" t="s">
        <v>364</v>
      </c>
      <c r="D83" s="81">
        <v>18</v>
      </c>
      <c r="E83" s="48" t="s">
        <v>546</v>
      </c>
      <c r="F83" s="39" t="s">
        <v>547</v>
      </c>
      <c r="G83" s="75">
        <f t="shared" si="18"/>
        <v>27.603888888888886</v>
      </c>
      <c r="H83" s="39" t="s">
        <v>517</v>
      </c>
      <c r="I83" s="84" t="s">
        <v>711</v>
      </c>
      <c r="J83" s="17">
        <f t="shared" si="24"/>
        <v>29.5</v>
      </c>
      <c r="K83" s="34">
        <f t="shared" si="19"/>
        <v>62.818185000000007</v>
      </c>
      <c r="L83" s="17">
        <f t="shared" si="13"/>
        <v>1</v>
      </c>
      <c r="M83" s="17">
        <f t="shared" si="16"/>
        <v>1.33</v>
      </c>
      <c r="N83" s="17">
        <f t="shared" si="17"/>
        <v>5.5571620888000011</v>
      </c>
      <c r="O83" s="25">
        <f t="shared" si="20"/>
        <v>349.09083616922493</v>
      </c>
      <c r="P83" s="25">
        <f t="shared" si="21"/>
        <v>349.19083730101289</v>
      </c>
      <c r="Q83" s="31">
        <f t="shared" si="22"/>
        <v>996.0077973144472</v>
      </c>
      <c r="R83" s="17">
        <f t="shared" si="23"/>
        <v>99471.818764800017</v>
      </c>
      <c r="S83" s="17">
        <v>9.8000000000000007</v>
      </c>
      <c r="T83" s="27">
        <f t="shared" si="25"/>
        <v>300.75388888888887</v>
      </c>
      <c r="U83" s="25">
        <f t="shared" si="15"/>
        <v>5.4225397692123058</v>
      </c>
    </row>
    <row r="84" spans="1:21" x14ac:dyDescent="0.35">
      <c r="A84" s="38" t="s">
        <v>104</v>
      </c>
      <c r="B84" s="38" t="s">
        <v>64</v>
      </c>
      <c r="C84" s="39" t="s">
        <v>361</v>
      </c>
      <c r="D84" s="81">
        <v>9</v>
      </c>
      <c r="E84" s="48" t="s">
        <v>544</v>
      </c>
      <c r="F84" s="39" t="s">
        <v>545</v>
      </c>
      <c r="G84" s="75">
        <f t="shared" si="18"/>
        <v>26.792777777777779</v>
      </c>
      <c r="H84" s="39" t="s">
        <v>517</v>
      </c>
      <c r="I84" s="84" t="s">
        <v>1035</v>
      </c>
      <c r="J84" s="17">
        <f t="shared" si="24"/>
        <v>32.200000000000003</v>
      </c>
      <c r="K84" s="34">
        <f t="shared" si="19"/>
        <v>68.311978000000011</v>
      </c>
      <c r="L84" s="17">
        <f t="shared" si="13"/>
        <v>0.5</v>
      </c>
      <c r="M84" s="17">
        <f t="shared" si="16"/>
        <v>0.78993999999999998</v>
      </c>
      <c r="N84" s="17">
        <f t="shared" si="17"/>
        <v>1.9603697555881312</v>
      </c>
      <c r="O84" s="25">
        <f t="shared" si="20"/>
        <v>133.91673561560182</v>
      </c>
      <c r="P84" s="25">
        <f t="shared" si="21"/>
        <v>133.9552411983411</v>
      </c>
      <c r="Q84" s="31">
        <f t="shared" si="22"/>
        <v>996.23918361669939</v>
      </c>
      <c r="R84" s="17">
        <f t="shared" si="23"/>
        <v>100018.44047360001</v>
      </c>
      <c r="S84" s="17">
        <v>9.8000000000000007</v>
      </c>
      <c r="T84" s="27">
        <f t="shared" si="25"/>
        <v>299.94277777777774</v>
      </c>
      <c r="U84" s="25">
        <f t="shared" si="15"/>
        <v>1.9181393017962443</v>
      </c>
    </row>
    <row r="85" spans="1:21" x14ac:dyDescent="0.35">
      <c r="A85" s="38" t="s">
        <v>104</v>
      </c>
      <c r="B85" s="38" t="s">
        <v>69</v>
      </c>
      <c r="C85" s="39" t="s">
        <v>357</v>
      </c>
      <c r="D85" s="81">
        <v>14</v>
      </c>
      <c r="E85" s="48" t="s">
        <v>542</v>
      </c>
      <c r="F85" s="39" t="s">
        <v>543</v>
      </c>
      <c r="G85" s="75">
        <f t="shared" si="18"/>
        <v>27.307777777777776</v>
      </c>
      <c r="H85" s="39" t="s">
        <v>517</v>
      </c>
      <c r="I85" s="84" t="s">
        <v>1035</v>
      </c>
      <c r="J85" s="17">
        <f t="shared" si="24"/>
        <v>29.3</v>
      </c>
      <c r="K85" s="34">
        <f t="shared" si="19"/>
        <v>60.478129999999993</v>
      </c>
      <c r="L85" s="17">
        <f t="shared" si="13"/>
        <v>0.5</v>
      </c>
      <c r="M85" s="17">
        <f t="shared" si="16"/>
        <v>0.78993999999999998</v>
      </c>
      <c r="N85" s="17">
        <f t="shared" si="17"/>
        <v>1.9603697555881312</v>
      </c>
      <c r="O85" s="25">
        <f t="shared" si="20"/>
        <v>118.55949692652722</v>
      </c>
      <c r="P85" s="25">
        <f t="shared" si="21"/>
        <v>118.59453461516884</v>
      </c>
      <c r="Q85" s="31">
        <f t="shared" si="22"/>
        <v>996.09295010805454</v>
      </c>
      <c r="R85" s="17">
        <f t="shared" si="23"/>
        <v>100018.44047360001</v>
      </c>
      <c r="S85" s="17">
        <v>9.8000000000000007</v>
      </c>
      <c r="T85" s="27">
        <f t="shared" si="25"/>
        <v>300.45777777777778</v>
      </c>
      <c r="U85" s="25">
        <f t="shared" si="15"/>
        <v>1.9147048869614081</v>
      </c>
    </row>
    <row r="86" spans="1:21" x14ac:dyDescent="0.35">
      <c r="A86" s="38" t="s">
        <v>104</v>
      </c>
      <c r="B86" s="38" t="s">
        <v>60</v>
      </c>
      <c r="C86" s="39" t="s">
        <v>355</v>
      </c>
      <c r="D86" s="81">
        <v>4</v>
      </c>
      <c r="E86" s="48" t="s">
        <v>539</v>
      </c>
      <c r="F86" s="39" t="s">
        <v>541</v>
      </c>
      <c r="G86" s="75">
        <f t="shared" si="18"/>
        <v>25.720000000000002</v>
      </c>
      <c r="H86" s="39" t="s">
        <v>540</v>
      </c>
      <c r="I86" s="84" t="s">
        <v>1035</v>
      </c>
      <c r="J86" s="17">
        <f t="shared" si="24"/>
        <v>29.6</v>
      </c>
      <c r="K86" s="34">
        <f t="shared" si="19"/>
        <v>30.648136000000001</v>
      </c>
      <c r="L86" s="17">
        <f t="shared" si="13"/>
        <v>0.5</v>
      </c>
      <c r="M86" s="17">
        <f t="shared" si="16"/>
        <v>0.78993999999999998</v>
      </c>
      <c r="N86" s="17">
        <f t="shared" si="17"/>
        <v>1.9603697555881312</v>
      </c>
      <c r="O86" s="25">
        <f t="shared" si="20"/>
        <v>60.081678879551809</v>
      </c>
      <c r="P86" s="25">
        <f t="shared" si="21"/>
        <v>130.43644806037159</v>
      </c>
      <c r="Q86" s="31">
        <f t="shared" si="22"/>
        <v>996.53610510278952</v>
      </c>
      <c r="R86" s="17">
        <f t="shared" si="23"/>
        <v>100018.44047360001</v>
      </c>
      <c r="S86" s="17">
        <v>9.8000000000000007</v>
      </c>
      <c r="T86" s="27">
        <f t="shared" si="25"/>
        <v>298.87</v>
      </c>
      <c r="U86" s="25">
        <f t="shared" si="15"/>
        <v>1.9243185162682779</v>
      </c>
    </row>
    <row r="87" spans="1:21" x14ac:dyDescent="0.35">
      <c r="A87" s="38" t="s">
        <v>104</v>
      </c>
      <c r="B87" s="38" t="s">
        <v>25</v>
      </c>
      <c r="C87" s="39" t="s">
        <v>710</v>
      </c>
      <c r="D87" s="81">
        <v>21</v>
      </c>
      <c r="E87" s="48" t="s">
        <v>533</v>
      </c>
      <c r="F87" s="39" t="s">
        <v>534</v>
      </c>
      <c r="G87" s="75">
        <f t="shared" si="18"/>
        <v>28.047777777777778</v>
      </c>
      <c r="H87" s="39" t="s">
        <v>517</v>
      </c>
      <c r="I87" s="84" t="s">
        <v>1049</v>
      </c>
      <c r="J87" s="17">
        <f t="shared" si="24"/>
        <v>31.7</v>
      </c>
      <c r="K87" s="34">
        <f t="shared" si="19"/>
        <v>57.207087999999999</v>
      </c>
      <c r="L87" s="17">
        <f t="shared" si="13"/>
        <v>0.5</v>
      </c>
      <c r="M87" s="17">
        <f t="shared" si="16"/>
        <v>0.78993999999999998</v>
      </c>
      <c r="N87" s="17">
        <f t="shared" si="17"/>
        <v>1.9603697555881312</v>
      </c>
      <c r="O87" s="25">
        <f t="shared" si="20"/>
        <v>112.14704512046872</v>
      </c>
      <c r="P87" s="25">
        <f t="shared" si="21"/>
        <v>112.18495279043252</v>
      </c>
      <c r="Q87" s="31">
        <f t="shared" si="22"/>
        <v>995.87869209462406</v>
      </c>
      <c r="R87" s="17">
        <f t="shared" si="23"/>
        <v>99858.453632000004</v>
      </c>
      <c r="S87" s="17">
        <v>9.8000000000000007</v>
      </c>
      <c r="T87" s="27">
        <f t="shared" si="25"/>
        <v>301.19777777777773</v>
      </c>
      <c r="U87" s="25">
        <f t="shared" si="15"/>
        <v>1.9099439058945646</v>
      </c>
    </row>
    <row r="88" spans="1:21" x14ac:dyDescent="0.35">
      <c r="A88" s="38" t="s">
        <v>104</v>
      </c>
      <c r="B88" s="40" t="s">
        <v>26</v>
      </c>
      <c r="C88" s="39" t="s">
        <v>712</v>
      </c>
      <c r="D88" s="81">
        <v>11</v>
      </c>
      <c r="E88" s="48" t="s">
        <v>537</v>
      </c>
      <c r="F88" s="39" t="s">
        <v>538</v>
      </c>
      <c r="G88" s="75">
        <f t="shared" si="18"/>
        <v>28.294999999999998</v>
      </c>
      <c r="H88" s="39" t="s">
        <v>517</v>
      </c>
      <c r="I88" s="84" t="s">
        <v>1049</v>
      </c>
      <c r="J88" s="17">
        <f t="shared" si="24"/>
        <v>30.1</v>
      </c>
      <c r="K88" s="34">
        <f t="shared" si="19"/>
        <v>64.169287000000011</v>
      </c>
      <c r="L88" s="17">
        <f t="shared" si="13"/>
        <v>0.5</v>
      </c>
      <c r="M88" s="17">
        <f t="shared" si="16"/>
        <v>0.78993999999999998</v>
      </c>
      <c r="N88" s="17">
        <f t="shared" si="17"/>
        <v>1.9603697555881312</v>
      </c>
      <c r="O88" s="25">
        <f t="shared" si="20"/>
        <v>125.79552947245466</v>
      </c>
      <c r="P88" s="25">
        <f t="shared" si="21"/>
        <v>125.83152382153702</v>
      </c>
      <c r="Q88" s="31">
        <f t="shared" si="22"/>
        <v>995.80603451282127</v>
      </c>
      <c r="R88" s="17">
        <f t="shared" si="23"/>
        <v>99858.453632000004</v>
      </c>
      <c r="S88" s="17">
        <v>9.8000000000000007</v>
      </c>
      <c r="T88" s="27">
        <f t="shared" si="25"/>
        <v>301.44499999999999</v>
      </c>
      <c r="U88" s="25">
        <f t="shared" si="15"/>
        <v>1.9085069480728263</v>
      </c>
    </row>
    <row r="89" spans="1:21" x14ac:dyDescent="0.35">
      <c r="A89" s="38" t="s">
        <v>104</v>
      </c>
      <c r="B89" s="38" t="s">
        <v>167</v>
      </c>
      <c r="C89" s="39" t="s">
        <v>713</v>
      </c>
      <c r="D89" s="81">
        <v>3</v>
      </c>
      <c r="E89" s="48" t="s">
        <v>535</v>
      </c>
      <c r="F89" s="39" t="s">
        <v>536</v>
      </c>
      <c r="G89" s="75">
        <f t="shared" si="18"/>
        <v>28.667222222222222</v>
      </c>
      <c r="H89" s="39" t="s">
        <v>517</v>
      </c>
      <c r="I89" s="84" t="s">
        <v>1049</v>
      </c>
      <c r="J89" s="17">
        <f t="shared" si="24"/>
        <v>29.9</v>
      </c>
      <c r="K89" s="34">
        <f t="shared" si="19"/>
        <v>54.360292999999999</v>
      </c>
      <c r="L89" s="17">
        <f t="shared" si="13"/>
        <v>0.5</v>
      </c>
      <c r="M89" s="17">
        <f t="shared" si="16"/>
        <v>0.78993999999999998</v>
      </c>
      <c r="N89" s="17">
        <f t="shared" si="17"/>
        <v>1.9603697555881312</v>
      </c>
      <c r="O89" s="25">
        <f t="shared" si="20"/>
        <v>106.56627430210919</v>
      </c>
      <c r="P89" s="25">
        <f t="shared" si="21"/>
        <v>106.60202948608138</v>
      </c>
      <c r="Q89" s="31">
        <f t="shared" si="22"/>
        <v>995.69563016034613</v>
      </c>
      <c r="R89" s="17">
        <f t="shared" si="23"/>
        <v>99858.453632000004</v>
      </c>
      <c r="S89" s="17">
        <v>9.8000000000000007</v>
      </c>
      <c r="T89" s="27">
        <f t="shared" si="25"/>
        <v>301.8172222222222</v>
      </c>
      <c r="U89" s="25">
        <f t="shared" si="15"/>
        <v>1.9059704923707681</v>
      </c>
    </row>
    <row r="90" spans="1:21" x14ac:dyDescent="0.35">
      <c r="A90" s="38" t="s">
        <v>104</v>
      </c>
      <c r="B90" s="38" t="s">
        <v>14</v>
      </c>
      <c r="C90" s="39" t="s">
        <v>714</v>
      </c>
      <c r="D90" s="81">
        <v>16</v>
      </c>
      <c r="E90" s="48" t="s">
        <v>529</v>
      </c>
      <c r="F90" s="39" t="s">
        <v>530</v>
      </c>
      <c r="G90" s="75">
        <f t="shared" si="18"/>
        <v>30.091111111111111</v>
      </c>
      <c r="H90" s="39" t="s">
        <v>517</v>
      </c>
      <c r="I90" s="84" t="s">
        <v>1049</v>
      </c>
      <c r="J90" s="17">
        <f t="shared" si="24"/>
        <v>30.8</v>
      </c>
      <c r="K90" s="34">
        <f t="shared" si="19"/>
        <v>68.745292000000006</v>
      </c>
      <c r="L90" s="17">
        <f t="shared" si="13"/>
        <v>1</v>
      </c>
      <c r="M90" s="17">
        <f t="shared" si="16"/>
        <v>1.33</v>
      </c>
      <c r="N90" s="17">
        <f t="shared" si="17"/>
        <v>5.5571620888000011</v>
      </c>
      <c r="O90" s="25">
        <f t="shared" si="20"/>
        <v>382.02873048588606</v>
      </c>
      <c r="P90" s="25">
        <f t="shared" si="21"/>
        <v>382.1331384472104</v>
      </c>
      <c r="Q90" s="31">
        <f t="shared" si="22"/>
        <v>995.26222231629174</v>
      </c>
      <c r="R90" s="17">
        <f t="shared" si="23"/>
        <v>99858.453632000004</v>
      </c>
      <c r="S90" s="17">
        <v>9.8000000000000007</v>
      </c>
      <c r="T90" s="27">
        <f t="shared" si="25"/>
        <v>303.24111111111108</v>
      </c>
      <c r="U90" s="25">
        <f t="shared" si="15"/>
        <v>5.3783346472470948</v>
      </c>
    </row>
    <row r="91" spans="1:21" x14ac:dyDescent="0.35">
      <c r="A91" s="38" t="s">
        <v>104</v>
      </c>
      <c r="B91" s="38" t="s">
        <v>18</v>
      </c>
      <c r="C91" s="39" t="s">
        <v>716</v>
      </c>
      <c r="D91" s="81">
        <v>5</v>
      </c>
      <c r="E91" s="48" t="s">
        <v>531</v>
      </c>
      <c r="F91" s="39" t="s">
        <v>532</v>
      </c>
      <c r="G91" s="75">
        <f t="shared" si="18"/>
        <v>28.443888888888885</v>
      </c>
      <c r="H91" s="39" t="s">
        <v>517</v>
      </c>
      <c r="I91" s="84" t="s">
        <v>1049</v>
      </c>
      <c r="J91" s="17">
        <f t="shared" si="24"/>
        <v>29.9</v>
      </c>
      <c r="K91" s="34">
        <f t="shared" si="19"/>
        <v>71.628439999999998</v>
      </c>
      <c r="L91" s="17">
        <f t="shared" si="13"/>
        <v>1</v>
      </c>
      <c r="M91" s="17">
        <f t="shared" si="16"/>
        <v>1.33</v>
      </c>
      <c r="N91" s="17">
        <f t="shared" si="17"/>
        <v>5.5571620888000011</v>
      </c>
      <c r="O91" s="25">
        <f t="shared" si="20"/>
        <v>398.05085124788553</v>
      </c>
      <c r="P91" s="25">
        <f t="shared" si="21"/>
        <v>398.15220832722315</v>
      </c>
      <c r="Q91" s="31">
        <f t="shared" si="22"/>
        <v>995.76201806503684</v>
      </c>
      <c r="R91" s="17">
        <f t="shared" si="23"/>
        <v>99858.453632000004</v>
      </c>
      <c r="S91" s="17">
        <v>9.8000000000000007</v>
      </c>
      <c r="T91" s="27">
        <f t="shared" si="25"/>
        <v>301.59388888888884</v>
      </c>
      <c r="U91" s="25">
        <f t="shared" si="15"/>
        <v>5.4078662002280966</v>
      </c>
    </row>
    <row r="92" spans="1:21" x14ac:dyDescent="0.35">
      <c r="A92" s="38" t="s">
        <v>104</v>
      </c>
      <c r="B92" s="40" t="s">
        <v>9</v>
      </c>
      <c r="C92" s="39" t="s">
        <v>1032</v>
      </c>
      <c r="D92" s="81">
        <v>18</v>
      </c>
      <c r="E92" s="48" t="s">
        <v>527</v>
      </c>
      <c r="F92" s="39" t="s">
        <v>528</v>
      </c>
      <c r="G92" s="75">
        <f t="shared" si="18"/>
        <v>29.890000000000004</v>
      </c>
      <c r="H92" s="39" t="s">
        <v>517</v>
      </c>
      <c r="I92" s="84" t="s">
        <v>1049</v>
      </c>
      <c r="J92" s="17">
        <f t="shared" si="24"/>
        <v>29.5</v>
      </c>
      <c r="K92" s="34">
        <f t="shared" si="19"/>
        <v>66.582089999999994</v>
      </c>
      <c r="L92" s="17">
        <f t="shared" si="13"/>
        <v>1</v>
      </c>
      <c r="M92" s="17">
        <f t="shared" si="16"/>
        <v>1.33</v>
      </c>
      <c r="N92" s="17">
        <f t="shared" si="17"/>
        <v>5.5571620888000011</v>
      </c>
      <c r="O92" s="25">
        <f t="shared" si="20"/>
        <v>370.00746634106963</v>
      </c>
      <c r="P92" s="25">
        <f t="shared" si="21"/>
        <v>370.10746747285759</v>
      </c>
      <c r="Q92" s="31">
        <f t="shared" si="22"/>
        <v>995.32449197865799</v>
      </c>
      <c r="R92" s="17">
        <f t="shared" si="23"/>
        <v>99858.453632000004</v>
      </c>
      <c r="S92" s="17">
        <v>9.8000000000000007</v>
      </c>
      <c r="T92" s="27">
        <f t="shared" si="25"/>
        <v>303.03999999999996</v>
      </c>
      <c r="U92" s="25">
        <f t="shared" si="15"/>
        <v>5.3817909751104995</v>
      </c>
    </row>
    <row r="93" spans="1:21" x14ac:dyDescent="0.35">
      <c r="A93" s="38" t="s">
        <v>104</v>
      </c>
      <c r="B93" s="40" t="s">
        <v>64</v>
      </c>
      <c r="C93" s="39" t="s">
        <v>715</v>
      </c>
      <c r="D93" s="81">
        <v>9</v>
      </c>
      <c r="E93" s="48">
        <v>0.28877000000000003</v>
      </c>
      <c r="F93" s="39" t="s">
        <v>1033</v>
      </c>
      <c r="G93" s="75">
        <f t="shared" si="18"/>
        <v>27.888888888888889</v>
      </c>
      <c r="H93" s="39" t="s">
        <v>1034</v>
      </c>
      <c r="I93" s="84" t="s">
        <v>105</v>
      </c>
      <c r="J93" s="17">
        <f t="shared" si="24"/>
        <v>32.200000000000003</v>
      </c>
      <c r="K93" s="34">
        <f t="shared" ref="K93:K101" si="26">J93*(H93-E93)</f>
        <v>71.169406000000009</v>
      </c>
      <c r="L93" s="17">
        <f t="shared" ref="L93:L102" si="27">IF(OR(B93="P4",B93="P5",B93="EUS3",B93="EUS",B93="EUS2"),1,0.5)</f>
        <v>0.5</v>
      </c>
      <c r="M93" s="17">
        <f t="shared" ref="M93:M102" si="28">IF(L93 = 0.5, 0.78994,IF(L93=1, 1.33, "NOT LISTED"))</f>
        <v>0.78993999999999998</v>
      </c>
      <c r="N93" s="17">
        <f t="shared" si="17"/>
        <v>1.9603697555881312</v>
      </c>
      <c r="O93" s="25">
        <f t="shared" ref="O93:O101" si="29">K93*N93</f>
        <v>139.5183510455725</v>
      </c>
      <c r="P93" s="25">
        <f t="shared" ref="P93:P101" si="30">(J93*(2.5-E93))*N93</f>
        <v>139.58147495170243</v>
      </c>
      <c r="Q93" s="31">
        <f t="shared" ref="Q93:Q102" si="31">(999.83952+16.945176*G93-0.00798704*G93^2-0.000046170461*G93^3+0.00000010556302*G93^4-0.00000000028054253*G93^5)/(1+0.01689785*G93)</f>
        <v>995.92510500132244</v>
      </c>
      <c r="R93" s="17">
        <f t="shared" ref="R93:R102" si="32">IF(I93="NA", 101325, I93*133.322368)</f>
        <v>101325</v>
      </c>
      <c r="S93" s="17">
        <v>10.8</v>
      </c>
      <c r="T93" s="27">
        <f t="shared" ref="T93:T102" si="33">G93+273.15</f>
        <v>301.03888888888889</v>
      </c>
      <c r="U93" s="25">
        <f t="shared" ref="U93:U101" si="34">(1+((Q93*S93/R93/100)*(1+0.01*K93)))*N93*(293/T93)</f>
        <v>1.9114873039574509</v>
      </c>
    </row>
    <row r="94" spans="1:21" x14ac:dyDescent="0.35">
      <c r="A94" s="38" t="s">
        <v>104</v>
      </c>
      <c r="B94" s="38" t="s">
        <v>69</v>
      </c>
      <c r="C94" s="39" t="s">
        <v>1038</v>
      </c>
      <c r="D94" s="81">
        <v>14</v>
      </c>
      <c r="E94" s="48" t="s">
        <v>1039</v>
      </c>
      <c r="F94" s="39" t="s">
        <v>1040</v>
      </c>
      <c r="G94" s="75">
        <f t="shared" si="18"/>
        <v>27.055555555555557</v>
      </c>
      <c r="H94" s="39" t="s">
        <v>1034</v>
      </c>
      <c r="I94" s="84" t="s">
        <v>105</v>
      </c>
      <c r="J94" s="17">
        <f t="shared" si="24"/>
        <v>29.3</v>
      </c>
      <c r="K94" s="34">
        <f t="shared" si="26"/>
        <v>62.434491000000008</v>
      </c>
      <c r="L94" s="17">
        <f t="shared" si="27"/>
        <v>0.5</v>
      </c>
      <c r="M94" s="17">
        <f t="shared" si="28"/>
        <v>0.78993999999999998</v>
      </c>
      <c r="N94" s="17">
        <f t="shared" si="17"/>
        <v>1.9603697555881312</v>
      </c>
      <c r="O94" s="25">
        <f t="shared" si="29"/>
        <v>122.39468786193939</v>
      </c>
      <c r="P94" s="25">
        <f t="shared" si="30"/>
        <v>122.45212669577812</v>
      </c>
      <c r="Q94" s="31">
        <f t="shared" si="31"/>
        <v>996.16486516243674</v>
      </c>
      <c r="R94" s="17">
        <f t="shared" si="32"/>
        <v>101325</v>
      </c>
      <c r="S94" s="17">
        <v>11.8</v>
      </c>
      <c r="T94" s="27">
        <f t="shared" si="33"/>
        <v>300.20555555555552</v>
      </c>
      <c r="U94" s="25">
        <f t="shared" si="34"/>
        <v>1.916922287203126</v>
      </c>
    </row>
    <row r="95" spans="1:21" x14ac:dyDescent="0.35">
      <c r="A95" s="38" t="s">
        <v>104</v>
      </c>
      <c r="B95" s="38" t="s">
        <v>60</v>
      </c>
      <c r="C95" s="39" t="s">
        <v>1043</v>
      </c>
      <c r="D95" s="81">
        <v>4</v>
      </c>
      <c r="E95" s="48">
        <v>0.38400000000000001</v>
      </c>
      <c r="F95" s="39" t="s">
        <v>1044</v>
      </c>
      <c r="G95" s="75">
        <f t="shared" si="18"/>
        <v>27.166666666666668</v>
      </c>
      <c r="H95" s="39" t="s">
        <v>1034</v>
      </c>
      <c r="I95" s="84" t="s">
        <v>105</v>
      </c>
      <c r="J95" s="17">
        <f t="shared" si="24"/>
        <v>29.6</v>
      </c>
      <c r="K95" s="34">
        <f t="shared" si="26"/>
        <v>62.604000000000006</v>
      </c>
      <c r="L95" s="17">
        <f t="shared" si="27"/>
        <v>0.5</v>
      </c>
      <c r="M95" s="17">
        <f t="shared" si="28"/>
        <v>0.78993999999999998</v>
      </c>
      <c r="N95" s="17">
        <f t="shared" si="17"/>
        <v>1.9603697555881312</v>
      </c>
      <c r="O95" s="25">
        <f t="shared" si="29"/>
        <v>122.72698817883938</v>
      </c>
      <c r="P95" s="25">
        <f t="shared" si="30"/>
        <v>122.78501512360479</v>
      </c>
      <c r="Q95" s="31">
        <f t="shared" si="31"/>
        <v>996.13325460508861</v>
      </c>
      <c r="R95" s="17">
        <f t="shared" si="32"/>
        <v>101325</v>
      </c>
      <c r="S95" s="17">
        <v>12.8</v>
      </c>
      <c r="T95" s="27">
        <f t="shared" si="33"/>
        <v>300.31666666666666</v>
      </c>
      <c r="U95" s="25">
        <f t="shared" si="34"/>
        <v>1.9165224554308271</v>
      </c>
    </row>
    <row r="96" spans="1:21" x14ac:dyDescent="0.35">
      <c r="A96" s="38" t="s">
        <v>104</v>
      </c>
      <c r="B96" s="38" t="s">
        <v>9</v>
      </c>
      <c r="C96" s="4" t="s">
        <v>1047</v>
      </c>
      <c r="D96" s="82">
        <v>18</v>
      </c>
      <c r="E96" s="49">
        <v>0.24847</v>
      </c>
      <c r="F96" s="4" t="s">
        <v>1048</v>
      </c>
      <c r="G96" s="82">
        <f t="shared" si="18"/>
        <v>28.766111111111108</v>
      </c>
      <c r="H96" s="4" t="s">
        <v>1034</v>
      </c>
      <c r="I96" s="75" t="s">
        <v>1070</v>
      </c>
      <c r="J96" s="17">
        <f t="shared" ref="J96:J101" si="35">IF(D96=1, 32.2,IF(D96=2, 30.8, IF(D96=3, 29.9, IF(D96=4, 29.6, IF(D96=5, 29.9, IF(D96=6, 30.2, IF(D96=7, 30.4, IF(D96=8, 28, IF(D96=9, 32.2, IF(D96=10, 30.1, IF(D96=11, 30.1, IF(D96=12, 29.2, IF(D96=13, 30.8,IF(D96=14,29.3, IF(D96=15,30.2,IF(D96=16, 30.8,IF(D96=17,30.1,IF(D96=18,29.5,IF(D96=19,28.7,IF(D96=20,30.2,IF(D96=21,31.7, "NOT LISTED")))))))))))))))))))))</f>
        <v>29.5</v>
      </c>
      <c r="K96" s="34">
        <f t="shared" si="26"/>
        <v>66.390635000000003</v>
      </c>
      <c r="L96" s="17">
        <f t="shared" si="27"/>
        <v>1</v>
      </c>
      <c r="M96" s="17">
        <f t="shared" si="28"/>
        <v>1.33</v>
      </c>
      <c r="N96" s="17">
        <f t="shared" si="17"/>
        <v>5.5571620888000011</v>
      </c>
      <c r="O96" s="25">
        <f t="shared" si="29"/>
        <v>368.94351987335847</v>
      </c>
      <c r="P96" s="25">
        <f t="shared" si="30"/>
        <v>369.10745615497797</v>
      </c>
      <c r="Q96" s="31">
        <f t="shared" si="31"/>
        <v>995.66609566918078</v>
      </c>
      <c r="R96" s="17">
        <f t="shared" si="32"/>
        <v>99431.822054400007</v>
      </c>
      <c r="S96" s="17">
        <v>13.8</v>
      </c>
      <c r="T96" s="27">
        <f t="shared" si="33"/>
        <v>301.91611111111109</v>
      </c>
      <c r="U96" s="25">
        <f t="shared" si="34"/>
        <v>5.4054496242345556</v>
      </c>
    </row>
    <row r="97" spans="1:21" x14ac:dyDescent="0.35">
      <c r="A97" s="38" t="s">
        <v>104</v>
      </c>
      <c r="B97" s="38" t="s">
        <v>14</v>
      </c>
      <c r="C97" s="4" t="s">
        <v>1052</v>
      </c>
      <c r="D97" s="82">
        <v>16</v>
      </c>
      <c r="E97" s="49">
        <v>0.23687</v>
      </c>
      <c r="F97" s="4" t="s">
        <v>1033</v>
      </c>
      <c r="G97" s="82">
        <f t="shared" si="18"/>
        <v>27.888888888888889</v>
      </c>
      <c r="H97" s="4" t="s">
        <v>1034</v>
      </c>
      <c r="I97" s="75" t="s">
        <v>1070</v>
      </c>
      <c r="J97" s="17">
        <f t="shared" si="35"/>
        <v>30.8</v>
      </c>
      <c r="K97" s="34">
        <f t="shared" si="26"/>
        <v>69.673603999999997</v>
      </c>
      <c r="L97" s="17">
        <f t="shared" si="27"/>
        <v>1</v>
      </c>
      <c r="M97" s="17">
        <f t="shared" si="28"/>
        <v>1.33</v>
      </c>
      <c r="N97" s="17">
        <f t="shared" si="17"/>
        <v>5.5571620888000011</v>
      </c>
      <c r="O97" s="25">
        <f t="shared" si="29"/>
        <v>387.18751073886409</v>
      </c>
      <c r="P97" s="25">
        <f t="shared" si="30"/>
        <v>387.3586713311991</v>
      </c>
      <c r="Q97" s="31">
        <f t="shared" si="31"/>
        <v>995.92510500132244</v>
      </c>
      <c r="R97" s="17">
        <f t="shared" si="32"/>
        <v>99431.822054400007</v>
      </c>
      <c r="S97" s="17">
        <v>14.8</v>
      </c>
      <c r="T97" s="27">
        <f t="shared" si="33"/>
        <v>301.03888888888889</v>
      </c>
      <c r="U97" s="25">
        <f t="shared" si="34"/>
        <v>5.4223688956550271</v>
      </c>
    </row>
    <row r="98" spans="1:21" x14ac:dyDescent="0.35">
      <c r="A98" s="38" t="s">
        <v>104</v>
      </c>
      <c r="B98" s="38" t="s">
        <v>18</v>
      </c>
      <c r="C98" s="4" t="s">
        <v>1055</v>
      </c>
      <c r="D98" s="82">
        <v>5</v>
      </c>
      <c r="E98" s="49">
        <v>0</v>
      </c>
      <c r="F98" s="4" t="s">
        <v>1056</v>
      </c>
      <c r="G98" s="82">
        <f t="shared" si="18"/>
        <v>27.833333333333329</v>
      </c>
      <c r="H98" s="4" t="s">
        <v>1034</v>
      </c>
      <c r="I98" s="75" t="s">
        <v>1070</v>
      </c>
      <c r="J98" s="17">
        <f t="shared" si="35"/>
        <v>29.9</v>
      </c>
      <c r="K98" s="34">
        <f t="shared" si="26"/>
        <v>74.720100000000002</v>
      </c>
      <c r="L98" s="17">
        <f t="shared" si="27"/>
        <v>1</v>
      </c>
      <c r="M98" s="17">
        <f t="shared" si="28"/>
        <v>1.33</v>
      </c>
      <c r="N98" s="17">
        <f t="shared" si="17"/>
        <v>5.5571620888000011</v>
      </c>
      <c r="O98" s="25">
        <f t="shared" si="29"/>
        <v>415.23170699134499</v>
      </c>
      <c r="P98" s="25">
        <f t="shared" si="30"/>
        <v>415.39786613780007</v>
      </c>
      <c r="Q98" s="31">
        <f t="shared" si="31"/>
        <v>995.94128073672596</v>
      </c>
      <c r="R98" s="17">
        <f t="shared" si="32"/>
        <v>99431.822054400007</v>
      </c>
      <c r="S98" s="17">
        <v>15.8</v>
      </c>
      <c r="T98" s="27">
        <f t="shared" si="33"/>
        <v>300.98333333333329</v>
      </c>
      <c r="U98" s="25">
        <f t="shared" si="34"/>
        <v>5.4247214203175043</v>
      </c>
    </row>
    <row r="99" spans="1:21" x14ac:dyDescent="0.35">
      <c r="A99" s="6" t="s">
        <v>104</v>
      </c>
      <c r="B99" s="6" t="s">
        <v>167</v>
      </c>
      <c r="C99" s="4" t="s">
        <v>1059</v>
      </c>
      <c r="D99" s="82">
        <v>3</v>
      </c>
      <c r="E99" s="49">
        <v>0.60599999999999998</v>
      </c>
      <c r="F99" s="4" t="s">
        <v>1060</v>
      </c>
      <c r="G99" s="82">
        <f t="shared" si="18"/>
        <v>26.888888888888893</v>
      </c>
      <c r="H99" s="4" t="s">
        <v>1034</v>
      </c>
      <c r="I99" s="75" t="s">
        <v>1070</v>
      </c>
      <c r="J99" s="17">
        <f t="shared" si="35"/>
        <v>29.9</v>
      </c>
      <c r="K99" s="34">
        <f t="shared" si="26"/>
        <v>56.600700000000003</v>
      </c>
      <c r="L99" s="17">
        <f t="shared" si="27"/>
        <v>0.5</v>
      </c>
      <c r="M99" s="17">
        <f t="shared" si="28"/>
        <v>0.78993999999999998</v>
      </c>
      <c r="N99" s="17">
        <f t="shared" si="17"/>
        <v>1.9603697555881312</v>
      </c>
      <c r="O99" s="25">
        <f t="shared" si="29"/>
        <v>110.95830042511714</v>
      </c>
      <c r="P99" s="25">
        <f t="shared" si="30"/>
        <v>111.01691548080923</v>
      </c>
      <c r="Q99" s="31">
        <f t="shared" si="31"/>
        <v>996.21207354279704</v>
      </c>
      <c r="R99" s="17">
        <f t="shared" si="32"/>
        <v>99431.822054400007</v>
      </c>
      <c r="S99" s="17">
        <v>16.8</v>
      </c>
      <c r="T99" s="27">
        <f t="shared" si="33"/>
        <v>300.03888888888889</v>
      </c>
      <c r="U99" s="25">
        <f t="shared" si="34"/>
        <v>1.9194257528509526</v>
      </c>
    </row>
    <row r="100" spans="1:21" x14ac:dyDescent="0.35">
      <c r="A100" s="6" t="s">
        <v>104</v>
      </c>
      <c r="B100" s="6" t="s">
        <v>25</v>
      </c>
      <c r="C100" s="4" t="s">
        <v>1065</v>
      </c>
      <c r="D100" s="82">
        <v>21</v>
      </c>
      <c r="E100" s="49">
        <v>0.71</v>
      </c>
      <c r="F100" s="4" t="s">
        <v>1060</v>
      </c>
      <c r="G100" s="82">
        <f t="shared" si="18"/>
        <v>26.888888888888893</v>
      </c>
      <c r="H100" s="4" t="s">
        <v>1034</v>
      </c>
      <c r="I100" s="75" t="s">
        <v>1070</v>
      </c>
      <c r="J100" s="17">
        <f t="shared" si="35"/>
        <v>31.7</v>
      </c>
      <c r="K100" s="34">
        <f t="shared" si="26"/>
        <v>56.711300000000001</v>
      </c>
      <c r="L100" s="17">
        <f t="shared" si="27"/>
        <v>0.5</v>
      </c>
      <c r="M100" s="17">
        <f t="shared" si="28"/>
        <v>0.78993999999999998</v>
      </c>
      <c r="N100" s="17">
        <f t="shared" si="17"/>
        <v>1.9603697555881312</v>
      </c>
      <c r="O100" s="25">
        <f t="shared" si="29"/>
        <v>111.17511732008519</v>
      </c>
      <c r="P100" s="25">
        <f t="shared" si="30"/>
        <v>111.23726104133733</v>
      </c>
      <c r="Q100" s="31">
        <f t="shared" si="31"/>
        <v>996.21207354279704</v>
      </c>
      <c r="R100" s="17">
        <f t="shared" si="32"/>
        <v>99431.822054400007</v>
      </c>
      <c r="S100" s="17">
        <v>17.8</v>
      </c>
      <c r="T100" s="27">
        <f t="shared" si="33"/>
        <v>300.03888888888889</v>
      </c>
      <c r="U100" s="25">
        <f t="shared" si="34"/>
        <v>1.9197298930295672</v>
      </c>
    </row>
    <row r="101" spans="1:21" x14ac:dyDescent="0.35">
      <c r="A101" s="6" t="s">
        <v>104</v>
      </c>
      <c r="B101" s="6" t="s">
        <v>26</v>
      </c>
      <c r="C101" s="4" t="s">
        <v>1067</v>
      </c>
      <c r="D101" s="82">
        <v>11</v>
      </c>
      <c r="E101" s="49">
        <v>0.34300000000000003</v>
      </c>
      <c r="F101" s="4" t="s">
        <v>1068</v>
      </c>
      <c r="G101" s="82">
        <f t="shared" si="18"/>
        <v>26.777777777777779</v>
      </c>
      <c r="H101" s="4" t="s">
        <v>1034</v>
      </c>
      <c r="I101" s="75" t="s">
        <v>1070</v>
      </c>
      <c r="J101" s="17">
        <f t="shared" si="35"/>
        <v>30.1</v>
      </c>
      <c r="K101" s="34">
        <f t="shared" si="26"/>
        <v>64.895600000000002</v>
      </c>
      <c r="L101" s="17">
        <f t="shared" si="27"/>
        <v>0.5</v>
      </c>
      <c r="M101" s="17">
        <f t="shared" si="28"/>
        <v>0.78993999999999998</v>
      </c>
      <c r="N101" s="17">
        <f t="shared" si="17"/>
        <v>1.9603697555881312</v>
      </c>
      <c r="O101" s="25">
        <f t="shared" si="29"/>
        <v>127.21937151074513</v>
      </c>
      <c r="P101" s="25">
        <f t="shared" si="30"/>
        <v>127.27837864038834</v>
      </c>
      <c r="Q101" s="31">
        <f t="shared" si="31"/>
        <v>996.24340717116229</v>
      </c>
      <c r="R101" s="17">
        <f t="shared" si="32"/>
        <v>99431.822054400007</v>
      </c>
      <c r="S101" s="17">
        <v>18.8</v>
      </c>
      <c r="T101" s="27">
        <f t="shared" si="33"/>
        <v>299.92777777777775</v>
      </c>
      <c r="U101" s="25">
        <f t="shared" si="34"/>
        <v>1.9210371761597984</v>
      </c>
    </row>
    <row r="102" spans="1:21" x14ac:dyDescent="0.35">
      <c r="A102" s="6" t="s">
        <v>104</v>
      </c>
      <c r="B102" s="6" t="s">
        <v>64</v>
      </c>
      <c r="C102" s="4" t="s">
        <v>1749</v>
      </c>
      <c r="D102" s="82">
        <v>2</v>
      </c>
      <c r="E102" s="49" t="s">
        <v>105</v>
      </c>
      <c r="F102" s="4" t="s">
        <v>1766</v>
      </c>
      <c r="G102" s="82">
        <f t="shared" si="18"/>
        <v>25.599999999999998</v>
      </c>
      <c r="H102" s="49" t="s">
        <v>105</v>
      </c>
      <c r="I102" s="75" t="s">
        <v>1778</v>
      </c>
      <c r="J102" s="17">
        <f t="shared" ref="J102:J118" si="36">IF(D102=1, 32.2,IF(D102=2, 30.8, IF(D102=3, 29.9, IF(D102=4, 29.6, IF(D102=5, 29.9, IF(D102=6, 30.2, IF(D102=7, 30.4, IF(D102=8, 28, IF(D102=9, 32.2, IF(D102=10, 30.1, IF(D102=11, 30.1, IF(D102=12, 29.2, IF(D102=13, 30.8,IF(D102=14,29.3, IF(D102=15,30.2,IF(D102=16, 30.8,IF(D102=17,30.1,IF(D102=18,29.5,IF(D102=19,28.7,IF(D102=20,30.2,IF(D102=21,31.7, "NOT LISTED")))))))))))))))))))))</f>
        <v>30.8</v>
      </c>
      <c r="K102" s="34" t="e">
        <f t="shared" ref="K102:K118" si="37">J102*(H102-E102)</f>
        <v>#VALUE!</v>
      </c>
      <c r="L102" s="17">
        <f t="shared" si="27"/>
        <v>0.5</v>
      </c>
      <c r="M102" s="17">
        <f t="shared" si="28"/>
        <v>0.78993999999999998</v>
      </c>
      <c r="N102" s="17">
        <f t="shared" si="17"/>
        <v>1.9603697555881312</v>
      </c>
      <c r="O102" s="25" t="s">
        <v>105</v>
      </c>
      <c r="P102" s="25" t="s">
        <v>105</v>
      </c>
      <c r="Q102" s="31">
        <f t="shared" si="31"/>
        <v>996.56866538840507</v>
      </c>
      <c r="R102" s="17">
        <f t="shared" si="32"/>
        <v>99765.127974400006</v>
      </c>
      <c r="S102" s="17">
        <v>19.8</v>
      </c>
      <c r="T102" s="27">
        <f t="shared" si="33"/>
        <v>298.75</v>
      </c>
      <c r="U102" s="25" t="s">
        <v>105</v>
      </c>
    </row>
    <row r="103" spans="1:21" x14ac:dyDescent="0.35">
      <c r="A103" s="6" t="s">
        <v>104</v>
      </c>
      <c r="B103" s="6" t="s">
        <v>69</v>
      </c>
      <c r="C103" s="4" t="s">
        <v>1750</v>
      </c>
      <c r="D103" s="82">
        <v>14</v>
      </c>
      <c r="E103" s="49">
        <v>0.47</v>
      </c>
      <c r="F103" s="4" t="s">
        <v>1767</v>
      </c>
      <c r="G103" s="82">
        <f t="shared" si="18"/>
        <v>25.999999999999996</v>
      </c>
      <c r="H103" s="4" t="s">
        <v>1034</v>
      </c>
      <c r="I103" s="75" t="s">
        <v>1778</v>
      </c>
      <c r="J103" s="17">
        <f t="shared" si="36"/>
        <v>29.3</v>
      </c>
      <c r="K103" s="34">
        <f t="shared" si="37"/>
        <v>59.4497</v>
      </c>
      <c r="L103" s="17">
        <f t="shared" ref="L103:L122" si="38">IF(OR(B103="P4",B103="P5",B103="EUS3",B103="EUS",B103="EUS2"),1,0.5)</f>
        <v>0.5</v>
      </c>
      <c r="M103" s="17">
        <f t="shared" ref="M103:M122" si="39">IF(L103 = 0.5, 0.78994,IF(L103=1, 1.33, "NOT LISTED"))</f>
        <v>0.78993999999999998</v>
      </c>
      <c r="N103" s="17">
        <f t="shared" si="17"/>
        <v>1.9603697555881312</v>
      </c>
      <c r="O103" s="25">
        <f t="shared" ref="O103:O118" si="40">K103*N103</f>
        <v>116.54339385878772</v>
      </c>
      <c r="P103" s="25">
        <f t="shared" ref="P103:P118" si="41">(J103*(2.5-E103))*N103</f>
        <v>116.60083269262647</v>
      </c>
      <c r="Q103" s="31">
        <f t="shared" ref="Q103:Q118" si="42">(999.83952+16.945176*G103-0.00798704*G103^2-0.000046170461*G103^3+0.00000010556302*G103^4-0.00000000028054253*G103^5)/(1+0.01689785*G103)</f>
        <v>996.45961759443662</v>
      </c>
      <c r="R103" s="17">
        <f t="shared" ref="R103:R118" si="43">IF(I103="NA", 101325, I103*133.322368)</f>
        <v>99765.127974400006</v>
      </c>
      <c r="S103" s="17">
        <v>20.8</v>
      </c>
      <c r="T103" s="27">
        <f t="shared" ref="T103:T118" si="44">G103+273.15</f>
        <v>299.14999999999998</v>
      </c>
      <c r="U103" s="25">
        <f t="shared" ref="U103:U118" si="45">(1+((Q103*S103/R103/100)*(1+0.01*K103)))*N103*(293/T103)</f>
        <v>1.9264283895773517</v>
      </c>
    </row>
    <row r="104" spans="1:21" x14ac:dyDescent="0.35">
      <c r="A104" s="6" t="s">
        <v>104</v>
      </c>
      <c r="B104" s="6" t="s">
        <v>60</v>
      </c>
      <c r="C104" s="4" t="s">
        <v>1751</v>
      </c>
      <c r="D104" s="82">
        <v>4</v>
      </c>
      <c r="E104" s="49">
        <v>0.46600000000000003</v>
      </c>
      <c r="F104" s="4" t="s">
        <v>1768</v>
      </c>
      <c r="G104" s="82">
        <f t="shared" si="18"/>
        <v>25.888888888888886</v>
      </c>
      <c r="H104" s="4" t="s">
        <v>1034</v>
      </c>
      <c r="I104" s="75" t="s">
        <v>1778</v>
      </c>
      <c r="J104" s="17">
        <f t="shared" si="36"/>
        <v>29.6</v>
      </c>
      <c r="K104" s="34">
        <f t="shared" si="37"/>
        <v>60.1768</v>
      </c>
      <c r="L104" s="17">
        <f t="shared" si="38"/>
        <v>0.5</v>
      </c>
      <c r="M104" s="17">
        <f t="shared" si="39"/>
        <v>0.78993999999999998</v>
      </c>
      <c r="N104" s="17">
        <f t="shared" si="17"/>
        <v>1.9603697555881312</v>
      </c>
      <c r="O104" s="25">
        <f t="shared" si="40"/>
        <v>117.96877870807586</v>
      </c>
      <c r="P104" s="25">
        <f t="shared" si="41"/>
        <v>118.02680565284125</v>
      </c>
      <c r="Q104" s="31">
        <f t="shared" si="42"/>
        <v>996.4900556657808</v>
      </c>
      <c r="R104" s="17">
        <f t="shared" si="43"/>
        <v>99765.127974400006</v>
      </c>
      <c r="S104" s="17">
        <v>21.8</v>
      </c>
      <c r="T104" s="27">
        <f t="shared" si="44"/>
        <v>299.03888888888889</v>
      </c>
      <c r="U104" s="25">
        <f t="shared" si="45"/>
        <v>1.9274806910776683</v>
      </c>
    </row>
    <row r="105" spans="1:21" x14ac:dyDescent="0.35">
      <c r="A105" s="6" t="s">
        <v>104</v>
      </c>
      <c r="B105" s="6" t="s">
        <v>26</v>
      </c>
      <c r="C105" s="4" t="s">
        <v>1752</v>
      </c>
      <c r="D105" s="82">
        <v>11</v>
      </c>
      <c r="E105" s="49">
        <v>0.28266000000000002</v>
      </c>
      <c r="F105" s="4" t="s">
        <v>1769</v>
      </c>
      <c r="G105" s="82">
        <f t="shared" si="18"/>
        <v>26.694444444444443</v>
      </c>
      <c r="H105" s="4" t="s">
        <v>1034</v>
      </c>
      <c r="I105" s="75" t="s">
        <v>1779</v>
      </c>
      <c r="J105" s="17">
        <f t="shared" si="36"/>
        <v>30.1</v>
      </c>
      <c r="K105" s="34">
        <f t="shared" si="37"/>
        <v>66.71183400000001</v>
      </c>
      <c r="L105" s="17">
        <f t="shared" si="38"/>
        <v>0.5</v>
      </c>
      <c r="M105" s="17">
        <f t="shared" si="39"/>
        <v>0.78993999999999998</v>
      </c>
      <c r="N105" s="17">
        <f t="shared" si="17"/>
        <v>1.9603697555881312</v>
      </c>
      <c r="O105" s="25">
        <f t="shared" si="40"/>
        <v>130.77986171341601</v>
      </c>
      <c r="P105" s="25">
        <f t="shared" si="41"/>
        <v>130.83886884305917</v>
      </c>
      <c r="Q105" s="31">
        <f t="shared" si="42"/>
        <v>996.26683445677065</v>
      </c>
      <c r="R105" s="17">
        <f t="shared" si="43"/>
        <v>100191.759552</v>
      </c>
      <c r="S105" s="17">
        <v>22.8</v>
      </c>
      <c r="T105" s="27">
        <f t="shared" si="44"/>
        <v>299.84444444444443</v>
      </c>
      <c r="U105" s="25">
        <f t="shared" si="45"/>
        <v>1.9228613461434614</v>
      </c>
    </row>
    <row r="106" spans="1:21" x14ac:dyDescent="0.35">
      <c r="A106" s="6" t="s">
        <v>104</v>
      </c>
      <c r="B106" s="6" t="s">
        <v>25</v>
      </c>
      <c r="C106" s="4" t="s">
        <v>1753</v>
      </c>
      <c r="D106" s="82">
        <v>21</v>
      </c>
      <c r="E106" s="49">
        <v>0.71199999999999997</v>
      </c>
      <c r="F106" s="4" t="s">
        <v>1769</v>
      </c>
      <c r="G106" s="82">
        <f t="shared" si="18"/>
        <v>26.694444444444443</v>
      </c>
      <c r="H106" s="4" t="s">
        <v>1034</v>
      </c>
      <c r="I106" s="75" t="s">
        <v>1779</v>
      </c>
      <c r="J106" s="17">
        <f t="shared" si="36"/>
        <v>31.7</v>
      </c>
      <c r="K106" s="34">
        <f t="shared" si="37"/>
        <v>56.6479</v>
      </c>
      <c r="L106" s="17">
        <f t="shared" si="38"/>
        <v>0.5</v>
      </c>
      <c r="M106" s="17">
        <f t="shared" si="39"/>
        <v>0.78993999999999998</v>
      </c>
      <c r="N106" s="17">
        <f t="shared" ref="N106:N120" si="46">$M106^2*3.141592</f>
        <v>1.9603697555881312</v>
      </c>
      <c r="O106" s="25">
        <f t="shared" si="40"/>
        <v>111.0508298775809</v>
      </c>
      <c r="P106" s="25">
        <f t="shared" si="41"/>
        <v>111.11297359883304</v>
      </c>
      <c r="Q106" s="31">
        <f t="shared" si="42"/>
        <v>996.26683445677065</v>
      </c>
      <c r="R106" s="17">
        <f t="shared" si="43"/>
        <v>100191.759552</v>
      </c>
      <c r="S106" s="17">
        <v>23.8</v>
      </c>
      <c r="T106" s="27">
        <f t="shared" si="44"/>
        <v>299.84444444444443</v>
      </c>
      <c r="U106" s="25">
        <f t="shared" si="45"/>
        <v>1.9227226568019498</v>
      </c>
    </row>
    <row r="107" spans="1:21" x14ac:dyDescent="0.35">
      <c r="A107" s="6" t="s">
        <v>104</v>
      </c>
      <c r="B107" s="6" t="s">
        <v>9</v>
      </c>
      <c r="C107" s="4" t="s">
        <v>1754</v>
      </c>
      <c r="D107" s="82">
        <v>18</v>
      </c>
      <c r="E107" s="49">
        <v>0.35599999999999998</v>
      </c>
      <c r="F107" s="4" t="s">
        <v>1033</v>
      </c>
      <c r="G107" s="82">
        <f t="shared" si="18"/>
        <v>27.888888888888889</v>
      </c>
      <c r="H107" s="4" t="s">
        <v>1034</v>
      </c>
      <c r="I107" s="75" t="s">
        <v>1779</v>
      </c>
      <c r="J107" s="17">
        <f t="shared" si="36"/>
        <v>29.5</v>
      </c>
      <c r="K107" s="34">
        <f t="shared" si="37"/>
        <v>63.218500000000006</v>
      </c>
      <c r="L107" s="17">
        <f t="shared" si="38"/>
        <v>1</v>
      </c>
      <c r="M107" s="17">
        <f t="shared" si="39"/>
        <v>1.33</v>
      </c>
      <c r="N107" s="17">
        <f t="shared" si="46"/>
        <v>5.5571620888000011</v>
      </c>
      <c r="O107" s="25">
        <f t="shared" si="40"/>
        <v>351.31545151080292</v>
      </c>
      <c r="P107" s="25">
        <f t="shared" si="41"/>
        <v>351.47938779242247</v>
      </c>
      <c r="Q107" s="31">
        <f t="shared" si="42"/>
        <v>995.92510500132244</v>
      </c>
      <c r="R107" s="17">
        <f t="shared" si="43"/>
        <v>100191.759552</v>
      </c>
      <c r="S107" s="17">
        <v>24.8</v>
      </c>
      <c r="T107" s="27">
        <f t="shared" si="44"/>
        <v>301.03888888888889</v>
      </c>
      <c r="U107" s="25">
        <f t="shared" si="45"/>
        <v>5.4305273742732751</v>
      </c>
    </row>
    <row r="108" spans="1:21" x14ac:dyDescent="0.35">
      <c r="A108" s="6" t="s">
        <v>104</v>
      </c>
      <c r="B108" s="6" t="s">
        <v>14</v>
      </c>
      <c r="C108" s="4" t="s">
        <v>1755</v>
      </c>
      <c r="D108" s="12">
        <v>16</v>
      </c>
      <c r="E108" s="49">
        <v>0.25</v>
      </c>
      <c r="F108">
        <v>81.150000000000006</v>
      </c>
      <c r="G108" s="82">
        <f t="shared" si="18"/>
        <v>27.305555555555557</v>
      </c>
      <c r="H108">
        <v>2.4990000000000001</v>
      </c>
      <c r="I108" s="75">
        <v>751.5</v>
      </c>
      <c r="J108" s="17">
        <f t="shared" si="36"/>
        <v>30.8</v>
      </c>
      <c r="K108" s="34">
        <f t="shared" si="37"/>
        <v>69.269200000000012</v>
      </c>
      <c r="L108" s="17">
        <f t="shared" si="38"/>
        <v>1</v>
      </c>
      <c r="M108" s="17">
        <f t="shared" si="39"/>
        <v>1.33</v>
      </c>
      <c r="N108" s="17">
        <f t="shared" si="46"/>
        <v>5.5571620888000011</v>
      </c>
      <c r="O108" s="35">
        <f t="shared" si="40"/>
        <v>384.94017216150507</v>
      </c>
      <c r="P108" s="35">
        <f t="shared" si="41"/>
        <v>385.11133275384003</v>
      </c>
      <c r="Q108" s="36">
        <f t="shared" si="42"/>
        <v>996.09358620208968</v>
      </c>
      <c r="R108" s="22">
        <f t="shared" si="43"/>
        <v>100191.759552</v>
      </c>
      <c r="S108" s="22">
        <v>25.8</v>
      </c>
      <c r="T108" s="37">
        <f t="shared" si="44"/>
        <v>300.45555555555552</v>
      </c>
      <c r="U108" s="35">
        <f t="shared" si="45"/>
        <v>5.4427948677820925</v>
      </c>
    </row>
    <row r="109" spans="1:21" x14ac:dyDescent="0.35">
      <c r="A109" s="6" t="s">
        <v>104</v>
      </c>
      <c r="B109" s="6" t="s">
        <v>18</v>
      </c>
      <c r="C109" s="4" t="s">
        <v>1756</v>
      </c>
      <c r="D109" s="12">
        <v>5</v>
      </c>
      <c r="E109" s="49">
        <v>0.12</v>
      </c>
      <c r="F109">
        <v>82.174999999999997</v>
      </c>
      <c r="G109" s="82">
        <f t="shared" si="18"/>
        <v>27.874999999999996</v>
      </c>
      <c r="H109">
        <v>2.4990000000000001</v>
      </c>
      <c r="I109" s="75">
        <v>751.5</v>
      </c>
      <c r="J109" s="17">
        <f t="shared" si="36"/>
        <v>29.9</v>
      </c>
      <c r="K109" s="34">
        <f t="shared" si="37"/>
        <v>71.132099999999994</v>
      </c>
      <c r="L109" s="17">
        <f t="shared" si="38"/>
        <v>1</v>
      </c>
      <c r="M109" s="17">
        <f t="shared" si="39"/>
        <v>1.33</v>
      </c>
      <c r="N109" s="17">
        <f t="shared" si="46"/>
        <v>5.5571620888000011</v>
      </c>
      <c r="O109" s="25">
        <f t="shared" si="40"/>
        <v>395.2926094167305</v>
      </c>
      <c r="P109" s="25">
        <f t="shared" si="41"/>
        <v>395.45876856318563</v>
      </c>
      <c r="Q109" s="31">
        <f t="shared" si="42"/>
        <v>995.92915149055455</v>
      </c>
      <c r="R109" s="17">
        <f t="shared" si="43"/>
        <v>100191.759552</v>
      </c>
      <c r="S109" s="17">
        <v>26.8</v>
      </c>
      <c r="T109" s="27">
        <f t="shared" si="44"/>
        <v>301.02499999999998</v>
      </c>
      <c r="U109" s="25">
        <f t="shared" si="45"/>
        <v>5.433673480077875</v>
      </c>
    </row>
    <row r="110" spans="1:21" x14ac:dyDescent="0.35">
      <c r="A110" s="6" t="s">
        <v>104</v>
      </c>
      <c r="B110" s="6" t="s">
        <v>167</v>
      </c>
      <c r="C110" s="4" t="s">
        <v>1757</v>
      </c>
      <c r="D110" s="12">
        <v>3</v>
      </c>
      <c r="E110" s="49">
        <v>0.6</v>
      </c>
      <c r="F110">
        <v>81.599999999999994</v>
      </c>
      <c r="G110" s="82">
        <f t="shared" si="18"/>
        <v>27.55555555555555</v>
      </c>
      <c r="H110">
        <v>2.4990000000000001</v>
      </c>
      <c r="I110" s="75">
        <v>751.5</v>
      </c>
      <c r="J110" s="17">
        <f t="shared" si="36"/>
        <v>29.9</v>
      </c>
      <c r="K110" s="34">
        <f t="shared" si="37"/>
        <v>56.780099999999997</v>
      </c>
      <c r="L110" s="17">
        <f t="shared" si="38"/>
        <v>0.5</v>
      </c>
      <c r="M110" s="17">
        <f t="shared" si="39"/>
        <v>0.78993999999999998</v>
      </c>
      <c r="N110" s="17">
        <f t="shared" si="46"/>
        <v>1.9603697555881312</v>
      </c>
      <c r="O110" s="25">
        <f t="shared" si="40"/>
        <v>111.30999075926964</v>
      </c>
      <c r="P110" s="25">
        <f t="shared" si="41"/>
        <v>111.36860581496173</v>
      </c>
      <c r="Q110" s="31">
        <f t="shared" si="42"/>
        <v>996.02174978559663</v>
      </c>
      <c r="R110" s="17">
        <f t="shared" si="43"/>
        <v>100191.759552</v>
      </c>
      <c r="S110" s="17">
        <v>27.8</v>
      </c>
      <c r="T110" s="27">
        <f t="shared" si="44"/>
        <v>300.70555555555552</v>
      </c>
      <c r="U110" s="25">
        <f t="shared" si="45"/>
        <v>1.9184117483734922</v>
      </c>
    </row>
    <row r="111" spans="1:21" x14ac:dyDescent="0.35">
      <c r="A111" s="6" t="s">
        <v>104</v>
      </c>
      <c r="B111" s="6" t="s">
        <v>60</v>
      </c>
      <c r="C111" s="4" t="s">
        <v>1758</v>
      </c>
      <c r="D111" s="82">
        <v>4</v>
      </c>
      <c r="E111" s="49">
        <v>0.45</v>
      </c>
      <c r="F111" s="4" t="s">
        <v>1770</v>
      </c>
      <c r="G111" s="82">
        <f t="shared" si="18"/>
        <v>27.233333333333331</v>
      </c>
      <c r="H111" s="4" t="s">
        <v>1034</v>
      </c>
      <c r="I111" s="75" t="s">
        <v>1780</v>
      </c>
      <c r="J111" s="17">
        <f t="shared" si="36"/>
        <v>29.6</v>
      </c>
      <c r="K111" s="34">
        <f t="shared" si="37"/>
        <v>60.650399999999998</v>
      </c>
      <c r="L111" s="17">
        <f t="shared" si="38"/>
        <v>0.5</v>
      </c>
      <c r="M111" s="17">
        <f t="shared" si="39"/>
        <v>0.78993999999999998</v>
      </c>
      <c r="N111" s="17">
        <f t="shared" si="46"/>
        <v>1.9603697555881312</v>
      </c>
      <c r="O111" s="25">
        <f t="shared" si="40"/>
        <v>118.89720982432239</v>
      </c>
      <c r="P111" s="25">
        <f t="shared" si="41"/>
        <v>118.9552367690878</v>
      </c>
      <c r="Q111" s="31">
        <f t="shared" si="42"/>
        <v>996.1142352708647</v>
      </c>
      <c r="R111" s="17">
        <f t="shared" si="43"/>
        <v>100245.08849920001</v>
      </c>
      <c r="S111" s="17">
        <v>28.8</v>
      </c>
      <c r="T111" s="27">
        <f t="shared" si="44"/>
        <v>300.38333333333333</v>
      </c>
      <c r="U111" s="25">
        <f t="shared" si="45"/>
        <v>1.9209756875711996</v>
      </c>
    </row>
    <row r="112" spans="1:21" x14ac:dyDescent="0.35">
      <c r="A112" s="6" t="s">
        <v>104</v>
      </c>
      <c r="B112" s="6" t="s">
        <v>64</v>
      </c>
      <c r="C112" s="4" t="s">
        <v>1759</v>
      </c>
      <c r="D112" s="82">
        <v>2</v>
      </c>
      <c r="E112" s="49">
        <v>7.3999999999999996E-2</v>
      </c>
      <c r="F112" s="4" t="s">
        <v>1771</v>
      </c>
      <c r="G112" s="82">
        <f t="shared" si="18"/>
        <v>27.722222222222225</v>
      </c>
      <c r="H112" s="4" t="s">
        <v>1034</v>
      </c>
      <c r="I112" s="75" t="s">
        <v>1780</v>
      </c>
      <c r="J112" s="17">
        <f t="shared" si="36"/>
        <v>30.8</v>
      </c>
      <c r="K112" s="34">
        <f t="shared" si="37"/>
        <v>74.690000000000012</v>
      </c>
      <c r="L112" s="17">
        <f t="shared" si="38"/>
        <v>0.5</v>
      </c>
      <c r="M112" s="17">
        <f t="shared" si="39"/>
        <v>0.78993999999999998</v>
      </c>
      <c r="N112" s="17">
        <f t="shared" si="46"/>
        <v>1.9603697555881312</v>
      </c>
      <c r="O112" s="25">
        <f t="shared" si="40"/>
        <v>146.42001704487754</v>
      </c>
      <c r="P112" s="25">
        <f t="shared" si="41"/>
        <v>146.48039643334965</v>
      </c>
      <c r="Q112" s="31">
        <f t="shared" si="42"/>
        <v>995.97355036207273</v>
      </c>
      <c r="R112" s="17">
        <f t="shared" si="43"/>
        <v>100245.08849920001</v>
      </c>
      <c r="S112" s="17">
        <v>29.8</v>
      </c>
      <c r="T112" s="27">
        <f t="shared" si="44"/>
        <v>300.87222222222221</v>
      </c>
      <c r="U112" s="25">
        <f t="shared" si="45"/>
        <v>1.9189513155951323</v>
      </c>
    </row>
    <row r="113" spans="1:21" x14ac:dyDescent="0.35">
      <c r="A113" s="6" t="s">
        <v>104</v>
      </c>
      <c r="B113" s="6" t="s">
        <v>69</v>
      </c>
      <c r="C113" s="4" t="s">
        <v>1760</v>
      </c>
      <c r="D113" s="82">
        <v>14</v>
      </c>
      <c r="E113" s="49">
        <v>0.45726</v>
      </c>
      <c r="F113" s="4" t="s">
        <v>1772</v>
      </c>
      <c r="G113" s="82">
        <f t="shared" si="18"/>
        <v>28.716666666666665</v>
      </c>
      <c r="H113" s="4" t="s">
        <v>1034</v>
      </c>
      <c r="I113" s="75" t="s">
        <v>1780</v>
      </c>
      <c r="J113" s="17">
        <f t="shared" si="36"/>
        <v>29.3</v>
      </c>
      <c r="K113" s="34">
        <f t="shared" si="37"/>
        <v>59.822981999999996</v>
      </c>
      <c r="L113" s="17">
        <f t="shared" si="38"/>
        <v>0.5</v>
      </c>
      <c r="M113" s="17">
        <f t="shared" si="39"/>
        <v>0.78993999999999998</v>
      </c>
      <c r="N113" s="17">
        <f t="shared" si="46"/>
        <v>1.9603697555881312</v>
      </c>
      <c r="O113" s="25">
        <f t="shared" si="40"/>
        <v>117.27516460189317</v>
      </c>
      <c r="P113" s="25">
        <f t="shared" si="41"/>
        <v>117.33260343573193</v>
      </c>
      <c r="Q113" s="31">
        <f t="shared" si="42"/>
        <v>995.68087355131729</v>
      </c>
      <c r="R113" s="17">
        <f t="shared" si="43"/>
        <v>100245.08849920001</v>
      </c>
      <c r="S113" s="17">
        <v>30.8</v>
      </c>
      <c r="T113" s="27">
        <f t="shared" si="44"/>
        <v>301.86666666666662</v>
      </c>
      <c r="U113" s="25">
        <f t="shared" si="45"/>
        <v>1.9120915328017465</v>
      </c>
    </row>
    <row r="114" spans="1:21" x14ac:dyDescent="0.35">
      <c r="A114" s="6" t="s">
        <v>104</v>
      </c>
      <c r="B114" s="6" t="s">
        <v>9</v>
      </c>
      <c r="C114" s="4" t="s">
        <v>1761</v>
      </c>
      <c r="D114" s="82">
        <v>18</v>
      </c>
      <c r="E114" s="49">
        <v>0.37668000000000001</v>
      </c>
      <c r="F114" s="4" t="s">
        <v>1773</v>
      </c>
      <c r="G114" s="82">
        <f t="shared" si="18"/>
        <v>28.611111111111111</v>
      </c>
      <c r="H114" s="4" t="s">
        <v>1034</v>
      </c>
      <c r="I114" s="75" t="s">
        <v>1035</v>
      </c>
      <c r="J114" s="17">
        <f t="shared" si="36"/>
        <v>29.5</v>
      </c>
      <c r="K114" s="34">
        <f t="shared" si="37"/>
        <v>62.608440000000009</v>
      </c>
      <c r="L114" s="17">
        <f t="shared" si="38"/>
        <v>1</v>
      </c>
      <c r="M114" s="17">
        <f t="shared" si="39"/>
        <v>1.33</v>
      </c>
      <c r="N114" s="17">
        <f t="shared" si="46"/>
        <v>5.5571620888000011</v>
      </c>
      <c r="O114" s="25">
        <f t="shared" si="40"/>
        <v>347.9252492069096</v>
      </c>
      <c r="P114" s="25">
        <f t="shared" si="41"/>
        <v>348.08918548852915</v>
      </c>
      <c r="Q114" s="31">
        <f t="shared" si="42"/>
        <v>995.71235063263066</v>
      </c>
      <c r="R114" s="17">
        <f t="shared" si="43"/>
        <v>100018.44047360001</v>
      </c>
      <c r="S114" s="17">
        <v>31.8</v>
      </c>
      <c r="T114" s="27">
        <f t="shared" si="44"/>
        <v>301.76111111111106</v>
      </c>
      <c r="U114" s="25">
        <f t="shared" si="45"/>
        <v>5.4235962646036828</v>
      </c>
    </row>
    <row r="115" spans="1:21" x14ac:dyDescent="0.35">
      <c r="A115" s="6" t="s">
        <v>104</v>
      </c>
      <c r="B115" s="6" t="s">
        <v>14</v>
      </c>
      <c r="C115" s="4" t="s">
        <v>1762</v>
      </c>
      <c r="D115" s="82">
        <v>16</v>
      </c>
      <c r="E115" s="49">
        <v>0.37607000000000002</v>
      </c>
      <c r="F115" s="4" t="s">
        <v>1774</v>
      </c>
      <c r="G115" s="82">
        <f t="shared" si="18"/>
        <v>29.138888888888889</v>
      </c>
      <c r="H115" s="4" t="s">
        <v>1034</v>
      </c>
      <c r="I115" s="75" t="s">
        <v>1035</v>
      </c>
      <c r="J115" s="17">
        <f t="shared" si="36"/>
        <v>30.8</v>
      </c>
      <c r="K115" s="34">
        <f t="shared" si="37"/>
        <v>65.386244000000005</v>
      </c>
      <c r="L115" s="17">
        <f t="shared" si="38"/>
        <v>1</v>
      </c>
      <c r="M115" s="17">
        <f t="shared" si="39"/>
        <v>1.33</v>
      </c>
      <c r="N115" s="17">
        <f t="shared" si="46"/>
        <v>5.5571620888000011</v>
      </c>
      <c r="O115" s="35">
        <f t="shared" si="40"/>
        <v>363.36195628582658</v>
      </c>
      <c r="P115" s="35">
        <f t="shared" si="41"/>
        <v>363.53311687816159</v>
      </c>
      <c r="Q115" s="36">
        <f t="shared" si="42"/>
        <v>995.55399746095986</v>
      </c>
      <c r="R115" s="22">
        <f t="shared" si="43"/>
        <v>100018.44047360001</v>
      </c>
      <c r="S115" s="22">
        <v>32.799999999999997</v>
      </c>
      <c r="T115" s="37">
        <f t="shared" si="44"/>
        <v>302.28888888888889</v>
      </c>
      <c r="U115" s="35">
        <f t="shared" si="45"/>
        <v>5.4154829022516182</v>
      </c>
    </row>
    <row r="116" spans="1:21" x14ac:dyDescent="0.35">
      <c r="A116" s="6" t="s">
        <v>104</v>
      </c>
      <c r="B116" s="29" t="s">
        <v>18</v>
      </c>
      <c r="C116" s="4" t="s">
        <v>1763</v>
      </c>
      <c r="D116" s="82">
        <v>5</v>
      </c>
      <c r="E116" s="49">
        <v>0.16178000000000001</v>
      </c>
      <c r="F116" s="4" t="s">
        <v>1775</v>
      </c>
      <c r="G116" s="82">
        <f t="shared" si="18"/>
        <v>28.941111111111105</v>
      </c>
      <c r="H116" s="4" t="s">
        <v>1034</v>
      </c>
      <c r="I116" s="75" t="s">
        <v>1035</v>
      </c>
      <c r="J116" s="17">
        <f t="shared" si="36"/>
        <v>29.9</v>
      </c>
      <c r="K116" s="34">
        <f t="shared" si="37"/>
        <v>69.882878000000005</v>
      </c>
      <c r="L116" s="17">
        <f t="shared" si="38"/>
        <v>1</v>
      </c>
      <c r="M116" s="17">
        <f t="shared" si="39"/>
        <v>1.33</v>
      </c>
      <c r="N116" s="17">
        <f t="shared" si="46"/>
        <v>5.5571620888000011</v>
      </c>
      <c r="O116" s="25">
        <f t="shared" si="40"/>
        <v>388.35048027783569</v>
      </c>
      <c r="P116" s="25">
        <f t="shared" si="41"/>
        <v>388.51663942429076</v>
      </c>
      <c r="Q116" s="31">
        <f t="shared" si="42"/>
        <v>995.61362130910447</v>
      </c>
      <c r="R116" s="17">
        <f t="shared" si="43"/>
        <v>100018.44047360001</v>
      </c>
      <c r="S116" s="17">
        <v>33.799999999999997</v>
      </c>
      <c r="T116" s="27">
        <f t="shared" si="44"/>
        <v>302.0911111111111</v>
      </c>
      <c r="U116" s="25">
        <f t="shared" si="45"/>
        <v>5.4207329355736116</v>
      </c>
    </row>
    <row r="117" spans="1:21" x14ac:dyDescent="0.35">
      <c r="A117" s="6" t="s">
        <v>104</v>
      </c>
      <c r="B117" s="6" t="s">
        <v>26</v>
      </c>
      <c r="C117" s="4" t="s">
        <v>1764</v>
      </c>
      <c r="D117" s="82">
        <v>11</v>
      </c>
      <c r="E117" s="49">
        <v>0.34127000000000002</v>
      </c>
      <c r="F117" s="4" t="s">
        <v>1776</v>
      </c>
      <c r="G117" s="82">
        <f t="shared" si="18"/>
        <v>26.133888888888887</v>
      </c>
      <c r="H117" s="4" t="s">
        <v>1034</v>
      </c>
      <c r="I117" s="75" t="s">
        <v>1035</v>
      </c>
      <c r="J117" s="17">
        <f t="shared" si="36"/>
        <v>30.1</v>
      </c>
      <c r="K117" s="34">
        <f t="shared" si="37"/>
        <v>64.947672999999995</v>
      </c>
      <c r="L117" s="17">
        <f t="shared" si="38"/>
        <v>0.5</v>
      </c>
      <c r="M117" s="17">
        <f t="shared" si="39"/>
        <v>0.78993999999999998</v>
      </c>
      <c r="N117" s="17">
        <f t="shared" si="46"/>
        <v>1.9603697555881312</v>
      </c>
      <c r="O117" s="25">
        <f t="shared" si="40"/>
        <v>127.32145384502786</v>
      </c>
      <c r="P117" s="25">
        <f t="shared" si="41"/>
        <v>127.38046097467107</v>
      </c>
      <c r="Q117" s="31">
        <f t="shared" si="42"/>
        <v>996.42278996585151</v>
      </c>
      <c r="R117" s="17">
        <f t="shared" si="43"/>
        <v>100018.44047360001</v>
      </c>
      <c r="S117" s="17">
        <v>34.799999999999997</v>
      </c>
      <c r="T117" s="27">
        <f t="shared" si="44"/>
        <v>299.28388888888884</v>
      </c>
      <c r="U117" s="25">
        <f t="shared" si="45"/>
        <v>1.9301841883926072</v>
      </c>
    </row>
    <row r="118" spans="1:21" x14ac:dyDescent="0.35">
      <c r="A118" s="6" t="s">
        <v>104</v>
      </c>
      <c r="B118" s="6" t="s">
        <v>167</v>
      </c>
      <c r="C118" s="4" t="s">
        <v>1765</v>
      </c>
      <c r="D118" s="82">
        <v>3</v>
      </c>
      <c r="E118" s="49">
        <v>0.61416000000000004</v>
      </c>
      <c r="F118" s="4" t="s">
        <v>1777</v>
      </c>
      <c r="G118" s="82">
        <f t="shared" si="18"/>
        <v>29.089999999999996</v>
      </c>
      <c r="H118" s="4" t="s">
        <v>1034</v>
      </c>
      <c r="I118" s="75" t="s">
        <v>1035</v>
      </c>
      <c r="J118" s="17">
        <f t="shared" si="36"/>
        <v>29.9</v>
      </c>
      <c r="K118" s="34">
        <f t="shared" si="37"/>
        <v>56.356715999999999</v>
      </c>
      <c r="L118" s="17">
        <f t="shared" si="38"/>
        <v>0.5</v>
      </c>
      <c r="M118" s="17">
        <f t="shared" si="39"/>
        <v>0.78993999999999998</v>
      </c>
      <c r="N118" s="17">
        <f t="shared" si="46"/>
        <v>1.9603697555881312</v>
      </c>
      <c r="O118" s="25">
        <f t="shared" si="40"/>
        <v>110.48000157066971</v>
      </c>
      <c r="P118" s="25">
        <f t="shared" si="41"/>
        <v>110.5386166263618</v>
      </c>
      <c r="Q118" s="31">
        <f t="shared" si="42"/>
        <v>995.56876742503334</v>
      </c>
      <c r="R118" s="17">
        <f t="shared" si="43"/>
        <v>100018.44047360001</v>
      </c>
      <c r="S118" s="17">
        <v>35.799999999999997</v>
      </c>
      <c r="T118" s="27">
        <f t="shared" si="44"/>
        <v>302.23999999999995</v>
      </c>
      <c r="U118" s="25">
        <f t="shared" si="45"/>
        <v>1.911026602045794</v>
      </c>
    </row>
    <row r="119" spans="1:21" x14ac:dyDescent="0.35">
      <c r="A119" s="6" t="s">
        <v>104</v>
      </c>
      <c r="B119" s="6" t="s">
        <v>60</v>
      </c>
      <c r="C119" s="4" t="s">
        <v>1781</v>
      </c>
      <c r="D119" s="82">
        <v>4</v>
      </c>
      <c r="E119" s="49">
        <v>0.42674000000000001</v>
      </c>
      <c r="F119" s="4" t="s">
        <v>1782</v>
      </c>
      <c r="G119" s="82">
        <f t="shared" si="18"/>
        <v>24.749999999999996</v>
      </c>
      <c r="H119" s="4" t="s">
        <v>1034</v>
      </c>
      <c r="I119" s="75">
        <v>746.1</v>
      </c>
      <c r="J119" s="17">
        <f t="shared" ref="J119:J128" si="47">IF(D119=1, 32.2,IF(D119=2, 30.8, IF(D119=3, 29.9, IF(D119=4, 29.6, IF(D119=5, 29.9, IF(D119=6, 30.2, IF(D119=7, 30.4, IF(D119=8, 28, IF(D119=9, 32.2, IF(D119=10, 30.1, IF(D119=11, 30.1, IF(D119=12, 29.2, IF(D119=13, 30.8,IF(D119=14,29.3, IF(D119=15,30.2,IF(D119=16, 30.8,IF(D119=17,30.1,IF(D119=18,29.5,IF(D119=19,28.7,IF(D119=20,30.2,IF(D119=21,31.7, "NOT LISTED")))))))))))))))))))))</f>
        <v>29.6</v>
      </c>
      <c r="K119" s="34">
        <f t="shared" ref="K119:K128" si="48">J119*(H119-E119)</f>
        <v>61.338896000000005</v>
      </c>
      <c r="L119" s="17">
        <f t="shared" si="38"/>
        <v>0.5</v>
      </c>
      <c r="M119" s="17">
        <f t="shared" si="39"/>
        <v>0.78993999999999998</v>
      </c>
      <c r="N119" s="17">
        <f t="shared" si="46"/>
        <v>1.9603697555881312</v>
      </c>
      <c r="O119" s="25">
        <f t="shared" ref="O119:O128" si="49">K119*N119</f>
        <v>120.2469165595658</v>
      </c>
      <c r="P119" s="25">
        <f t="shared" ref="P119:P128" si="50">(J119*(2.5-E119))*N119</f>
        <v>120.30494350433121</v>
      </c>
      <c r="Q119" s="31">
        <f t="shared" ref="Q119:Q128" si="51">(999.83952+16.945176*G119-0.00798704*G119^2-0.000046170461*G119^3+0.00000010556302*G119^4-0.00000000028054253*G119^5)/(1+0.01689785*G119)</f>
        <v>996.79549124487619</v>
      </c>
      <c r="R119" s="17">
        <f t="shared" ref="R119:R128" si="52">IF(I119="NA", 101325, I119*133.322368)</f>
        <v>99471.818764800017</v>
      </c>
      <c r="S119" s="17">
        <v>36.799999999999997</v>
      </c>
      <c r="T119" s="27">
        <f t="shared" ref="T119:T128" si="53">G119+273.15</f>
        <v>297.89999999999998</v>
      </c>
      <c r="U119" s="25">
        <f t="shared" ref="U119:U128" si="54">(1+((Q119*S119/R119/100)*(1+0.01*K119)))*N119*(293/T119)</f>
        <v>1.9395963735120194</v>
      </c>
    </row>
    <row r="120" spans="1:21" x14ac:dyDescent="0.35">
      <c r="A120" s="6" t="s">
        <v>104</v>
      </c>
      <c r="B120" s="29" t="s">
        <v>64</v>
      </c>
      <c r="C120" s="4" t="s">
        <v>1785</v>
      </c>
      <c r="D120" s="82">
        <v>2</v>
      </c>
      <c r="E120" s="49">
        <v>3.9070000000000001E-2</v>
      </c>
      <c r="F120" s="4" t="s">
        <v>1786</v>
      </c>
      <c r="G120" s="82">
        <f t="shared" si="18"/>
        <v>26.867222222222225</v>
      </c>
      <c r="H120" s="4" t="s">
        <v>1034</v>
      </c>
      <c r="I120" s="75">
        <v>746.1</v>
      </c>
      <c r="J120" s="17">
        <f t="shared" si="47"/>
        <v>30.8</v>
      </c>
      <c r="K120" s="34">
        <f t="shared" si="48"/>
        <v>75.765844000000001</v>
      </c>
      <c r="L120" s="17">
        <f t="shared" si="38"/>
        <v>0.5</v>
      </c>
      <c r="M120" s="17">
        <f t="shared" si="39"/>
        <v>0.78993999999999998</v>
      </c>
      <c r="N120" s="17">
        <f t="shared" si="46"/>
        <v>1.9603697555881312</v>
      </c>
      <c r="O120" s="25">
        <f t="shared" si="49"/>
        <v>148.52906908420849</v>
      </c>
      <c r="P120" s="25">
        <f t="shared" si="50"/>
        <v>148.5894484726806</v>
      </c>
      <c r="Q120" s="31">
        <f t="shared" si="51"/>
        <v>996.21819231440816</v>
      </c>
      <c r="R120" s="17">
        <f t="shared" si="52"/>
        <v>99471.818764800017</v>
      </c>
      <c r="S120" s="17">
        <v>37.799999999999997</v>
      </c>
      <c r="T120" s="27">
        <f t="shared" si="53"/>
        <v>300.01722222222219</v>
      </c>
      <c r="U120" s="25">
        <f t="shared" si="54"/>
        <v>1.9272570274422964</v>
      </c>
    </row>
    <row r="121" spans="1:21" x14ac:dyDescent="0.35">
      <c r="A121" s="6" t="s">
        <v>104</v>
      </c>
      <c r="B121" s="6" t="s">
        <v>69</v>
      </c>
      <c r="C121" s="4" t="s">
        <v>1789</v>
      </c>
      <c r="D121" s="82">
        <v>14</v>
      </c>
      <c r="E121" s="49">
        <v>0.39316000000000001</v>
      </c>
      <c r="F121" s="4" t="s">
        <v>616</v>
      </c>
      <c r="G121" s="82">
        <f t="shared" si="18"/>
        <v>27.456111111111113</v>
      </c>
      <c r="H121" s="4" t="s">
        <v>1034</v>
      </c>
      <c r="I121" s="75">
        <v>746.1</v>
      </c>
      <c r="J121" s="17">
        <f t="shared" si="47"/>
        <v>29.3</v>
      </c>
      <c r="K121" s="34">
        <f t="shared" si="48"/>
        <v>61.701112000000009</v>
      </c>
      <c r="L121" s="17">
        <f t="shared" si="38"/>
        <v>0.5</v>
      </c>
      <c r="M121" s="17">
        <f t="shared" si="39"/>
        <v>0.78993999999999998</v>
      </c>
      <c r="N121" s="17">
        <f t="shared" ref="N121:N131" si="55">$M121^2*3.141592</f>
        <v>1.9603697555881312</v>
      </c>
      <c r="O121" s="25">
        <f t="shared" si="49"/>
        <v>120.95699385095593</v>
      </c>
      <c r="P121" s="25">
        <f t="shared" si="50"/>
        <v>121.01443268479464</v>
      </c>
      <c r="Q121" s="31">
        <f t="shared" si="51"/>
        <v>996.05039132692082</v>
      </c>
      <c r="R121" s="17">
        <f t="shared" si="52"/>
        <v>99471.818764800017</v>
      </c>
      <c r="S121" s="17">
        <v>38.799999999999997</v>
      </c>
      <c r="T121" s="27">
        <f t="shared" si="53"/>
        <v>300.60611111111109</v>
      </c>
      <c r="U121" s="25">
        <f t="shared" si="54"/>
        <v>1.9227715526677649</v>
      </c>
    </row>
    <row r="122" spans="1:21" x14ac:dyDescent="0.35">
      <c r="A122" s="6" t="s">
        <v>104</v>
      </c>
      <c r="B122" s="6" t="s">
        <v>9</v>
      </c>
      <c r="C122" s="4" t="s">
        <v>1795</v>
      </c>
      <c r="D122" s="82">
        <v>18</v>
      </c>
      <c r="E122" s="49">
        <v>0.33578000000000002</v>
      </c>
      <c r="F122" s="4" t="s">
        <v>1796</v>
      </c>
      <c r="G122" s="82">
        <f t="shared" si="18"/>
        <v>23.16</v>
      </c>
      <c r="H122" s="4" t="s">
        <v>1034</v>
      </c>
      <c r="I122" s="75" t="s">
        <v>1794</v>
      </c>
      <c r="J122" s="17">
        <f t="shared" si="47"/>
        <v>29.5</v>
      </c>
      <c r="K122" s="34">
        <f t="shared" si="48"/>
        <v>63.814989999999995</v>
      </c>
      <c r="L122" s="17">
        <f t="shared" si="38"/>
        <v>1</v>
      </c>
      <c r="M122" s="17">
        <f t="shared" si="39"/>
        <v>1.33</v>
      </c>
      <c r="N122" s="17">
        <f t="shared" si="55"/>
        <v>5.5571620888000011</v>
      </c>
      <c r="O122" s="25">
        <f t="shared" si="49"/>
        <v>354.63024312515114</v>
      </c>
      <c r="P122" s="25">
        <f t="shared" si="50"/>
        <v>354.79417940677075</v>
      </c>
      <c r="Q122" s="31">
        <f t="shared" si="51"/>
        <v>997.20157363118051</v>
      </c>
      <c r="R122" s="17">
        <f t="shared" si="52"/>
        <v>101178.34507520001</v>
      </c>
      <c r="S122" s="17">
        <v>39.799999999999997</v>
      </c>
      <c r="T122" s="27">
        <f t="shared" si="53"/>
        <v>296.31</v>
      </c>
      <c r="U122" s="25">
        <f t="shared" si="54"/>
        <v>5.5303952246387187</v>
      </c>
    </row>
    <row r="123" spans="1:21" x14ac:dyDescent="0.35">
      <c r="A123" s="6" t="s">
        <v>104</v>
      </c>
      <c r="B123" s="6" t="s">
        <v>14</v>
      </c>
      <c r="C123" s="4" t="s">
        <v>1792</v>
      </c>
      <c r="D123" s="82">
        <v>16</v>
      </c>
      <c r="E123" s="49">
        <v>0.25274999999999997</v>
      </c>
      <c r="F123" s="4" t="s">
        <v>1793</v>
      </c>
      <c r="G123" s="82">
        <f t="shared" si="18"/>
        <v>23.592777777777776</v>
      </c>
      <c r="H123" s="4" t="s">
        <v>1034</v>
      </c>
      <c r="I123" s="75" t="s">
        <v>1794</v>
      </c>
      <c r="J123" s="17">
        <f t="shared" si="47"/>
        <v>30.8</v>
      </c>
      <c r="K123" s="34">
        <f t="shared" si="48"/>
        <v>69.184500000000014</v>
      </c>
      <c r="L123" s="17">
        <f t="shared" ref="L123:L131" si="56">IF(OR(B123="P4",B123="P5",B123="EUS3",B123="EUS",B123="EUS2"),1,0.5)</f>
        <v>1</v>
      </c>
      <c r="M123" s="17">
        <f t="shared" ref="M123:M131" si="57">IF(L123 = 0.5, 0.78994,IF(L123=1, 1.33, "NOT LISTED"))</f>
        <v>1.33</v>
      </c>
      <c r="N123" s="17">
        <f t="shared" si="55"/>
        <v>5.5571620888000011</v>
      </c>
      <c r="O123" s="25">
        <f t="shared" si="49"/>
        <v>384.46948053258376</v>
      </c>
      <c r="P123" s="25">
        <f t="shared" si="50"/>
        <v>384.64064112491877</v>
      </c>
      <c r="Q123" s="31">
        <f t="shared" si="51"/>
        <v>997.09342462427844</v>
      </c>
      <c r="R123" s="17">
        <f t="shared" si="52"/>
        <v>101178.34507520001</v>
      </c>
      <c r="S123" s="17">
        <v>40.799999999999997</v>
      </c>
      <c r="T123" s="27">
        <f t="shared" si="53"/>
        <v>296.74277777777775</v>
      </c>
      <c r="U123" s="25">
        <f t="shared" si="54"/>
        <v>5.5243961673992859</v>
      </c>
    </row>
    <row r="124" spans="1:21" x14ac:dyDescent="0.35">
      <c r="A124" s="6" t="s">
        <v>104</v>
      </c>
      <c r="B124" s="6" t="s">
        <v>26</v>
      </c>
      <c r="C124" s="4" t="s">
        <v>1801</v>
      </c>
      <c r="D124" s="82">
        <v>11</v>
      </c>
      <c r="E124" s="49">
        <v>0.20147000000000001</v>
      </c>
      <c r="F124" s="4" t="s">
        <v>621</v>
      </c>
      <c r="G124" s="82">
        <f t="shared" si="18"/>
        <v>22.728888888888893</v>
      </c>
      <c r="H124" s="4" t="s">
        <v>1034</v>
      </c>
      <c r="I124" s="75" t="s">
        <v>1794</v>
      </c>
      <c r="J124" s="17">
        <f t="shared" si="47"/>
        <v>30.1</v>
      </c>
      <c r="K124" s="34">
        <f t="shared" si="48"/>
        <v>69.155653000000001</v>
      </c>
      <c r="L124" s="17">
        <f t="shared" si="56"/>
        <v>0.5</v>
      </c>
      <c r="M124" s="17">
        <f t="shared" si="57"/>
        <v>0.78993999999999998</v>
      </c>
      <c r="N124" s="17">
        <f t="shared" si="55"/>
        <v>1.9603697555881312</v>
      </c>
      <c r="O124" s="25">
        <f t="shared" si="49"/>
        <v>135.5706505691476</v>
      </c>
      <c r="P124" s="25">
        <f t="shared" si="50"/>
        <v>135.62965769879082</v>
      </c>
      <c r="Q124" s="31">
        <f t="shared" si="51"/>
        <v>997.30751203907448</v>
      </c>
      <c r="R124" s="17">
        <f t="shared" si="52"/>
        <v>101178.34507520001</v>
      </c>
      <c r="S124" s="17">
        <v>43.8</v>
      </c>
      <c r="T124" s="27">
        <f t="shared" si="53"/>
        <v>295.87888888888887</v>
      </c>
      <c r="U124" s="25">
        <f t="shared" si="54"/>
        <v>1.955472750195421</v>
      </c>
    </row>
    <row r="125" spans="1:21" x14ac:dyDescent="0.35">
      <c r="A125" s="6" t="s">
        <v>104</v>
      </c>
      <c r="B125" s="6" t="s">
        <v>167</v>
      </c>
      <c r="C125" s="4" t="s">
        <v>1804</v>
      </c>
      <c r="D125" s="82">
        <v>3</v>
      </c>
      <c r="E125" s="49">
        <v>0.61355000000000004</v>
      </c>
      <c r="F125" s="4" t="s">
        <v>1805</v>
      </c>
      <c r="G125" s="82">
        <f t="shared" si="18"/>
        <v>25.962777777777781</v>
      </c>
      <c r="H125" s="4" t="s">
        <v>1034</v>
      </c>
      <c r="I125" s="75" t="s">
        <v>1794</v>
      </c>
      <c r="J125" s="17">
        <f t="shared" si="47"/>
        <v>29.9</v>
      </c>
      <c r="K125" s="34">
        <f t="shared" si="48"/>
        <v>56.374955</v>
      </c>
      <c r="L125" s="17">
        <f t="shared" si="56"/>
        <v>0.5</v>
      </c>
      <c r="M125" s="17">
        <f t="shared" si="57"/>
        <v>0.78993999999999998</v>
      </c>
      <c r="N125" s="17">
        <f t="shared" si="55"/>
        <v>1.9603697555881312</v>
      </c>
      <c r="O125" s="25">
        <f t="shared" si="49"/>
        <v>110.5157567546419</v>
      </c>
      <c r="P125" s="25">
        <f t="shared" si="50"/>
        <v>110.57437181033397</v>
      </c>
      <c r="Q125" s="31">
        <f t="shared" si="51"/>
        <v>996.46982691726271</v>
      </c>
      <c r="R125" s="17">
        <f t="shared" si="52"/>
        <v>101178.34507520001</v>
      </c>
      <c r="S125" s="17">
        <v>44.8</v>
      </c>
      <c r="T125" s="27">
        <f t="shared" si="53"/>
        <v>299.11277777777775</v>
      </c>
      <c r="U125" s="25">
        <f t="shared" si="54"/>
        <v>1.9335562095104417</v>
      </c>
    </row>
    <row r="126" spans="1:21" x14ac:dyDescent="0.35">
      <c r="A126" s="6" t="s">
        <v>104</v>
      </c>
      <c r="B126" s="72" t="s">
        <v>18</v>
      </c>
      <c r="C126" s="4" t="s">
        <v>1879</v>
      </c>
      <c r="D126" s="12">
        <v>5</v>
      </c>
      <c r="E126" s="91">
        <v>0.11783</v>
      </c>
      <c r="F126" s="90">
        <v>67.67</v>
      </c>
      <c r="G126" s="82">
        <f t="shared" si="18"/>
        <v>19.816666666666666</v>
      </c>
      <c r="H126" s="4" t="s">
        <v>1034</v>
      </c>
      <c r="I126" s="4" t="s">
        <v>1880</v>
      </c>
      <c r="J126" s="17">
        <f t="shared" si="47"/>
        <v>29.9</v>
      </c>
      <c r="K126" s="34">
        <f t="shared" si="48"/>
        <v>71.196983000000003</v>
      </c>
      <c r="L126" s="17">
        <f t="shared" si="56"/>
        <v>1</v>
      </c>
      <c r="M126" s="17">
        <f t="shared" si="57"/>
        <v>1.33</v>
      </c>
      <c r="N126" s="17">
        <f t="shared" si="55"/>
        <v>5.5571620888000011</v>
      </c>
      <c r="O126" s="25">
        <f t="shared" si="49"/>
        <v>395.65317476453816</v>
      </c>
      <c r="P126" s="25">
        <f t="shared" si="50"/>
        <v>395.81933391099324</v>
      </c>
      <c r="Q126" s="31">
        <f t="shared" si="51"/>
        <v>997.97504736983308</v>
      </c>
      <c r="R126" s="17">
        <f t="shared" si="52"/>
        <v>101724.966784</v>
      </c>
      <c r="S126" s="17">
        <v>45.8</v>
      </c>
      <c r="T126" s="27">
        <f t="shared" si="53"/>
        <v>292.96666666666664</v>
      </c>
      <c r="U126" s="25">
        <f t="shared" si="54"/>
        <v>5.6005463501605819</v>
      </c>
    </row>
    <row r="127" spans="1:21" x14ac:dyDescent="0.35">
      <c r="A127" s="6" t="s">
        <v>104</v>
      </c>
      <c r="B127" s="6" t="s">
        <v>64</v>
      </c>
      <c r="C127" s="4" t="s">
        <v>1928</v>
      </c>
      <c r="D127" s="12">
        <v>2</v>
      </c>
      <c r="E127" s="49">
        <v>0.10501000000000001</v>
      </c>
      <c r="F127">
        <v>76.2</v>
      </c>
      <c r="G127" s="12">
        <f t="shared" si="18"/>
        <v>24.555555555555557</v>
      </c>
      <c r="H127">
        <v>2.0879099999999999</v>
      </c>
      <c r="I127" s="75">
        <v>769.6</v>
      </c>
      <c r="J127" s="17">
        <f t="shared" si="47"/>
        <v>30.8</v>
      </c>
      <c r="K127" s="34">
        <f t="shared" si="48"/>
        <v>61.073319999999995</v>
      </c>
      <c r="L127" s="17">
        <f t="shared" si="56"/>
        <v>0.5</v>
      </c>
      <c r="M127" s="17">
        <f t="shared" si="57"/>
        <v>0.78993999999999998</v>
      </c>
      <c r="N127" s="17">
        <f t="shared" si="55"/>
        <v>1.9603697555881312</v>
      </c>
      <c r="O127" s="25">
        <f t="shared" si="49"/>
        <v>119.72628940135571</v>
      </c>
      <c r="P127" s="25">
        <f t="shared" si="50"/>
        <v>144.60803159682936</v>
      </c>
      <c r="Q127" s="31">
        <f t="shared" si="51"/>
        <v>996.84643436628016</v>
      </c>
      <c r="R127" s="17">
        <f t="shared" si="52"/>
        <v>102604.89441280001</v>
      </c>
      <c r="S127" s="17">
        <v>46.8</v>
      </c>
      <c r="T127" s="27">
        <f t="shared" si="53"/>
        <v>297.70555555555552</v>
      </c>
      <c r="U127" s="25">
        <f t="shared" si="54"/>
        <v>1.9435142097287832</v>
      </c>
    </row>
    <row r="128" spans="1:21" x14ac:dyDescent="0.35">
      <c r="A128" s="6" t="s">
        <v>104</v>
      </c>
      <c r="B128" s="6" t="s">
        <v>69</v>
      </c>
      <c r="C128" s="4" t="s">
        <v>1851</v>
      </c>
      <c r="D128" s="12">
        <v>11</v>
      </c>
      <c r="E128" s="49">
        <v>0.35836000000000001</v>
      </c>
      <c r="F128">
        <v>75.766999999999996</v>
      </c>
      <c r="G128" s="12">
        <f t="shared" si="18"/>
        <v>24.314999999999998</v>
      </c>
      <c r="H128">
        <v>1.84737</v>
      </c>
      <c r="I128" s="75">
        <v>769.6</v>
      </c>
      <c r="J128" s="17">
        <f t="shared" si="47"/>
        <v>30.1</v>
      </c>
      <c r="K128" s="34">
        <f t="shared" si="48"/>
        <v>44.819201</v>
      </c>
      <c r="L128" s="17">
        <f t="shared" si="56"/>
        <v>0.5</v>
      </c>
      <c r="M128" s="17">
        <f t="shared" si="57"/>
        <v>0.78993999999999998</v>
      </c>
      <c r="N128" s="17">
        <f t="shared" si="55"/>
        <v>1.9603697555881312</v>
      </c>
      <c r="O128" s="25">
        <f t="shared" si="49"/>
        <v>87.862206110025326</v>
      </c>
      <c r="P128" s="25">
        <f t="shared" si="50"/>
        <v>126.37202912906874</v>
      </c>
      <c r="Q128" s="31">
        <f t="shared" si="51"/>
        <v>996.90896736353056</v>
      </c>
      <c r="R128" s="17">
        <f t="shared" si="52"/>
        <v>102604.89441280001</v>
      </c>
      <c r="S128" s="17">
        <v>47.8</v>
      </c>
      <c r="T128" s="27">
        <f t="shared" si="53"/>
        <v>297.46499999999997</v>
      </c>
      <c r="U128" s="25">
        <f t="shared" si="54"/>
        <v>1.9439313445587314</v>
      </c>
    </row>
    <row r="129" spans="1:21" x14ac:dyDescent="0.35">
      <c r="A129" s="6" t="s">
        <v>104</v>
      </c>
      <c r="B129" s="6" t="s">
        <v>64</v>
      </c>
      <c r="C129" s="4" t="s">
        <v>1939</v>
      </c>
      <c r="D129" s="12">
        <v>2</v>
      </c>
      <c r="E129" s="49">
        <v>3.7850000000000002E-2</v>
      </c>
      <c r="F129">
        <v>76.507000000000005</v>
      </c>
      <c r="G129" s="12">
        <f>CONVERT(F129,"F","C")</f>
        <v>24.726111111111113</v>
      </c>
      <c r="H129">
        <v>1.45482</v>
      </c>
      <c r="I129" s="75">
        <v>766.1</v>
      </c>
      <c r="J129" s="17">
        <f t="shared" ref="J129" si="58">IF(D129=1, 32.2,IF(D129=2, 30.8, IF(D129=3, 29.9, IF(D129=4, 29.6, IF(D129=5, 29.9, IF(D129=6, 30.2, IF(D129=7, 30.4, IF(D129=8, 28, IF(D129=9, 32.2, IF(D129=10, 30.1, IF(D129=11, 30.1, IF(D129=12, 29.2, IF(D129=13, 30.8,IF(D129=14,29.3, IF(D129=15,30.2,IF(D129=16, 30.8,IF(D129=17,30.1,IF(D129=18,29.5,IF(D129=19,28.7,IF(D129=20,30.2,IF(D129=21,31.7, "NOT LISTED")))))))))))))))))))))</f>
        <v>30.8</v>
      </c>
      <c r="K129" s="34">
        <f t="shared" ref="K129" si="59">J129*(H129-E129)</f>
        <v>43.642676000000002</v>
      </c>
      <c r="L129" s="17">
        <f>IF(OR(B129="P4",B129="P5",B129="EUS3",B129="EUS",B129="EUS2"),1,0.5)</f>
        <v>0.5</v>
      </c>
      <c r="M129" s="17">
        <f>IF(L129 = 0.5, 0.78994,IF(L129=1, 1.33, "NOT LISTED"))</f>
        <v>0.78993999999999998</v>
      </c>
      <c r="N129" s="17">
        <f>$M129^2*3.141592</f>
        <v>1.9603697555881312</v>
      </c>
      <c r="O129" s="25">
        <f t="shared" ref="O129" si="60">K129*N129</f>
        <v>85.555782083332005</v>
      </c>
      <c r="P129" s="25">
        <f t="shared" ref="P129" si="61">(J129*(2.5-E129))*N129</f>
        <v>148.66311132661659</v>
      </c>
      <c r="Q129" s="31">
        <f t="shared" ref="Q129" si="62">(999.83952+16.945176*G129-0.00798704*G129^2-0.000046170461*G129^3+0.00000010556302*G129^4-0.00000000028054253*G129^5)/(1+0.01689785*G129)</f>
        <v>996.80176903662516</v>
      </c>
      <c r="R129" s="17">
        <f t="shared" ref="R129" si="63">IF(I129="NA", 101325, I129*133.322368)</f>
        <v>102138.26612480001</v>
      </c>
      <c r="S129" s="17">
        <v>50.8</v>
      </c>
      <c r="T129" s="27">
        <f t="shared" ref="T129" si="64">G129+273.15</f>
        <v>297.87611111111107</v>
      </c>
      <c r="U129" s="25">
        <f t="shared" ref="U129" si="65">(1+((Q129*S129/R129/100)*(1+0.01*K129)))*N129*(293/T129)</f>
        <v>1.9420114136782141</v>
      </c>
    </row>
    <row r="130" spans="1:21" x14ac:dyDescent="0.35">
      <c r="A130" s="6" t="s">
        <v>104</v>
      </c>
      <c r="B130" s="6" t="s">
        <v>69</v>
      </c>
      <c r="C130" s="4" t="s">
        <v>1864</v>
      </c>
      <c r="D130" s="12">
        <v>11</v>
      </c>
      <c r="E130" s="49">
        <v>0.52990000000000004</v>
      </c>
      <c r="F130">
        <v>75.984999999999999</v>
      </c>
      <c r="G130" s="12">
        <f>CONVERT(F130,"F","C")</f>
        <v>24.43611111111111</v>
      </c>
      <c r="H130">
        <v>2.2173400000000001</v>
      </c>
      <c r="I130" s="75">
        <v>766.1</v>
      </c>
      <c r="J130" s="17">
        <f t="shared" ref="J130" si="66">IF(D130=1, 32.2,IF(D130=2, 30.8, IF(D130=3, 29.9, IF(D130=4, 29.6, IF(D130=5, 29.9, IF(D130=6, 30.2, IF(D130=7, 30.4, IF(D130=8, 28, IF(D130=9, 32.2, IF(D130=10, 30.1, IF(D130=11, 30.1, IF(D130=12, 29.2, IF(D130=13, 30.8,IF(D130=14,29.3, IF(D130=15,30.2,IF(D130=16, 30.8,IF(D130=17,30.1,IF(D130=18,29.5,IF(D130=19,28.7,IF(D130=20,30.2,IF(D130=21,31.7, "NOT LISTED")))))))))))))))))))))</f>
        <v>30.1</v>
      </c>
      <c r="K130" s="34">
        <f t="shared" ref="K130" si="67">J130*(H130-E130)</f>
        <v>50.791944000000001</v>
      </c>
      <c r="L130" s="17">
        <f>IF(OR(B130="P4",B130="P5",B130="EUS3",B130="EUS",B130="EUS2"),1,0.5)</f>
        <v>0.5</v>
      </c>
      <c r="M130" s="17">
        <f>IF(L130 = 0.5, 0.78994,IF(L130=1, 1.33, "NOT LISTED"))</f>
        <v>0.78993999999999998</v>
      </c>
      <c r="N130" s="17">
        <f>$M130^2*3.141592</f>
        <v>1.9603697555881312</v>
      </c>
      <c r="O130" s="25">
        <f t="shared" ref="O130" si="68">K130*N130</f>
        <v>99.570990845126047</v>
      </c>
      <c r="P130" s="25">
        <f t="shared" ref="P130" si="69">(J130*(2.5-E130))*N130</f>
        <v>116.24994611007374</v>
      </c>
      <c r="Q130" s="31">
        <f t="shared" ref="Q130" si="70">(999.83952+16.945176*G130-0.00798704*G130^2-0.000046170461*G130^3+0.00000010556302*G130^4-0.00000000028054253*G130^5)/(1+0.01689785*G130)</f>
        <v>996.87755223893066</v>
      </c>
      <c r="R130" s="17">
        <f t="shared" ref="R130" si="71">IF(I130="NA", 101325, I130*133.322368)</f>
        <v>102138.26612480001</v>
      </c>
      <c r="S130" s="17">
        <v>51.8</v>
      </c>
      <c r="T130" s="27">
        <f t="shared" ref="T130" si="72">G130+273.15</f>
        <v>297.58611111111111</v>
      </c>
      <c r="U130" s="25">
        <f t="shared" ref="U130" si="73">(1+((Q130*S130/R130/100)*(1+0.01*K130)))*N130*(293/T130)</f>
        <v>1.9448732153432085</v>
      </c>
    </row>
    <row r="131" spans="1:21" x14ac:dyDescent="0.35">
      <c r="A131" s="6" t="s">
        <v>104</v>
      </c>
      <c r="B131" s="6" t="s">
        <v>25</v>
      </c>
      <c r="C131" s="4" t="s">
        <v>1932</v>
      </c>
      <c r="D131" s="12">
        <v>4</v>
      </c>
      <c r="E131" s="49">
        <v>0.41514000000000001</v>
      </c>
      <c r="F131">
        <v>92.527000000000001</v>
      </c>
      <c r="G131" s="12">
        <f t="shared" si="18"/>
        <v>33.626111111111108</v>
      </c>
      <c r="H131">
        <v>2.4749699999999999</v>
      </c>
      <c r="I131" s="75">
        <v>766.06399999999996</v>
      </c>
      <c r="J131" s="17">
        <f t="shared" ref="J131" si="74">IF(D131=1, 32.2,IF(D131=2, 30.8, IF(D131=3, 29.9, IF(D131=4, 29.6, IF(D131=5, 29.9, IF(D131=6, 30.2, IF(D131=7, 30.4, IF(D131=8, 28, IF(D131=9, 32.2, IF(D131=10, 30.1, IF(D131=11, 30.1, IF(D131=12, 29.2, IF(D131=13, 30.8,IF(D131=14,29.3, IF(D131=15,30.2,IF(D131=16, 30.8,IF(D131=17,30.1,IF(D131=18,29.5,IF(D131=19,28.7,IF(D131=20,30.2,IF(D131=21,31.7, "NOT LISTED")))))))))))))))))))))</f>
        <v>29.6</v>
      </c>
      <c r="K131" s="34">
        <f t="shared" ref="K131" si="75">J131*(H131-E131)</f>
        <v>60.970967999999999</v>
      </c>
      <c r="L131" s="17">
        <f t="shared" si="56"/>
        <v>0.5</v>
      </c>
      <c r="M131" s="17">
        <f t="shared" si="57"/>
        <v>0.78993999999999998</v>
      </c>
      <c r="N131" s="17">
        <f t="shared" si="55"/>
        <v>1.9603697555881312</v>
      </c>
      <c r="O131" s="25">
        <f t="shared" ref="O131" si="76">K131*N131</f>
        <v>119.52564163613177</v>
      </c>
      <c r="P131" s="25">
        <f t="shared" ref="P131" si="77">(J131*(2.5-E131))*N131</f>
        <v>120.97805606360996</v>
      </c>
      <c r="Q131" s="31">
        <f t="shared" ref="Q131" si="78">(999.83952+16.945176*G131-0.00798704*G131^2-0.000046170461*G131^3+0.00000010556302*G131^4-0.00000000028054253*G131^5)/(1+0.01689785*G131)</f>
        <v>994.11256454618217</v>
      </c>
      <c r="R131" s="17">
        <f t="shared" ref="R131" si="79">IF(I131="NA", 101325, I131*133.322368)</f>
        <v>102133.46651955201</v>
      </c>
      <c r="S131" s="17">
        <v>48.8</v>
      </c>
      <c r="T131" s="27">
        <f t="shared" ref="T131" si="80">G131+273.15</f>
        <v>306.77611111111111</v>
      </c>
      <c r="U131" s="25">
        <f t="shared" ref="U131" si="81">(1+((Q131*S131/R131/100)*(1+0.01*K131)))*N131*(293/T131)</f>
        <v>1.8866531534476052</v>
      </c>
    </row>
    <row r="132" spans="1:21" x14ac:dyDescent="0.35">
      <c r="A132" s="6" t="s">
        <v>104</v>
      </c>
      <c r="B132" s="6" t="s">
        <v>9</v>
      </c>
      <c r="C132" s="4" t="s">
        <v>1865</v>
      </c>
      <c r="D132" s="12">
        <v>18</v>
      </c>
      <c r="E132" s="49">
        <v>0.34921000000000002</v>
      </c>
      <c r="F132">
        <v>85.034999999999997</v>
      </c>
      <c r="G132" s="12">
        <f>CONVERT(F132,"F","C")</f>
        <v>29.463888888888885</v>
      </c>
      <c r="H132">
        <v>2.4990000000000001</v>
      </c>
      <c r="I132" s="75">
        <v>766.06399999999996</v>
      </c>
      <c r="J132" s="17">
        <f t="shared" ref="J132" si="82">IF(D132=1, 32.2,IF(D132=2, 30.8, IF(D132=3, 29.9, IF(D132=4, 29.6, IF(D132=5, 29.9, IF(D132=6, 30.2, IF(D132=7, 30.4, IF(D132=8, 28, IF(D132=9, 32.2, IF(D132=10, 30.1, IF(D132=11, 30.1, IF(D132=12, 29.2, IF(D132=13, 30.8,IF(D132=14,29.3, IF(D132=15,30.2,IF(D132=16, 30.8,IF(D132=17,30.1,IF(D132=18,29.5,IF(D132=19,28.7,IF(D132=20,30.2,IF(D132=21,31.7, "NOT LISTED")))))))))))))))))))))</f>
        <v>29.5</v>
      </c>
      <c r="K132" s="34">
        <f t="shared" ref="K132" si="83">J132*(H132-E132)</f>
        <v>63.418805000000006</v>
      </c>
      <c r="L132" s="17">
        <f>IF(OR(B132="P4",B132="P5",B132="EUS3",B132="EUS",B132="EUS2"),1,0.5)</f>
        <v>1</v>
      </c>
      <c r="M132" s="17">
        <f>IF(L132 = 0.5, 0.78994,IF(L132=1, 1.33, "NOT LISTED"))</f>
        <v>1.33</v>
      </c>
      <c r="N132" s="17">
        <f>$M132^2*3.141592</f>
        <v>5.5571620888000011</v>
      </c>
      <c r="O132" s="25">
        <f t="shared" ref="O132" si="84">K132*N132</f>
        <v>352.42857886299998</v>
      </c>
      <c r="P132" s="25">
        <f t="shared" ref="P132" si="85">(J132*(2.5-E132))*N132</f>
        <v>352.59251514461948</v>
      </c>
      <c r="Q132" s="31">
        <f t="shared" ref="Q132" si="86">(999.83952+16.945176*G132-0.00798704*G132^2-0.000046170461*G132^3+0.00000010556302*G132^4-0.00000000028054253*G132^5)/(1+0.01689785*G132)</f>
        <v>995.45528673251238</v>
      </c>
      <c r="R132" s="17">
        <f t="shared" ref="R132" si="87">IF(I132="NA", 101325, I132*133.322368)</f>
        <v>102133.46651955201</v>
      </c>
      <c r="S132" s="17">
        <v>49.8</v>
      </c>
      <c r="T132" s="27">
        <f t="shared" ref="T132" si="88">G132+273.15</f>
        <v>302.61388888888888</v>
      </c>
      <c r="U132" s="25">
        <f t="shared" ref="U132" si="89">(1+((Q132*S132/R132/100)*(1+0.01*K132)))*N132*(293/T132)</f>
        <v>5.4232931444155454</v>
      </c>
    </row>
    <row r="133" spans="1:21" x14ac:dyDescent="0.35">
      <c r="A133" s="6" t="s">
        <v>104</v>
      </c>
      <c r="B133" s="6" t="s">
        <v>9</v>
      </c>
      <c r="C133" s="4" t="s">
        <v>1954</v>
      </c>
      <c r="D133" s="12">
        <v>18</v>
      </c>
      <c r="E133" s="49">
        <v>0.36691000000000001</v>
      </c>
      <c r="F133">
        <v>74.466999999999999</v>
      </c>
      <c r="G133" s="12">
        <f>CONVERT(F133,"F","C")</f>
        <v>23.592777777777776</v>
      </c>
      <c r="H133">
        <v>2.4990000000000001</v>
      </c>
      <c r="I133" s="75">
        <v>767.6</v>
      </c>
      <c r="J133" s="17">
        <f t="shared" ref="J133" si="90">IF(D133=1, 32.2,IF(D133=2, 30.8, IF(D133=3, 29.9, IF(D133=4, 29.6, IF(D133=5, 29.9, IF(D133=6, 30.2, IF(D133=7, 30.4, IF(D133=8, 28, IF(D133=9, 32.2, IF(D133=10, 30.1, IF(D133=11, 30.1, IF(D133=12, 29.2, IF(D133=13, 30.8,IF(D133=14,29.3, IF(D133=15,30.2,IF(D133=16, 30.8,IF(D133=17,30.1,IF(D133=18,29.5,IF(D133=19,28.7,IF(D133=20,30.2,IF(D133=21,31.7, "NOT LISTED")))))))))))))))))))))</f>
        <v>29.5</v>
      </c>
      <c r="K133" s="34">
        <f t="shared" ref="K133" si="91">J133*(H133-E133)</f>
        <v>62.89665500000001</v>
      </c>
      <c r="L133" s="17">
        <f>IF(OR(B133="P4",B133="P5",B133="EUS3",B133="EUS",B133="EUS2"),1,0.5)</f>
        <v>1</v>
      </c>
      <c r="M133" s="17">
        <f>IF(L133 = 0.5, 0.78994,IF(L133=1, 1.33, "NOT LISTED"))</f>
        <v>1.33</v>
      </c>
      <c r="N133" s="17">
        <f>$M133^2*3.141592</f>
        <v>5.5571620888000011</v>
      </c>
      <c r="O133" s="25">
        <f t="shared" ref="O133" si="92">K133*N133</f>
        <v>349.52690667833309</v>
      </c>
      <c r="P133" s="25">
        <f t="shared" ref="P133" si="93">(J133*(2.5-E133))*N133</f>
        <v>349.69084295995265</v>
      </c>
      <c r="Q133" s="31">
        <f t="shared" ref="Q133" si="94">(999.83952+16.945176*G133-0.00798704*G133^2-0.000046170461*G133^3+0.00000010556302*G133^4-0.00000000028054253*G133^5)/(1+0.01689785*G133)</f>
        <v>997.09342462427844</v>
      </c>
      <c r="R133" s="17">
        <f t="shared" ref="R133" si="95">IF(I133="NA", 101325, I133*133.322368)</f>
        <v>102338.24967680001</v>
      </c>
      <c r="S133" s="17">
        <v>50.8</v>
      </c>
      <c r="T133" s="27">
        <f t="shared" ref="T133" si="96">G133+273.15</f>
        <v>296.74277777777775</v>
      </c>
      <c r="U133" s="25">
        <f t="shared" ref="U133" si="97">(1+((Q133*S133/R133/100)*(1+0.01*K133)))*N133*(293/T133)</f>
        <v>5.5313102453501317</v>
      </c>
    </row>
    <row r="134" spans="1:21" x14ac:dyDescent="0.35">
      <c r="A134" s="6" t="s">
        <v>104</v>
      </c>
      <c r="B134" s="6" t="s">
        <v>14</v>
      </c>
      <c r="C134" s="4" t="s">
        <v>1958</v>
      </c>
      <c r="D134" s="12">
        <v>15</v>
      </c>
      <c r="E134" s="49">
        <v>5.2499999999999998E-2</v>
      </c>
      <c r="F134">
        <v>74.295000000000002</v>
      </c>
      <c r="G134" s="12">
        <f>CONVERT(F134,"F","C")</f>
        <v>23.497222222222224</v>
      </c>
      <c r="H134">
        <v>0.14224999999999999</v>
      </c>
      <c r="I134" s="75">
        <v>767.6</v>
      </c>
      <c r="J134" s="17">
        <f t="shared" ref="J134" si="98">IF(D134=1, 32.2,IF(D134=2, 30.8, IF(D134=3, 29.9, IF(D134=4, 29.6, IF(D134=5, 29.9, IF(D134=6, 30.2, IF(D134=7, 30.4, IF(D134=8, 28, IF(D134=9, 32.2, IF(D134=10, 30.1, IF(D134=11, 30.1, IF(D134=12, 29.2, IF(D134=13, 30.8,IF(D134=14,29.3, IF(D134=15,30.2,IF(D134=16, 30.8,IF(D134=17,30.1,IF(D134=18,29.5,IF(D134=19,28.7,IF(D134=20,30.2,IF(D134=21,31.7, "NOT LISTED")))))))))))))))))))))</f>
        <v>30.2</v>
      </c>
      <c r="K134" s="34">
        <f t="shared" ref="K134" si="99">J134*(H134-E134)</f>
        <v>2.7104499999999998</v>
      </c>
      <c r="L134" s="17">
        <f>IF(OR(B134="P4",B134="P5",B134="EUS3",B134="EUS",B134="EUS2"),1,0.5)</f>
        <v>1</v>
      </c>
      <c r="M134" s="17">
        <f>IF(L134 = 0.5, 0.78994,IF(L134=1, 1.33, "NOT LISTED"))</f>
        <v>1.33</v>
      </c>
      <c r="N134" s="17">
        <f>$M134^2*3.141592</f>
        <v>5.5571620888000011</v>
      </c>
      <c r="O134" s="25">
        <f t="shared" ref="O134" si="100">K134*N134</f>
        <v>15.062409983587962</v>
      </c>
      <c r="P134" s="25">
        <f t="shared" ref="P134" si="101">(J134*(2.5-E134))*N134</f>
        <v>410.75485721260765</v>
      </c>
      <c r="Q134" s="31">
        <f t="shared" ref="Q134" si="102">(999.83952+16.945176*G134-0.00798704*G134^2-0.000046170461*G134^3+0.00000010556302*G134^4-0.00000000028054253*G134^5)/(1+0.01689785*G134)</f>
        <v>997.1174579385148</v>
      </c>
      <c r="R134" s="17">
        <f t="shared" ref="R134" si="103">IF(I134="NA", 101325, I134*133.322368)</f>
        <v>102338.24967680001</v>
      </c>
      <c r="S134" s="17">
        <v>51.8</v>
      </c>
      <c r="T134" s="27">
        <f t="shared" ref="T134" si="104">G134+273.15</f>
        <v>296.64722222222218</v>
      </c>
      <c r="U134" s="25">
        <f t="shared" ref="U134" si="105">(1+((Q134*S134/R134/100)*(1+0.01*K134)))*N134*(293/T134)</f>
        <v>5.5172911498982531</v>
      </c>
    </row>
    <row r="135" spans="1:21" x14ac:dyDescent="0.35">
      <c r="A135" s="6" t="s">
        <v>104</v>
      </c>
      <c r="B135" s="29" t="s">
        <v>18</v>
      </c>
      <c r="C135" s="4" t="s">
        <v>1960</v>
      </c>
      <c r="D135" s="12">
        <v>5</v>
      </c>
      <c r="E135" s="49">
        <v>0.32601000000000002</v>
      </c>
      <c r="F135">
        <v>74.942999999999998</v>
      </c>
      <c r="G135" s="12">
        <f>CONVERT(F135,"F","C")</f>
        <v>23.857222222222219</v>
      </c>
      <c r="H135">
        <v>2.4990000000000001</v>
      </c>
      <c r="I135" s="75">
        <v>767.6</v>
      </c>
      <c r="J135" s="17">
        <f t="shared" ref="J135" si="106">IF(D135=1, 32.2,IF(D135=2, 30.8, IF(D135=3, 29.9, IF(D135=4, 29.6, IF(D135=5, 29.9, IF(D135=6, 30.2, IF(D135=7, 30.4, IF(D135=8, 28, IF(D135=9, 32.2, IF(D135=10, 30.1, IF(D135=11, 30.1, IF(D135=12, 29.2, IF(D135=13, 30.8,IF(D135=14,29.3, IF(D135=15,30.2,IF(D135=16, 30.8,IF(D135=17,30.1,IF(D135=18,29.5,IF(D135=19,28.7,IF(D135=20,30.2,IF(D135=21,31.7, "NOT LISTED")))))))))))))))))))))</f>
        <v>29.9</v>
      </c>
      <c r="K135" s="34">
        <f t="shared" ref="K135" si="107">J135*(H135-E135)</f>
        <v>64.972400999999991</v>
      </c>
      <c r="L135" s="17">
        <f>IF(OR(B135="P4",B135="P5",B135="EUS3",B135="EUS",B135="EUS2"),1,0.5)</f>
        <v>1</v>
      </c>
      <c r="M135" s="17">
        <f>IF(L135 = 0.5, 0.78994,IF(L135=1, 1.33, "NOT LISTED"))</f>
        <v>1.33</v>
      </c>
      <c r="N135" s="17">
        <f>$M135^2*3.141592</f>
        <v>5.5571620888000011</v>
      </c>
      <c r="O135" s="25">
        <f t="shared" ref="O135" si="108">K135*N135</f>
        <v>361.0621636555112</v>
      </c>
      <c r="P135" s="25">
        <f t="shared" ref="P135" si="109">(J135*(2.5-E135))*N135</f>
        <v>361.22832280196633</v>
      </c>
      <c r="Q135" s="31">
        <f t="shared" ref="Q135:Q136" si="110">(999.83952+16.945176*G135-0.00798704*G135^2-0.000046170461*G135^3+0.00000010556302*G135^4-0.00000000028054253*G135^5)/(1+0.01689785*G135)</f>
        <v>997.02645954303955</v>
      </c>
      <c r="R135" s="17">
        <f t="shared" ref="R135" si="111">IF(I135="NA", 101325, I135*133.322368)</f>
        <v>102338.24967680001</v>
      </c>
      <c r="S135" s="17">
        <v>52.8</v>
      </c>
      <c r="T135" s="27">
        <f t="shared" ref="T135:T136" si="112">G135+273.15</f>
        <v>297.0072222222222</v>
      </c>
      <c r="U135" s="25">
        <f t="shared" ref="U135" si="113">(1+((Q135*S135/R135/100)*(1+0.01*K135)))*N135*(293/T135)</f>
        <v>5.5287078303755637</v>
      </c>
    </row>
    <row r="136" spans="1:21" x14ac:dyDescent="0.35">
      <c r="A136" s="6" t="s">
        <v>104</v>
      </c>
      <c r="B136" s="29" t="s">
        <v>167</v>
      </c>
      <c r="C136" s="4" t="s">
        <v>2127</v>
      </c>
      <c r="D136" s="12">
        <v>7</v>
      </c>
      <c r="E136" s="49" t="s">
        <v>105</v>
      </c>
      <c r="F136" t="s">
        <v>105</v>
      </c>
      <c r="G136" s="12">
        <v>25</v>
      </c>
      <c r="H136" t="s">
        <v>105</v>
      </c>
      <c r="I136" s="75" t="s">
        <v>105</v>
      </c>
      <c r="J136" s="17">
        <f t="shared" ref="J136" si="114">IF(D136=1, 32.2,IF(D136=2, 30.8, IF(D136=3, 29.9, IF(D136=4, 29.6, IF(D136=5, 29.9, IF(D136=6, 30.2, IF(D136=7, 30.4, IF(D136=8, 28, IF(D136=9, 32.2, IF(D136=10, 30.1, IF(D136=11, 30.1, IF(D136=12, 29.2, IF(D136=13, 30.8,IF(D136=14,29.3, IF(D136=15,30.2,IF(D136=16, 30.8,IF(D136=17,30.1,IF(D136=18,29.5,IF(D136=19,28.7,IF(D136=20,30.2,IF(D136=21,31.7, "NOT LISTED")))))))))))))))))))))</f>
        <v>30.4</v>
      </c>
      <c r="K136" s="34" t="s">
        <v>105</v>
      </c>
      <c r="L136" s="17">
        <f>IF(OR(B136="P4",B136="P5",B136="EUS3",B136="EUS",B136="EUS2"),1,0.5)</f>
        <v>0.5</v>
      </c>
      <c r="M136" s="17">
        <f>IF(L136 = 0.5, 0.78994,IF(L136=1, 1.33, "NOT LISTED"))</f>
        <v>0.78993999999999998</v>
      </c>
      <c r="N136" s="17">
        <f>$M136^2*3.141592</f>
        <v>1.9603697555881312</v>
      </c>
      <c r="O136" s="44" t="s">
        <v>105</v>
      </c>
      <c r="P136" s="44" t="s">
        <v>105</v>
      </c>
      <c r="Q136" s="37">
        <f t="shared" si="110"/>
        <v>996.72947391046807</v>
      </c>
      <c r="R136" s="22"/>
      <c r="S136" s="22"/>
      <c r="T136" s="37">
        <f t="shared" si="112"/>
        <v>298.14999999999998</v>
      </c>
      <c r="U136" s="44" t="s">
        <v>105</v>
      </c>
    </row>
    <row r="137" spans="1:21" x14ac:dyDescent="0.35">
      <c r="A137" s="6" t="s">
        <v>104</v>
      </c>
      <c r="B137" s="29" t="s">
        <v>26</v>
      </c>
      <c r="C137" s="4" t="s">
        <v>1963</v>
      </c>
      <c r="D137" s="12">
        <v>14</v>
      </c>
      <c r="E137" s="49">
        <v>0.42521999999999999</v>
      </c>
      <c r="F137">
        <v>77.117000000000004</v>
      </c>
      <c r="G137" s="12">
        <f t="shared" ref="G137:G205" si="115">CONVERT(F137,"F","C")</f>
        <v>25.065000000000001</v>
      </c>
      <c r="H137">
        <v>2.4990000000000001</v>
      </c>
      <c r="I137" s="75">
        <v>767.6</v>
      </c>
      <c r="J137" s="17">
        <f t="shared" ref="J137" si="116">IF(D137=1, 32.2,IF(D137=2, 30.8, IF(D137=3, 29.9, IF(D137=4, 29.6, IF(D137=5, 29.9, IF(D137=6, 30.2, IF(D137=7, 30.4, IF(D137=8, 28, IF(D137=9, 32.2, IF(D137=10, 30.1, IF(D137=11, 30.1, IF(D137=12, 29.2, IF(D137=13, 30.8,IF(D137=14,29.3, IF(D137=15,30.2,IF(D137=16, 30.8,IF(D137=17,30.1,IF(D137=18,29.5,IF(D137=19,28.7,IF(D137=20,30.2,IF(D137=21,31.7, "NOT LISTED")))))))))))))))))))))</f>
        <v>29.3</v>
      </c>
      <c r="K137" s="34">
        <f t="shared" ref="K137" si="117">J137*(H137-E137)</f>
        <v>60.761754000000003</v>
      </c>
      <c r="L137" s="17">
        <f t="shared" ref="L137" si="118">IF(OR(B137="P4",B137="P5",B137="EUS3",B137="EUS",B137="EUS2"),1,0.5)</f>
        <v>0.5</v>
      </c>
      <c r="M137" s="17">
        <f t="shared" ref="M137:M141" si="119">IF(L137 = 0.5, 0.78994,IF(L137=1, 1.33, "NOT LISTED"))</f>
        <v>0.78993999999999998</v>
      </c>
      <c r="N137" s="17">
        <f t="shared" ref="N137:N201" si="120">$M137^2*3.141592</f>
        <v>1.9603697555881312</v>
      </c>
      <c r="O137" s="25">
        <f t="shared" ref="O137" si="121">K137*N137</f>
        <v>119.11550483808615</v>
      </c>
      <c r="P137" s="25">
        <f t="shared" ref="P137" si="122">(J137*(2.5-E137))*N137</f>
        <v>119.17294367192488</v>
      </c>
      <c r="Q137" s="31">
        <f t="shared" ref="Q137" si="123">(999.83952+16.945176*G137-0.00798704*G137^2-0.000046170461*G137^3+0.00000010556302*G137^4-0.00000000028054253*G137^5)/(1+0.01689785*G137)</f>
        <v>996.71221406251959</v>
      </c>
      <c r="R137" s="17">
        <f t="shared" ref="R137" si="124">IF(I137="NA", 101325, I137*133.322368)</f>
        <v>102338.24967680001</v>
      </c>
      <c r="S137" s="17">
        <v>54.8</v>
      </c>
      <c r="T137" s="27">
        <f t="shared" ref="T137" si="125">G137+273.15</f>
        <v>298.21499999999997</v>
      </c>
      <c r="U137" s="25">
        <f t="shared" ref="U137" si="126">(1+((Q137*S137/R137/100)*(1+0.01*K137)))*N137*(293/T137)</f>
        <v>1.9426141504178596</v>
      </c>
    </row>
    <row r="138" spans="1:21" x14ac:dyDescent="0.35">
      <c r="A138" s="6" t="s">
        <v>104</v>
      </c>
      <c r="B138" s="29" t="s">
        <v>25</v>
      </c>
      <c r="C138" s="4" t="s">
        <v>1965</v>
      </c>
      <c r="D138" s="12">
        <v>4</v>
      </c>
      <c r="E138" s="49">
        <v>0.41392000000000001</v>
      </c>
      <c r="F138">
        <v>75.507999999999996</v>
      </c>
      <c r="G138" s="12">
        <f t="shared" si="115"/>
        <v>24.171111111111109</v>
      </c>
      <c r="H138">
        <v>2.4990000000000001</v>
      </c>
      <c r="I138" s="75">
        <v>767.6</v>
      </c>
      <c r="J138" s="17">
        <f t="shared" ref="J138" si="127">IF(D138=1, 32.2,IF(D138=2, 30.8, IF(D138=3, 29.9, IF(D138=4, 29.6, IF(D138=5, 29.9, IF(D138=6, 30.2, IF(D138=7, 30.4, IF(D138=8, 28, IF(D138=9, 32.2, IF(D138=10, 30.1, IF(D138=11, 30.1, IF(D138=12, 29.2, IF(D138=13, 30.8,IF(D138=14,29.3, IF(D138=15,30.2,IF(D138=16, 30.8,IF(D138=17,30.1,IF(D138=18,29.5,IF(D138=19,28.7,IF(D138=20,30.2,IF(D138=21,31.7, "NOT LISTED")))))))))))))))))))))</f>
        <v>29.6</v>
      </c>
      <c r="K138" s="34">
        <f t="shared" ref="K138" si="128">J138*(H138-E138)</f>
        <v>61.718368000000005</v>
      </c>
      <c r="L138" s="17">
        <f t="shared" ref="L138" si="129">IF(OR(B138="P4",B138="P5",B138="EUS3",B138="EUS",B138="EUS2"),1,0.5)</f>
        <v>0.5</v>
      </c>
      <c r="M138" s="17">
        <f t="shared" si="119"/>
        <v>0.78993999999999998</v>
      </c>
      <c r="N138" s="17">
        <f t="shared" si="120"/>
        <v>1.9603697555881312</v>
      </c>
      <c r="O138" s="25">
        <f t="shared" ref="O138" si="130">K138*N138</f>
        <v>120.99082199145835</v>
      </c>
      <c r="P138" s="25">
        <f t="shared" ref="P138" si="131">(J138*(2.5-E138))*N138</f>
        <v>121.04884893622375</v>
      </c>
      <c r="Q138" s="31">
        <f t="shared" ref="Q138" si="132">(999.83952+16.945176*G138-0.00798704*G138^2-0.000046170461*G138^3+0.00000010556302*G138^4-0.00000000028054253*G138^5)/(1+0.01689785*G138)</f>
        <v>996.94611115974146</v>
      </c>
      <c r="R138" s="17">
        <f t="shared" ref="R138" si="133">IF(I138="NA", 101325, I138*133.322368)</f>
        <v>102338.24967680001</v>
      </c>
      <c r="S138" s="17">
        <v>55.8</v>
      </c>
      <c r="T138" s="27">
        <f t="shared" ref="T138" si="134">G138+273.15</f>
        <v>297.32111111111107</v>
      </c>
      <c r="U138" s="25">
        <f t="shared" ref="U138" si="135">(1+((Q138*S138/R138/100)*(1+0.01*K138)))*N138*(293/T138)</f>
        <v>1.9488614711394703</v>
      </c>
    </row>
    <row r="139" spans="1:21" x14ac:dyDescent="0.35">
      <c r="A139" s="6" t="s">
        <v>104</v>
      </c>
      <c r="B139" s="29" t="s">
        <v>64</v>
      </c>
      <c r="C139" s="4" t="s">
        <v>1969</v>
      </c>
      <c r="D139" s="12">
        <v>2</v>
      </c>
      <c r="E139" s="49">
        <v>5.6169999999999998E-2</v>
      </c>
      <c r="F139">
        <v>74.942999999999998</v>
      </c>
      <c r="G139" s="12">
        <f t="shared" si="115"/>
        <v>23.857222222222219</v>
      </c>
      <c r="H139">
        <v>2.4990000000000001</v>
      </c>
      <c r="I139" s="75">
        <v>748.6</v>
      </c>
      <c r="J139" s="17">
        <f t="shared" ref="J139" si="136">IF(D139=1, 32.2,IF(D139=2, 30.8, IF(D139=3, 29.9, IF(D139=4, 29.6, IF(D139=5, 29.9, IF(D139=6, 30.2, IF(D139=7, 30.4, IF(D139=8, 28, IF(D139=9, 32.2, IF(D139=10, 30.1, IF(D139=11, 30.1, IF(D139=12, 29.2, IF(D139=13, 30.8,IF(D139=14,29.3, IF(D139=15,30.2,IF(D139=16, 30.8,IF(D139=17,30.1,IF(D139=18,29.5,IF(D139=19,28.7,IF(D139=20,30.2,IF(D139=21,31.7, "NOT LISTED")))))))))))))))))))))</f>
        <v>30.8</v>
      </c>
      <c r="K139" s="34">
        <f t="shared" ref="K139" si="137">J139*(H139-E139)</f>
        <v>75.239164000000017</v>
      </c>
      <c r="L139" s="17">
        <f t="shared" ref="L139" si="138">IF(OR(B139="P4",B139="P5",B139="EUS3",B139="EUS",B139="EUS2"),1,0.5)</f>
        <v>0.5</v>
      </c>
      <c r="M139" s="17">
        <f t="shared" si="119"/>
        <v>0.78993999999999998</v>
      </c>
      <c r="N139" s="17">
        <f t="shared" si="120"/>
        <v>1.9603697555881312</v>
      </c>
      <c r="O139" s="25">
        <f t="shared" ref="O139" si="139">K139*N139</f>
        <v>147.49658154133536</v>
      </c>
      <c r="P139" s="25">
        <f t="shared" ref="P139" si="140">(J139*(2.5-E139))*N139</f>
        <v>147.55696092980745</v>
      </c>
      <c r="Q139" s="31">
        <f t="shared" ref="Q139" si="141">(999.83952+16.945176*G139-0.00798704*G139^2-0.000046170461*G139^3+0.00000010556302*G139^4-0.00000000028054253*G139^5)/(1+0.01689785*G139)</f>
        <v>997.02645954303955</v>
      </c>
      <c r="R139" s="17">
        <f t="shared" ref="R139" si="142">IF(I139="NA", 101325, I139*133.322368)</f>
        <v>99805.124684800016</v>
      </c>
      <c r="S139" s="17">
        <v>56.8</v>
      </c>
      <c r="T139" s="27">
        <f t="shared" ref="T139" si="143">G139+273.15</f>
        <v>297.0072222222222</v>
      </c>
      <c r="U139" s="25">
        <f t="shared" ref="U139" si="144">(1+((Q139*S139/R139/100)*(1+0.01*K139)))*N139*(293/T139)</f>
        <v>1.9531501171599082</v>
      </c>
    </row>
    <row r="140" spans="1:21" x14ac:dyDescent="0.35">
      <c r="A140" s="6" t="s">
        <v>104</v>
      </c>
      <c r="B140" s="29" t="s">
        <v>69</v>
      </c>
      <c r="C140" s="4" t="s">
        <v>1972</v>
      </c>
      <c r="D140" s="12">
        <v>11</v>
      </c>
      <c r="E140" s="49">
        <v>0.29426000000000002</v>
      </c>
      <c r="F140">
        <v>75.507999999999996</v>
      </c>
      <c r="G140" s="12">
        <f t="shared" si="115"/>
        <v>24.171111111111109</v>
      </c>
      <c r="H140">
        <v>2.1233200000000001</v>
      </c>
      <c r="I140" s="75">
        <v>748.6</v>
      </c>
      <c r="J140" s="17">
        <f t="shared" ref="J140" si="145">IF(D140=1, 32.2,IF(D140=2, 30.8, IF(D140=3, 29.9, IF(D140=4, 29.6, IF(D140=5, 29.9, IF(D140=6, 30.2, IF(D140=7, 30.4, IF(D140=8, 28, IF(D140=9, 32.2, IF(D140=10, 30.1, IF(D140=11, 30.1, IF(D140=12, 29.2, IF(D140=13, 30.8,IF(D140=14,29.3, IF(D140=15,30.2,IF(D140=16, 30.8,IF(D140=17,30.1,IF(D140=18,29.5,IF(D140=19,28.7,IF(D140=20,30.2,IF(D140=21,31.7, "NOT LISTED")))))))))))))))))))))</f>
        <v>30.1</v>
      </c>
      <c r="K140" s="34">
        <f t="shared" ref="K140" si="146">J140*(H140-E140)</f>
        <v>55.054706000000003</v>
      </c>
      <c r="L140" s="17">
        <f t="shared" ref="L140" si="147">IF(OR(B140="P4",B140="P5",B140="EUS3",B140="EUS",B140="EUS2"),1,0.5)</f>
        <v>0.5</v>
      </c>
      <c r="M140" s="17">
        <f t="shared" si="119"/>
        <v>0.78993999999999998</v>
      </c>
      <c r="N140" s="17">
        <f t="shared" si="120"/>
        <v>1.9603697555881312</v>
      </c>
      <c r="O140" s="25">
        <f t="shared" ref="O140" si="148">K140*N140</f>
        <v>107.92758054519642</v>
      </c>
      <c r="P140" s="25">
        <f t="shared" ref="P140" si="149">(J140*(2.5-E140))*N140</f>
        <v>130.15438613919804</v>
      </c>
      <c r="Q140" s="31">
        <f t="shared" ref="Q140" si="150">(999.83952+16.945176*G140-0.00798704*G140^2-0.000046170461*G140^3+0.00000010556302*G140^4-0.00000000028054253*G140^5)/(1+0.01689785*G140)</f>
        <v>996.94611115974146</v>
      </c>
      <c r="R140" s="17">
        <f t="shared" ref="R140" si="151">IF(I140="NA", 101325, I140*133.322368)</f>
        <v>99805.124684800016</v>
      </c>
      <c r="S140" s="17">
        <v>57.8</v>
      </c>
      <c r="T140" s="27">
        <f t="shared" ref="T140" si="152">G140+273.15</f>
        <v>297.32111111111107</v>
      </c>
      <c r="U140" s="25">
        <f t="shared" ref="U140" si="153">(1+((Q140*S140/R140/100)*(1+0.01*K140)))*N140*(293/T140)</f>
        <v>1.9491733953306865</v>
      </c>
    </row>
    <row r="141" spans="1:21" x14ac:dyDescent="0.35">
      <c r="A141" s="6" t="s">
        <v>104</v>
      </c>
      <c r="B141" s="29" t="s">
        <v>60</v>
      </c>
      <c r="C141" s="4" t="s">
        <v>1976</v>
      </c>
      <c r="D141" s="12">
        <v>9</v>
      </c>
      <c r="E141" s="49">
        <v>0.41453000000000001</v>
      </c>
      <c r="F141">
        <v>75.42</v>
      </c>
      <c r="G141" s="12">
        <f t="shared" si="115"/>
        <v>24.122222222222224</v>
      </c>
      <c r="H141">
        <v>2.4990000000000001</v>
      </c>
      <c r="I141" s="75">
        <v>748.6</v>
      </c>
      <c r="J141" s="17">
        <f t="shared" ref="J141" si="154">IF(D141=1, 32.2,IF(D141=2, 30.8, IF(D141=3, 29.9, IF(D141=4, 29.6, IF(D141=5, 29.9, IF(D141=6, 30.2, IF(D141=7, 30.4, IF(D141=8, 28, IF(D141=9, 32.2, IF(D141=10, 30.1, IF(D141=11, 30.1, IF(D141=12, 29.2, IF(D141=13, 30.8,IF(D141=14,29.3, IF(D141=15,30.2,IF(D141=16, 30.8,IF(D141=17,30.1,IF(D141=18,29.5,IF(D141=19,28.7,IF(D141=20,30.2,IF(D141=21,31.7, "NOT LISTED")))))))))))))))))))))</f>
        <v>32.200000000000003</v>
      </c>
      <c r="K141" s="34">
        <f t="shared" ref="K141" si="155">J141*(H141-E141)</f>
        <v>67.119934000000001</v>
      </c>
      <c r="L141" s="17">
        <f t="shared" ref="L141" si="156">IF(OR(B141="P4",B141="P5",B141="EUS3",B141="EUS",B141="EUS2"),1,0.5)</f>
        <v>0.5</v>
      </c>
      <c r="M141" s="17">
        <f t="shared" si="119"/>
        <v>0.78993999999999998</v>
      </c>
      <c r="N141" s="17">
        <f t="shared" si="120"/>
        <v>1.9603697555881312</v>
      </c>
      <c r="O141" s="25">
        <f t="shared" ref="O141" si="157">K141*N141</f>
        <v>131.5798886106715</v>
      </c>
      <c r="P141" s="25">
        <f t="shared" ref="P141" si="158">(J141*(2.5-E141))*N141</f>
        <v>131.64301251680143</v>
      </c>
      <c r="Q141" s="31">
        <f t="shared" ref="Q141" si="159">(999.83952+16.945176*G141-0.00798704*G141^2-0.000046170461*G141^3+0.00000010556302*G141^4-0.00000000028054253*G141^5)/(1+0.01689785*G141)</f>
        <v>996.95868694663136</v>
      </c>
      <c r="R141" s="17">
        <f t="shared" ref="R141" si="160">IF(I141="NA", 101325, I141*133.322368)</f>
        <v>99805.124684800016</v>
      </c>
      <c r="S141" s="17">
        <v>58.8</v>
      </c>
      <c r="T141" s="27">
        <f t="shared" ref="T141" si="161">G141+273.15</f>
        <v>297.27222222222218</v>
      </c>
      <c r="U141" s="25">
        <f t="shared" ref="U141" si="162">(1+((Q141*S141/R141/100)*(1+0.01*K141)))*N141*(293/T141)</f>
        <v>1.9511627075061249</v>
      </c>
    </row>
    <row r="142" spans="1:21" x14ac:dyDescent="0.35">
      <c r="A142" s="6" t="s">
        <v>104</v>
      </c>
      <c r="B142" s="29" t="s">
        <v>9</v>
      </c>
      <c r="C142" s="4" t="s">
        <v>1977</v>
      </c>
      <c r="D142" s="12">
        <v>18</v>
      </c>
      <c r="E142" s="49">
        <v>0.35348000000000002</v>
      </c>
      <c r="F142">
        <v>74.813000000000002</v>
      </c>
      <c r="G142" s="12">
        <f t="shared" si="115"/>
        <v>23.785</v>
      </c>
      <c r="H142">
        <v>2.4990000000000001</v>
      </c>
      <c r="I142" s="75">
        <v>750.2</v>
      </c>
      <c r="J142" s="17">
        <f t="shared" ref="J142" si="163">IF(D142=1, 32.2,IF(D142=2, 30.8, IF(D142=3, 29.9, IF(D142=4, 29.6, IF(D142=5, 29.9, IF(D142=6, 30.2, IF(D142=7, 30.4, IF(D142=8, 28, IF(D142=9, 32.2, IF(D142=10, 30.1, IF(D142=11, 30.1, IF(D142=12, 29.2, IF(D142=13, 30.8,IF(D142=14,29.3, IF(D142=15,30.2,IF(D142=16, 30.8,IF(D142=17,30.1,IF(D142=18,29.5,IF(D142=19,28.7,IF(D142=20,30.2,IF(D142=21,31.7, "NOT LISTED")))))))))))))))))))))</f>
        <v>29.5</v>
      </c>
      <c r="K142" s="34">
        <f t="shared" ref="K142" si="164">J142*(H142-E142)</f>
        <v>63.292840000000012</v>
      </c>
      <c r="L142" s="17">
        <f t="shared" ref="L142" si="165">IF(OR(B142="P4",B142="P5",B142="EUS3",B142="EUS",B142="EUS2"),1,0.5)</f>
        <v>1</v>
      </c>
      <c r="M142" s="17">
        <f t="shared" ref="M142" si="166">IF(L142 = 0.5, 0.78994,IF(L142=1, 1.33, "NOT LISTED"))</f>
        <v>1.33</v>
      </c>
      <c r="N142" s="17">
        <f t="shared" si="120"/>
        <v>5.5571620888000011</v>
      </c>
      <c r="O142" s="25">
        <f t="shared" ref="O142" si="167">K142*N142</f>
        <v>351.7285709404843</v>
      </c>
      <c r="P142" s="25">
        <f t="shared" ref="P142" si="168">(J142*(2.5-E142))*N142</f>
        <v>351.8925072221038</v>
      </c>
      <c r="Q142" s="31">
        <f t="shared" ref="Q142" si="169">(999.83952+16.945176*G142-0.00798704*G142^2-0.000046170461*G142^3+0.00000010556302*G142^4-0.00000000028054253*G142^5)/(1+0.01689785*G142)</f>
        <v>997.04481444992427</v>
      </c>
      <c r="R142" s="17">
        <f t="shared" ref="R142" si="170">IF(I142="NA", 101325, I142*133.322368)</f>
        <v>100018.44047360001</v>
      </c>
      <c r="S142" s="17">
        <v>59.8</v>
      </c>
      <c r="T142" s="27">
        <f t="shared" ref="T142" si="171">G142+273.15</f>
        <v>296.935</v>
      </c>
      <c r="U142" s="25">
        <f t="shared" ref="U142" si="172">(1+((Q142*S142/R142/100)*(1+0.01*K142)))*N142*(293/T142)</f>
        <v>5.536896242053265</v>
      </c>
    </row>
    <row r="143" spans="1:21" x14ac:dyDescent="0.35">
      <c r="A143" s="6" t="s">
        <v>104</v>
      </c>
      <c r="B143" s="29" t="s">
        <v>14</v>
      </c>
      <c r="C143" s="4" t="s">
        <v>1980</v>
      </c>
      <c r="D143" s="12">
        <v>5</v>
      </c>
      <c r="E143" s="49">
        <v>0.17582</v>
      </c>
      <c r="F143">
        <v>74.554000000000002</v>
      </c>
      <c r="G143" s="12">
        <f t="shared" si="115"/>
        <v>23.641111111111112</v>
      </c>
      <c r="H143">
        <v>2.4990000000000001</v>
      </c>
      <c r="I143" s="75">
        <v>750.2</v>
      </c>
      <c r="J143" s="17">
        <f t="shared" ref="J143" si="173">IF(D143=1, 32.2,IF(D143=2, 30.8, IF(D143=3, 29.9, IF(D143=4, 29.6, IF(D143=5, 29.9, IF(D143=6, 30.2, IF(D143=7, 30.4, IF(D143=8, 28, IF(D143=9, 32.2, IF(D143=10, 30.1, IF(D143=11, 30.1, IF(D143=12, 29.2, IF(D143=13, 30.8,IF(D143=14,29.3, IF(D143=15,30.2,IF(D143=16, 30.8,IF(D143=17,30.1,IF(D143=18,29.5,IF(D143=19,28.7,IF(D143=20,30.2,IF(D143=21,31.7, "NOT LISTED")))))))))))))))))))))</f>
        <v>29.9</v>
      </c>
      <c r="K143" s="34">
        <f t="shared" ref="K143" si="174">J143*(H143-E143)</f>
        <v>69.463082</v>
      </c>
      <c r="L143" s="17">
        <f t="shared" ref="L143" si="175">IF(OR(B143="P4",B143="P5",B143="EUS3",B143="EUS",B143="EUS2"),1,0.5)</f>
        <v>1</v>
      </c>
      <c r="M143" s="17">
        <f t="shared" ref="M143" si="176">IF(L143 = 0.5, 0.78994,IF(L143=1, 1.33, "NOT LISTED"))</f>
        <v>1.33</v>
      </c>
      <c r="N143" s="17">
        <f t="shared" si="120"/>
        <v>5.5571620888000011</v>
      </c>
      <c r="O143" s="25">
        <f t="shared" ref="O143" si="177">K143*N143</f>
        <v>386.01760586160577</v>
      </c>
      <c r="P143" s="25">
        <f t="shared" ref="P143" si="178">(J143*(2.5-E143))*N143</f>
        <v>386.18376500806085</v>
      </c>
      <c r="Q143" s="31">
        <f t="shared" ref="Q143" si="179">(999.83952+16.945176*G143-0.00798704*G143^2-0.000046170461*G143^3+0.00000010556302*G143^4-0.00000000028054253*G143^5)/(1+0.01689785*G143)</f>
        <v>997.08123500599709</v>
      </c>
      <c r="R143" s="17">
        <f t="shared" ref="R143" si="180">IF(I143="NA", 101325, I143*133.322368)</f>
        <v>100018.44047360001</v>
      </c>
      <c r="S143" s="17">
        <v>60.8</v>
      </c>
      <c r="T143" s="27">
        <f t="shared" ref="T143" si="181">G143+273.15</f>
        <v>296.79111111111109</v>
      </c>
      <c r="U143" s="25">
        <f t="shared" ref="U143" si="182">(1+((Q143*S143/R143/100)*(1+0.01*K143)))*N143*(293/T143)</f>
        <v>5.5425273965925079</v>
      </c>
    </row>
    <row r="144" spans="1:21" x14ac:dyDescent="0.35">
      <c r="A144" s="6" t="s">
        <v>104</v>
      </c>
      <c r="B144" s="29" t="s">
        <v>18</v>
      </c>
      <c r="C144" s="4" t="s">
        <v>1983</v>
      </c>
      <c r="D144" s="12">
        <v>16</v>
      </c>
      <c r="E144" s="49">
        <v>0.35897000000000001</v>
      </c>
      <c r="F144">
        <v>73.947000000000003</v>
      </c>
      <c r="G144" s="12">
        <f t="shared" si="115"/>
        <v>23.303888888888888</v>
      </c>
      <c r="H144">
        <v>2.4990000000000001</v>
      </c>
      <c r="I144" s="75">
        <v>750.2</v>
      </c>
      <c r="J144" s="17">
        <f t="shared" ref="J144:J145" si="183">IF(D144=1, 32.2,IF(D144=2, 30.8, IF(D144=3, 29.9, IF(D144=4, 29.6, IF(D144=5, 29.9, IF(D144=6, 30.2, IF(D144=7, 30.4, IF(D144=8, 28, IF(D144=9, 32.2, IF(D144=10, 30.1, IF(D144=11, 30.1, IF(D144=12, 29.2, IF(D144=13, 30.8,IF(D144=14,29.3, IF(D144=15,30.2,IF(D144=16, 30.8,IF(D144=17,30.1,IF(D144=18,29.5,IF(D144=19,28.7,IF(D144=20,30.2,IF(D144=21,31.7, "NOT LISTED")))))))))))))))))))))</f>
        <v>30.8</v>
      </c>
      <c r="K144" s="34">
        <f t="shared" ref="K144" si="184">J144*(H144-E144)</f>
        <v>65.912924000000018</v>
      </c>
      <c r="L144" s="17">
        <f t="shared" ref="L144" si="185">IF(OR(B144="P4",B144="P5",B144="EUS3",B144="EUS",B144="EUS2"),1,0.5)</f>
        <v>1</v>
      </c>
      <c r="M144" s="17">
        <f t="shared" ref="M144" si="186">IF(L144 = 0.5, 0.78994,IF(L144=1, 1.33, "NOT LISTED"))</f>
        <v>1.33</v>
      </c>
      <c r="N144" s="17">
        <f t="shared" si="120"/>
        <v>5.5571620888000011</v>
      </c>
      <c r="O144" s="25">
        <f t="shared" ref="O144" si="187">K144*N144</f>
        <v>366.28880241475582</v>
      </c>
      <c r="P144" s="25">
        <f t="shared" ref="P144" si="188">(J144*(2.5-E144))*N144</f>
        <v>366.45996300709072</v>
      </c>
      <c r="Q144" s="31">
        <f t="shared" ref="Q144" si="189">(999.83952+16.945176*G144-0.00798704*G144^2-0.000046170461*G144^3+0.00000010556302*G144^4-0.00000000028054253*G144^5)/(1+0.01689785*G144)</f>
        <v>997.16581601362964</v>
      </c>
      <c r="R144" s="17">
        <f t="shared" ref="R144" si="190">IF(I144="NA", 101325, I144*133.322368)</f>
        <v>100018.44047360001</v>
      </c>
      <c r="S144" s="17">
        <v>61.8</v>
      </c>
      <c r="T144" s="27">
        <f t="shared" ref="T144" si="191">G144+273.15</f>
        <v>296.45388888888886</v>
      </c>
      <c r="U144" s="25">
        <f t="shared" ref="U144" si="192">(1+((Q144*S144/R144/100)*(1+0.01*K144)))*N144*(293/T144)</f>
        <v>5.5485634725016544</v>
      </c>
    </row>
    <row r="145" spans="1:21" x14ac:dyDescent="0.35">
      <c r="A145" s="6" t="s">
        <v>104</v>
      </c>
      <c r="B145" s="29" t="s">
        <v>167</v>
      </c>
      <c r="C145" s="4" t="s">
        <v>2010</v>
      </c>
      <c r="D145" s="12">
        <v>7</v>
      </c>
      <c r="E145" s="49" t="s">
        <v>105</v>
      </c>
      <c r="F145" t="s">
        <v>105</v>
      </c>
      <c r="G145" s="12">
        <v>32.43</v>
      </c>
      <c r="H145" t="s">
        <v>105</v>
      </c>
      <c r="I145" s="75">
        <v>750.2</v>
      </c>
      <c r="J145" s="17">
        <f t="shared" si="183"/>
        <v>30.4</v>
      </c>
      <c r="K145" s="34" t="s">
        <v>105</v>
      </c>
      <c r="L145" s="17">
        <f t="shared" ref="L145" si="193">IF(OR(B145="P4",B145="P5",B145="EUS3",B145="EUS",B145="EUS2"),1,0.5)</f>
        <v>0.5</v>
      </c>
      <c r="M145" s="17">
        <f t="shared" ref="M145" si="194">IF(L145 = 0.5, 0.78994,IF(L145=1, 1.33, "NOT LISTED"))</f>
        <v>0.78993999999999998</v>
      </c>
      <c r="N145" s="17">
        <f t="shared" si="120"/>
        <v>1.9603697555881312</v>
      </c>
      <c r="O145" s="25" t="s">
        <v>105</v>
      </c>
      <c r="P145" s="25" t="s">
        <v>105</v>
      </c>
      <c r="Q145" s="31"/>
      <c r="R145" s="17"/>
      <c r="S145" s="17"/>
      <c r="T145" s="27"/>
      <c r="U145" s="25" t="s">
        <v>105</v>
      </c>
    </row>
    <row r="146" spans="1:21" x14ac:dyDescent="0.35">
      <c r="A146" s="6" t="s">
        <v>104</v>
      </c>
      <c r="B146" s="29" t="s">
        <v>25</v>
      </c>
      <c r="C146" s="4" t="s">
        <v>1986</v>
      </c>
      <c r="D146" s="12">
        <v>4</v>
      </c>
      <c r="E146" s="49">
        <v>0.56227000000000005</v>
      </c>
      <c r="F146">
        <v>75.028999999999996</v>
      </c>
      <c r="G146" s="12">
        <f t="shared" si="115"/>
        <v>23.904999999999998</v>
      </c>
      <c r="H146">
        <v>2.4990000000000001</v>
      </c>
      <c r="I146" s="75">
        <v>750.2</v>
      </c>
      <c r="J146" s="17">
        <f t="shared" ref="J146" si="195">IF(D146=1, 32.2,IF(D146=2, 30.8, IF(D146=3, 29.9, IF(D146=4, 29.6, IF(D146=5, 29.9, IF(D146=6, 30.2, IF(D146=7, 30.4, IF(D146=8, 28, IF(D146=9, 32.2, IF(D146=10, 30.1, IF(D146=11, 30.1, IF(D146=12, 29.2, IF(D146=13, 30.8,IF(D146=14,29.3, IF(D146=15,30.2,IF(D146=16, 30.8,IF(D146=17,30.1,IF(D146=18,29.5,IF(D146=19,28.7,IF(D146=20,30.2,IF(D146=21,31.7, "NOT LISTED")))))))))))))))))))))</f>
        <v>29.6</v>
      </c>
      <c r="K146" s="34">
        <f t="shared" ref="K146" si="196">J146*(H146-E146)</f>
        <v>57.327208000000006</v>
      </c>
      <c r="L146" s="17">
        <f t="shared" ref="L146" si="197">IF(OR(B146="P4",B146="P5",B146="EUS3",B146="EUS",B146="EUS2"),1,0.5)</f>
        <v>0.5</v>
      </c>
      <c r="M146" s="17">
        <f t="shared" ref="M146" si="198">IF(L146 = 0.5, 0.78994,IF(L146=1, 1.33, "NOT LISTED"))</f>
        <v>0.78993999999999998</v>
      </c>
      <c r="N146" s="17">
        <f t="shared" si="120"/>
        <v>1.9603697555881312</v>
      </c>
      <c r="O146" s="25">
        <f t="shared" ref="O146" si="199">K146*N146</f>
        <v>112.38252473550997</v>
      </c>
      <c r="P146" s="25">
        <f t="shared" ref="P146" si="200">(J146*(2.5-E146))*N146</f>
        <v>112.44055168027538</v>
      </c>
      <c r="Q146" s="31">
        <f t="shared" ref="Q146" si="201">(999.83952+16.945176*G146-0.00798704*G146^2-0.000046170461*G146^3+0.00000010556302*G146^4-0.00000000028054253*G146^5)/(1+0.01689785*G146)</f>
        <v>997.01428981250717</v>
      </c>
      <c r="R146" s="17">
        <f t="shared" ref="R146" si="202">IF(I146="NA", 101325, I146*133.322368)</f>
        <v>100018.44047360001</v>
      </c>
      <c r="S146" s="17">
        <v>63.8</v>
      </c>
      <c r="T146" s="27">
        <f t="shared" ref="T146" si="203">G146+273.15</f>
        <v>297.05499999999995</v>
      </c>
      <c r="U146" s="25">
        <f t="shared" ref="U146" si="204">(1+((Q146*S146/R146/100)*(1+0.01*K146)))*N146*(293/T146)</f>
        <v>1.9529564351197051</v>
      </c>
    </row>
    <row r="147" spans="1:21" x14ac:dyDescent="0.35">
      <c r="A147" s="6" t="s">
        <v>104</v>
      </c>
      <c r="B147" s="29" t="s">
        <v>26</v>
      </c>
      <c r="C147" s="4" t="s">
        <v>1989</v>
      </c>
      <c r="D147" s="12">
        <v>14</v>
      </c>
      <c r="E147" s="49">
        <v>0.47863</v>
      </c>
      <c r="F147">
        <v>78.91</v>
      </c>
      <c r="G147" s="12">
        <f t="shared" si="115"/>
        <v>26.06111111111111</v>
      </c>
      <c r="H147">
        <v>2.4990000000000001</v>
      </c>
      <c r="I147" s="75">
        <v>750.2</v>
      </c>
      <c r="J147" s="17">
        <f t="shared" ref="J147" si="205">IF(D147=1, 32.2,IF(D147=2, 30.8, IF(D147=3, 29.9, IF(D147=4, 29.6, IF(D147=5, 29.9, IF(D147=6, 30.2, IF(D147=7, 30.4, IF(D147=8, 28, IF(D147=9, 32.2, IF(D147=10, 30.1, IF(D147=11, 30.1, IF(D147=12, 29.2, IF(D147=13, 30.8,IF(D147=14,29.3, IF(D147=15,30.2,IF(D147=16, 30.8,IF(D147=17,30.1,IF(D147=18,29.5,IF(D147=19,28.7,IF(D147=20,30.2,IF(D147=21,31.7, "NOT LISTED")))))))))))))))))))))</f>
        <v>29.3</v>
      </c>
      <c r="K147" s="34">
        <f t="shared" ref="K147" si="206">J147*(H147-E147)</f>
        <v>59.196841000000006</v>
      </c>
      <c r="L147" s="17">
        <f t="shared" ref="L147" si="207">IF(OR(B147="P4",B147="P5",B147="EUS3",B147="EUS",B147="EUS2"),1,0.5)</f>
        <v>0.5</v>
      </c>
      <c r="M147" s="17">
        <f t="shared" ref="M147" si="208">IF(L147 = 0.5, 0.78994,IF(L147=1, 1.33, "NOT LISTED"))</f>
        <v>0.78993999999999998</v>
      </c>
      <c r="N147" s="17">
        <f t="shared" si="120"/>
        <v>1.9603697555881312</v>
      </c>
      <c r="O147" s="25">
        <f t="shared" ref="O147" si="209">K147*N147</f>
        <v>116.04769672275948</v>
      </c>
      <c r="P147" s="25">
        <f t="shared" ref="P147" si="210">(J147*(2.5-E147))*N147</f>
        <v>116.10513555659821</v>
      </c>
      <c r="Q147" s="31">
        <f t="shared" ref="Q147" si="211">(999.83952+16.945176*G147-0.00798704*G147^2-0.000046170461*G147^3+0.00000010556302*G147^4-0.00000000028054253*G147^5)/(1+0.01689785*G147)</f>
        <v>996.44282858613224</v>
      </c>
      <c r="R147" s="17">
        <f t="shared" ref="R147" si="212">IF(I147="NA", 101325, I147*133.322368)</f>
        <v>100018.44047360001</v>
      </c>
      <c r="S147" s="17">
        <v>64.8</v>
      </c>
      <c r="T147" s="27">
        <f t="shared" ref="T147" si="213">G147+273.15</f>
        <v>299.21111111111111</v>
      </c>
      <c r="U147" s="25">
        <f t="shared" ref="U147" si="214">(1+((Q147*S147/R147/100)*(1+0.01*K147)))*N147*(293/T147)</f>
        <v>1.939405039270004</v>
      </c>
    </row>
    <row r="148" spans="1:21" x14ac:dyDescent="0.35">
      <c r="A148" s="6" t="s">
        <v>104</v>
      </c>
      <c r="B148" s="29" t="s">
        <v>69</v>
      </c>
      <c r="C148" s="4" t="s">
        <v>1992</v>
      </c>
      <c r="D148" s="12">
        <v>11</v>
      </c>
      <c r="E148" s="49">
        <v>0.36691000000000001</v>
      </c>
      <c r="F148">
        <v>74.942999999999998</v>
      </c>
      <c r="G148" s="12">
        <f t="shared" si="115"/>
        <v>23.857222222222219</v>
      </c>
      <c r="H148">
        <v>2.4990000000000001</v>
      </c>
      <c r="I148" s="75">
        <v>750.2</v>
      </c>
      <c r="J148" s="17">
        <f t="shared" ref="J148" si="215">IF(D148=1, 32.2,IF(D148=2, 30.8, IF(D148=3, 29.9, IF(D148=4, 29.6, IF(D148=5, 29.9, IF(D148=6, 30.2, IF(D148=7, 30.4, IF(D148=8, 28, IF(D148=9, 32.2, IF(D148=10, 30.1, IF(D148=11, 30.1, IF(D148=12, 29.2, IF(D148=13, 30.8,IF(D148=14,29.3, IF(D148=15,30.2,IF(D148=16, 30.8,IF(D148=17,30.1,IF(D148=18,29.5,IF(D148=19,28.7,IF(D148=20,30.2,IF(D148=21,31.7, "NOT LISTED")))))))))))))))))))))</f>
        <v>30.1</v>
      </c>
      <c r="K148" s="34">
        <f t="shared" ref="K148" si="216">J148*(H148-E148)</f>
        <v>64.175909000000004</v>
      </c>
      <c r="L148" s="17">
        <f t="shared" ref="L148" si="217">IF(OR(B148="P4",B148="P5",B148="EUS3",B148="EUS",B148="EUS2"),1,0.5)</f>
        <v>0.5</v>
      </c>
      <c r="M148" s="17">
        <f t="shared" ref="M148" si="218">IF(L148 = 0.5, 0.78994,IF(L148=1, 1.33, "NOT LISTED"))</f>
        <v>0.78993999999999998</v>
      </c>
      <c r="N148" s="17">
        <f t="shared" si="120"/>
        <v>1.9603697555881312</v>
      </c>
      <c r="O148" s="25">
        <f t="shared" ref="O148" si="219">K148*N148</f>
        <v>125.80851104097616</v>
      </c>
      <c r="P148" s="25">
        <f t="shared" ref="P148" si="220">(J148*(2.5-E148))*N148</f>
        <v>125.86751817061936</v>
      </c>
      <c r="Q148" s="31">
        <f t="shared" ref="Q148" si="221">(999.83952+16.945176*G148-0.00798704*G148^2-0.000046170461*G148^3+0.00000010556302*G148^4-0.00000000028054253*G148^5)/(1+0.01689785*G148)</f>
        <v>997.02645954303955</v>
      </c>
      <c r="R148" s="17">
        <f t="shared" ref="R148" si="222">IF(I148="NA", 101325, I148*133.322368)</f>
        <v>100018.44047360001</v>
      </c>
      <c r="S148" s="17">
        <v>65.8</v>
      </c>
      <c r="T148" s="27">
        <f t="shared" ref="T148" si="223">G148+273.15</f>
        <v>297.0072222222222</v>
      </c>
      <c r="U148" s="25">
        <f t="shared" ref="U148" si="224">(1+((Q148*S148/R148/100)*(1+0.01*K148)))*N148*(293/T148)</f>
        <v>1.9547461860318096</v>
      </c>
    </row>
    <row r="149" spans="1:21" x14ac:dyDescent="0.35">
      <c r="A149" s="6" t="s">
        <v>104</v>
      </c>
      <c r="B149" s="29" t="s">
        <v>64</v>
      </c>
      <c r="C149" s="4" t="s">
        <v>1995</v>
      </c>
      <c r="D149" s="12">
        <v>3</v>
      </c>
      <c r="E149" s="49">
        <v>4.2119999999999998E-2</v>
      </c>
      <c r="F149">
        <v>73.299000000000007</v>
      </c>
      <c r="G149" s="12">
        <f t="shared" si="115"/>
        <v>22.943888888888893</v>
      </c>
      <c r="H149">
        <v>2.4990000000000001</v>
      </c>
      <c r="I149" s="75">
        <v>745.7</v>
      </c>
      <c r="J149" s="17">
        <f t="shared" ref="J149" si="225">IF(D149=1, 32.2,IF(D149=2, 30.8, IF(D149=3, 29.9, IF(D149=4, 29.6, IF(D149=5, 29.9, IF(D149=6, 30.2, IF(D149=7, 30.4, IF(D149=8, 28, IF(D149=9, 32.2, IF(D149=10, 30.1, IF(D149=11, 30.1, IF(D149=12, 29.2, IF(D149=13, 30.8,IF(D149=14,29.3, IF(D149=15,30.2,IF(D149=16, 30.8,IF(D149=17,30.1,IF(D149=18,29.5,IF(D149=19,28.7,IF(D149=20,30.2,IF(D149=21,31.7, "NOT LISTED")))))))))))))))))))))</f>
        <v>29.9</v>
      </c>
      <c r="K149" s="34">
        <f t="shared" ref="K149" si="226">J149*(H149-E149)</f>
        <v>73.460712000000001</v>
      </c>
      <c r="L149" s="17">
        <f t="shared" ref="L149" si="227">IF(OR(B149="P4",B149="P5",B149="EUS3",B149="EUS",B149="EUS2"),1,0.5)</f>
        <v>0.5</v>
      </c>
      <c r="M149" s="17">
        <f t="shared" ref="M149" si="228">IF(L149 = 0.5, 0.78994,IF(L149=1, 1.33, "NOT LISTED"))</f>
        <v>0.78993999999999998</v>
      </c>
      <c r="N149" s="17">
        <f t="shared" si="120"/>
        <v>1.9603697555881312</v>
      </c>
      <c r="O149" s="25">
        <f t="shared" ref="O149" si="229">K149*N149</f>
        <v>144.01015802877009</v>
      </c>
      <c r="P149" s="25">
        <f t="shared" ref="P149" si="230">(J149*(2.5-E149))*N149</f>
        <v>144.06877308446218</v>
      </c>
      <c r="Q149" s="31">
        <f t="shared" ref="Q149" si="231">(999.83952+16.945176*G149-0.00798704*G149^2-0.000046170461*G149^3+0.00000010556302*G149^4-0.00000000028054253*G149^5)/(1+0.01689785*G149)</f>
        <v>997.2549041278445</v>
      </c>
      <c r="R149" s="17">
        <f t="shared" ref="R149" si="232">IF(I149="NA", 101325, I149*133.322368)</f>
        <v>99418.489817600013</v>
      </c>
      <c r="S149" s="17">
        <v>66.8</v>
      </c>
      <c r="T149" s="27">
        <f t="shared" ref="T149" si="233">G149+273.15</f>
        <v>296.09388888888884</v>
      </c>
      <c r="U149" s="25">
        <f t="shared" ref="U149" si="234">(1+((Q149*S149/R149/100)*(1+0.01*K149)))*N149*(293/T149)</f>
        <v>1.9624330348065879</v>
      </c>
    </row>
    <row r="150" spans="1:21" x14ac:dyDescent="0.35">
      <c r="A150" s="6" t="s">
        <v>104</v>
      </c>
      <c r="B150" s="29" t="s">
        <v>60</v>
      </c>
      <c r="C150" s="4" t="s">
        <v>1998</v>
      </c>
      <c r="D150" s="12">
        <v>6</v>
      </c>
      <c r="E150" s="49">
        <v>0.13736000000000001</v>
      </c>
      <c r="F150">
        <v>74.076999999999998</v>
      </c>
      <c r="G150" s="12">
        <f t="shared" si="115"/>
        <v>23.376111111111111</v>
      </c>
      <c r="H150">
        <v>2.4990000000000001</v>
      </c>
      <c r="I150" s="75">
        <v>745.7</v>
      </c>
      <c r="J150" s="17">
        <f t="shared" ref="J150" si="235">IF(D150=1, 32.2,IF(D150=2, 30.8, IF(D150=3, 29.9, IF(D150=4, 29.6, IF(D150=5, 29.9, IF(D150=6, 30.2, IF(D150=7, 30.4, IF(D150=8, 28, IF(D150=9, 32.2, IF(D150=10, 30.1, IF(D150=11, 30.1, IF(D150=12, 29.2, IF(D150=13, 30.8,IF(D150=14,29.3, IF(D150=15,30.2,IF(D150=16, 30.8,IF(D150=17,30.1,IF(D150=18,29.5,IF(D150=19,28.7,IF(D150=20,30.2,IF(D150=21,31.7, "NOT LISTED")))))))))))))))))))))</f>
        <v>30.2</v>
      </c>
      <c r="K150" s="34">
        <f t="shared" ref="K150" si="236">J150*(H150-E150)</f>
        <v>71.321528000000001</v>
      </c>
      <c r="L150" s="17">
        <f t="shared" ref="L150" si="237">IF(OR(B150="P4",B150="P5",B150="EUS3",B150="EUS",B150="EUS2"),1,0.5)</f>
        <v>0.5</v>
      </c>
      <c r="M150" s="17">
        <f t="shared" ref="M150" si="238">IF(L150 = 0.5, 0.78994,IF(L150=1, 1.33, "NOT LISTED"))</f>
        <v>0.78993999999999998</v>
      </c>
      <c r="N150" s="17">
        <f t="shared" si="120"/>
        <v>1.9603697555881312</v>
      </c>
      <c r="O150" s="25">
        <f t="shared" ref="O150" si="239">K150*N150</f>
        <v>139.81656641353206</v>
      </c>
      <c r="P150" s="25">
        <f t="shared" ref="P150" si="240">(J150*(2.5-E150))*N150</f>
        <v>139.8757695801508</v>
      </c>
      <c r="Q150" s="31">
        <f t="shared" ref="Q150" si="241">(999.83952+16.945176*G150-0.00798704*G150^2-0.000046170461*G150^3+0.00000010556302*G150^4-0.00000000028054253*G150^5)/(1+0.01689785*G150)</f>
        <v>997.1477931619105</v>
      </c>
      <c r="R150" s="17">
        <f t="shared" ref="R150" si="242">IF(I150="NA", 101325, I150*133.322368)</f>
        <v>99418.489817600013</v>
      </c>
      <c r="S150" s="17">
        <v>67.8</v>
      </c>
      <c r="T150" s="27">
        <f t="shared" ref="T150" si="243">G150+273.15</f>
        <v>296.52611111111111</v>
      </c>
      <c r="U150" s="25">
        <f t="shared" ref="U150" si="244">(1+((Q150*S150/R150/100)*(1+0.01*K150)))*N150*(293/T150)</f>
        <v>1.9596253592082842</v>
      </c>
    </row>
    <row r="151" spans="1:21" x14ac:dyDescent="0.35">
      <c r="A151" s="6" t="s">
        <v>104</v>
      </c>
      <c r="B151" s="29" t="s">
        <v>167</v>
      </c>
      <c r="C151" s="4" t="s">
        <v>2010</v>
      </c>
      <c r="D151" s="12">
        <v>3</v>
      </c>
      <c r="E151" s="49">
        <v>0.67337999999999998</v>
      </c>
      <c r="F151">
        <v>90.379000000000005</v>
      </c>
      <c r="G151" s="12">
        <f t="shared" si="115"/>
        <v>32.43277777777778</v>
      </c>
      <c r="H151">
        <v>2.4990000000000001</v>
      </c>
      <c r="I151" s="75">
        <v>745.7</v>
      </c>
      <c r="J151" s="17">
        <f t="shared" ref="J151" si="245">IF(D151=1, 32.2,IF(D151=2, 30.8, IF(D151=3, 29.9, IF(D151=4, 29.6, IF(D151=5, 29.9, IF(D151=6, 30.2, IF(D151=7, 30.4, IF(D151=8, 28, IF(D151=9, 32.2, IF(D151=10, 30.1, IF(D151=11, 30.1, IF(D151=12, 29.2, IF(D151=13, 30.8,IF(D151=14,29.3, IF(D151=15,30.2,IF(D151=16, 30.8,IF(D151=17,30.1,IF(D151=18,29.5,IF(D151=19,28.7,IF(D151=20,30.2,IF(D151=21,31.7, "NOT LISTED")))))))))))))))))))))</f>
        <v>29.9</v>
      </c>
      <c r="K151" s="34">
        <f t="shared" ref="K151" si="246">J151*(H151-E151)</f>
        <v>54.586038000000002</v>
      </c>
      <c r="L151" s="17">
        <f t="shared" ref="L151" si="247">IF(OR(B151="P4",B151="P5",B151="EUS3",B151="EUS",B151="EUS2"),1,0.5)</f>
        <v>0.5</v>
      </c>
      <c r="M151" s="17">
        <f t="shared" ref="M151" si="248">IF(L151 = 0.5, 0.78994,IF(L151=1, 1.33, "NOT LISTED"))</f>
        <v>0.78993999999999998</v>
      </c>
      <c r="N151" s="17">
        <f t="shared" si="120"/>
        <v>1.9603697555881312</v>
      </c>
      <c r="O151" s="25">
        <f t="shared" ref="O151" si="249">K151*N151</f>
        <v>107.00881797258445</v>
      </c>
      <c r="P151" s="25">
        <f t="shared" ref="P151" si="250">(J151*(2.5-E151))*N151</f>
        <v>107.06743302827653</v>
      </c>
      <c r="Q151" s="31">
        <f t="shared" ref="Q151" si="251">(999.83952+16.945176*G151-0.00798704*G151^2-0.000046170461*G151^3+0.00000010556302*G151^4-0.00000000028054253*G151^5)/(1+0.01689785*G151)</f>
        <v>994.51216489890749</v>
      </c>
      <c r="R151" s="17">
        <f t="shared" ref="R151" si="252">IF(I151="NA", 101325, I151*133.322368)</f>
        <v>99418.489817600013</v>
      </c>
      <c r="S151" s="17">
        <v>68.8</v>
      </c>
      <c r="T151" s="27">
        <f t="shared" ref="T151" si="253">G151+273.15</f>
        <v>305.58277777777778</v>
      </c>
      <c r="U151" s="25">
        <f t="shared" ref="U151" si="254">(1+((Q151*S151/R151/100)*(1+0.01*K151)))*N151*(293/T151)</f>
        <v>1.8996465438025696</v>
      </c>
    </row>
    <row r="152" spans="1:21" x14ac:dyDescent="0.35">
      <c r="A152" s="6" t="s">
        <v>104</v>
      </c>
      <c r="B152" s="29" t="s">
        <v>26</v>
      </c>
      <c r="C152" s="4" t="s">
        <v>2001</v>
      </c>
      <c r="D152" s="12">
        <v>14</v>
      </c>
      <c r="E152" s="49">
        <v>0.74480999999999997</v>
      </c>
      <c r="F152">
        <v>78.995999999999995</v>
      </c>
      <c r="G152" s="12">
        <f t="shared" si="115"/>
        <v>26.108888888888885</v>
      </c>
      <c r="H152">
        <v>0.95726</v>
      </c>
      <c r="I152" s="75">
        <v>745.7</v>
      </c>
      <c r="J152" s="17">
        <f t="shared" ref="J152" si="255">IF(D152=1, 32.2,IF(D152=2, 30.8, IF(D152=3, 29.9, IF(D152=4, 29.6, IF(D152=5, 29.9, IF(D152=6, 30.2, IF(D152=7, 30.4, IF(D152=8, 28, IF(D152=9, 32.2, IF(D152=10, 30.1, IF(D152=11, 30.1, IF(D152=12, 29.2, IF(D152=13, 30.8,IF(D152=14,29.3, IF(D152=15,30.2,IF(D152=16, 30.8,IF(D152=17,30.1,IF(D152=18,29.5,IF(D152=19,28.7,IF(D152=20,30.2,IF(D152=21,31.7, "NOT LISTED")))))))))))))))))))))</f>
        <v>29.3</v>
      </c>
      <c r="K152" s="34">
        <f t="shared" ref="K152" si="256">J152*(H152-E152)</f>
        <v>6.2247850000000007</v>
      </c>
      <c r="L152" s="17">
        <f t="shared" ref="L152" si="257">IF(OR(B152="P4",B152="P5",B152="EUS3",B152="EUS",B152="EUS2"),1,0.5)</f>
        <v>0.5</v>
      </c>
      <c r="M152" s="17">
        <f t="shared" ref="M152" si="258">IF(L152 = 0.5, 0.78994,IF(L152=1, 1.33, "NOT LISTED"))</f>
        <v>0.78993999999999998</v>
      </c>
      <c r="N152" s="17">
        <f t="shared" si="120"/>
        <v>1.9603697555881312</v>
      </c>
      <c r="O152" s="25">
        <f t="shared" ref="O152" si="259">K152*N152</f>
        <v>12.202880249038667</v>
      </c>
      <c r="P152" s="25">
        <f t="shared" ref="P152" si="260">(J152*(2.5-E152))*N152</f>
        <v>100.81606676540444</v>
      </c>
      <c r="Q152" s="31">
        <f t="shared" ref="Q152" si="261">(999.83952+16.945176*G152-0.00798704*G152^2-0.000046170461*G152^3+0.00000010556302*G152^4-0.00000000028054253*G152^5)/(1+0.01689785*G152)</f>
        <v>996.42967890496493</v>
      </c>
      <c r="R152" s="17">
        <f t="shared" ref="R152" si="262">IF(I152="NA", 101325, I152*133.322368)</f>
        <v>99418.489817600013</v>
      </c>
      <c r="S152" s="17">
        <v>69.8</v>
      </c>
      <c r="T152" s="27">
        <f t="shared" ref="T152" si="263">G152+273.15</f>
        <v>299.25888888888886</v>
      </c>
      <c r="U152" s="25">
        <f t="shared" ref="U152" si="264">(1+((Q152*S152/R152/100)*(1+0.01*K152)))*N152*(293/T152)</f>
        <v>1.9336326252673599</v>
      </c>
    </row>
    <row r="153" spans="1:21" x14ac:dyDescent="0.35">
      <c r="A153" s="6" t="s">
        <v>104</v>
      </c>
      <c r="B153" s="29" t="s">
        <v>25</v>
      </c>
      <c r="C153" s="4" t="s">
        <v>2002</v>
      </c>
      <c r="D153" s="12">
        <v>4</v>
      </c>
      <c r="E153" s="49">
        <v>0.52929999999999999</v>
      </c>
      <c r="F153">
        <v>71.102999999999994</v>
      </c>
      <c r="G153" s="12">
        <f t="shared" si="115"/>
        <v>21.723888888888887</v>
      </c>
      <c r="H153">
        <v>2.4990000000000001</v>
      </c>
      <c r="I153" s="75">
        <v>745.7</v>
      </c>
      <c r="J153" s="17">
        <f t="shared" ref="J153:J156" si="265">IF(D153=1, 32.2,IF(D153=2, 30.8, IF(D153=3, 29.9, IF(D153=4, 29.6, IF(D153=5, 29.9, IF(D153=6, 30.2, IF(D153=7, 30.4, IF(D153=8, 28, IF(D153=9, 32.2, IF(D153=10, 30.1, IF(D153=11, 30.1, IF(D153=12, 29.2, IF(D153=13, 30.8,IF(D153=14,29.3, IF(D153=15,30.2,IF(D153=16, 30.8,IF(D153=17,30.1,IF(D153=18,29.5,IF(D153=19,28.7,IF(D153=20,30.2,IF(D153=21,31.7, "NOT LISTED")))))))))))))))))))))</f>
        <v>29.6</v>
      </c>
      <c r="K153" s="34">
        <f t="shared" ref="K153:K156" si="266">J153*(H153-E153)</f>
        <v>58.30312</v>
      </c>
      <c r="L153" s="17">
        <f t="shared" ref="L153:L183" si="267">IF(OR(B153="P4",B153="P5",B153="EUS3",B153="EUS",B153="EUS2"),1,0.5)</f>
        <v>0.5</v>
      </c>
      <c r="M153" s="17">
        <f t="shared" ref="M153:M183" si="268">IF(L153 = 0.5, 0.78994,IF(L153=1, 1.33, "NOT LISTED"))</f>
        <v>0.78993999999999998</v>
      </c>
      <c r="N153" s="17">
        <f t="shared" si="120"/>
        <v>1.9603697555881312</v>
      </c>
      <c r="O153" s="25">
        <f t="shared" ref="O153:O156" si="269">K153*N153</f>
        <v>114.29567310442549</v>
      </c>
      <c r="P153" s="25">
        <f t="shared" ref="P153:P156" si="270">(J153*(2.5-E153))*N153</f>
        <v>114.35370004919089</v>
      </c>
      <c r="Q153" s="31">
        <f t="shared" ref="Q153:Q156" si="271">(999.83952+16.945176*G153-0.00798704*G153^2-0.000046170461*G153^3+0.00000010556302*G153^4-0.00000000028054253*G153^5)/(1+0.01689785*G153)</f>
        <v>997.54743576421015</v>
      </c>
      <c r="R153" s="17">
        <f t="shared" ref="R153:R156" si="272">IF(I153="NA", 101325, I153*133.322368)</f>
        <v>99418.489817600013</v>
      </c>
      <c r="S153" s="17">
        <v>70.8</v>
      </c>
      <c r="T153" s="27">
        <f t="shared" ref="T153:T156" si="273">G153+273.15</f>
        <v>294.87388888888887</v>
      </c>
      <c r="U153" s="25">
        <f t="shared" ref="U153:U156" si="274">(1+((Q153*S153/R153/100)*(1+0.01*K153)))*N153*(293/T153)</f>
        <v>1.9698176012710742</v>
      </c>
    </row>
    <row r="154" spans="1:21" x14ac:dyDescent="0.35">
      <c r="A154" s="6" t="s">
        <v>104</v>
      </c>
      <c r="B154" s="29" t="s">
        <v>14</v>
      </c>
      <c r="C154" s="4" t="s">
        <v>2005</v>
      </c>
      <c r="D154" s="12">
        <v>5</v>
      </c>
      <c r="E154" s="49">
        <v>0.17521</v>
      </c>
      <c r="F154">
        <v>71.316999999999993</v>
      </c>
      <c r="G154" s="12">
        <f t="shared" si="115"/>
        <v>21.842777777777773</v>
      </c>
      <c r="H154">
        <v>2.4990000000000001</v>
      </c>
      <c r="I154" s="75">
        <v>745.7</v>
      </c>
      <c r="J154" s="17">
        <f t="shared" si="265"/>
        <v>29.9</v>
      </c>
      <c r="K154" s="34">
        <f t="shared" si="266"/>
        <v>69.481321000000008</v>
      </c>
      <c r="L154" s="17">
        <f t="shared" si="267"/>
        <v>1</v>
      </c>
      <c r="M154" s="17">
        <f t="shared" si="268"/>
        <v>1.33</v>
      </c>
      <c r="N154" s="17">
        <f t="shared" si="120"/>
        <v>5.5571620888000011</v>
      </c>
      <c r="O154" s="25">
        <f t="shared" si="269"/>
        <v>386.11896294094345</v>
      </c>
      <c r="P154" s="25">
        <f t="shared" si="270"/>
        <v>386.28512208739852</v>
      </c>
      <c r="Q154" s="31">
        <f t="shared" si="271"/>
        <v>997.51957164256191</v>
      </c>
      <c r="R154" s="17">
        <f t="shared" si="272"/>
        <v>99418.489817600013</v>
      </c>
      <c r="S154" s="17">
        <v>71.8</v>
      </c>
      <c r="T154" s="27">
        <f t="shared" si="273"/>
        <v>294.99277777777775</v>
      </c>
      <c r="U154" s="25">
        <f t="shared" si="274"/>
        <v>5.5870137790269307</v>
      </c>
    </row>
    <row r="155" spans="1:21" x14ac:dyDescent="0.35">
      <c r="A155" s="6" t="s">
        <v>104</v>
      </c>
      <c r="B155" s="29" t="s">
        <v>9</v>
      </c>
      <c r="C155" s="4" t="s">
        <v>2007</v>
      </c>
      <c r="D155" s="12">
        <v>18</v>
      </c>
      <c r="E155" s="49">
        <v>0.30403000000000002</v>
      </c>
      <c r="F155">
        <v>70.200999999999993</v>
      </c>
      <c r="G155" s="12">
        <f t="shared" si="115"/>
        <v>21.222777777777775</v>
      </c>
      <c r="H155">
        <v>2.4990000000000001</v>
      </c>
      <c r="I155" s="75">
        <v>745.7</v>
      </c>
      <c r="J155" s="17">
        <f t="shared" si="265"/>
        <v>29.5</v>
      </c>
      <c r="K155" s="34">
        <f t="shared" si="266"/>
        <v>64.751615000000001</v>
      </c>
      <c r="L155" s="17">
        <f t="shared" si="267"/>
        <v>1</v>
      </c>
      <c r="M155" s="17">
        <f t="shared" si="268"/>
        <v>1.33</v>
      </c>
      <c r="N155" s="17">
        <f t="shared" si="120"/>
        <v>5.5571620888000011</v>
      </c>
      <c r="O155" s="25">
        <f t="shared" si="269"/>
        <v>359.83522006657347</v>
      </c>
      <c r="P155" s="25">
        <f t="shared" si="270"/>
        <v>359.99915634819308</v>
      </c>
      <c r="Q155" s="31">
        <f t="shared" si="271"/>
        <v>997.66333794723778</v>
      </c>
      <c r="R155" s="17">
        <f t="shared" si="272"/>
        <v>99418.489817600013</v>
      </c>
      <c r="S155" s="17">
        <v>72.8</v>
      </c>
      <c r="T155" s="27">
        <f t="shared" si="273"/>
        <v>294.37277777777774</v>
      </c>
      <c r="U155" s="25">
        <f t="shared" si="274"/>
        <v>5.5978202560539678</v>
      </c>
    </row>
    <row r="156" spans="1:21" x14ac:dyDescent="0.35">
      <c r="A156" s="6" t="s">
        <v>104</v>
      </c>
      <c r="B156" s="29" t="s">
        <v>18</v>
      </c>
      <c r="C156" s="4" t="s">
        <v>2008</v>
      </c>
      <c r="D156" s="12">
        <v>16</v>
      </c>
      <c r="E156" s="49">
        <v>0.32601000000000002</v>
      </c>
      <c r="F156">
        <v>71.834000000000003</v>
      </c>
      <c r="G156" s="12">
        <f t="shared" si="115"/>
        <v>22.130000000000003</v>
      </c>
      <c r="H156">
        <v>2.4990000000000001</v>
      </c>
      <c r="I156" s="75">
        <v>745.7</v>
      </c>
      <c r="J156" s="17">
        <f t="shared" si="265"/>
        <v>30.8</v>
      </c>
      <c r="K156" s="34">
        <f t="shared" si="266"/>
        <v>66.928092000000007</v>
      </c>
      <c r="L156" s="17">
        <f t="shared" si="267"/>
        <v>1</v>
      </c>
      <c r="M156" s="17">
        <f t="shared" si="268"/>
        <v>1.33</v>
      </c>
      <c r="N156" s="17">
        <f t="shared" si="120"/>
        <v>5.5571620888000011</v>
      </c>
      <c r="O156" s="25">
        <f t="shared" si="269"/>
        <v>371.93025553811867</v>
      </c>
      <c r="P156" s="25">
        <f t="shared" si="270"/>
        <v>372.10141613045363</v>
      </c>
      <c r="Q156" s="31">
        <f t="shared" si="271"/>
        <v>997.45167896998828</v>
      </c>
      <c r="R156" s="17">
        <f t="shared" si="272"/>
        <v>99418.489817600013</v>
      </c>
      <c r="S156" s="17">
        <v>73.8</v>
      </c>
      <c r="T156" s="27">
        <f t="shared" si="273"/>
        <v>295.27999999999997</v>
      </c>
      <c r="U156" s="25">
        <f t="shared" si="274"/>
        <v>5.5824074566195048</v>
      </c>
    </row>
    <row r="157" spans="1:21" x14ac:dyDescent="0.35">
      <c r="A157" s="6" t="s">
        <v>104</v>
      </c>
      <c r="B157" s="29" t="s">
        <v>64</v>
      </c>
      <c r="C157" s="4" t="s">
        <v>2034</v>
      </c>
      <c r="D157" s="12">
        <v>2</v>
      </c>
      <c r="E157" s="49">
        <v>5.9220000000000002E-2</v>
      </c>
      <c r="F157">
        <v>72.135999999999996</v>
      </c>
      <c r="G157" s="12">
        <f t="shared" si="115"/>
        <v>22.297777777777775</v>
      </c>
      <c r="H157">
        <v>2.4990000000000001</v>
      </c>
      <c r="I157" s="75">
        <v>746.4</v>
      </c>
      <c r="J157" s="17">
        <f t="shared" ref="J157" si="275">IF(D157=1, 32.2,IF(D157=2, 30.8, IF(D157=3, 29.9, IF(D157=4, 29.6, IF(D157=5, 29.9, IF(D157=6, 30.2, IF(D157=7, 30.4, IF(D157=8, 28, IF(D157=9, 32.2, IF(D157=10, 30.1, IF(D157=11, 30.1, IF(D157=12, 29.2, IF(D157=13, 30.8,IF(D157=14,29.3, IF(D157=15,30.2,IF(D157=16, 30.8,IF(D157=17,30.1,IF(D157=18,29.5,IF(D157=19,28.7,IF(D157=20,30.2,IF(D157=21,31.7, "NOT LISTED")))))))))))))))))))))</f>
        <v>30.8</v>
      </c>
      <c r="K157" s="34">
        <f t="shared" ref="K157" si="276">J157*(H157-E157)</f>
        <v>75.145224000000013</v>
      </c>
      <c r="L157" s="17">
        <f t="shared" si="267"/>
        <v>0.5</v>
      </c>
      <c r="M157" s="17">
        <f t="shared" si="268"/>
        <v>0.78993999999999998</v>
      </c>
      <c r="N157" s="17">
        <f t="shared" si="120"/>
        <v>1.9603697555881312</v>
      </c>
      <c r="O157" s="25">
        <f t="shared" ref="O157" si="277">K157*N157</f>
        <v>147.31242440649541</v>
      </c>
      <c r="P157" s="25">
        <f t="shared" ref="P157" si="278">(J157*(2.5-E157))*N157</f>
        <v>147.3728037949675</v>
      </c>
      <c r="Q157" s="31">
        <f t="shared" ref="Q157" si="279">(999.83952+16.945176*G157-0.00798704*G157^2-0.000046170461*G157^3+0.00000010556302*G157^4-0.00000000028054253*G157^5)/(1+0.01689785*G157)</f>
        <v>997.41164461200822</v>
      </c>
      <c r="R157" s="17">
        <f t="shared" ref="R157" si="280">IF(I157="NA", 101325, I157*133.322368)</f>
        <v>99511.815475200012</v>
      </c>
      <c r="S157" s="17">
        <v>74.8</v>
      </c>
      <c r="T157" s="27">
        <f t="shared" ref="T157" si="281">G157+273.15</f>
        <v>295.44777777777773</v>
      </c>
      <c r="U157" s="25">
        <f t="shared" ref="U157" si="282">(1+((Q157*S157/R157/100)*(1+0.01*K157)))*N157*(293/T157)</f>
        <v>1.9696565961401982</v>
      </c>
    </row>
    <row r="158" spans="1:21" x14ac:dyDescent="0.35">
      <c r="A158" s="6" t="s">
        <v>104</v>
      </c>
      <c r="B158" s="29" t="s">
        <v>69</v>
      </c>
      <c r="C158" s="4" t="s">
        <v>2124</v>
      </c>
      <c r="D158" s="12">
        <v>11</v>
      </c>
      <c r="E158" s="49">
        <v>0.38217000000000001</v>
      </c>
      <c r="F158">
        <v>71.834000000000003</v>
      </c>
      <c r="G158" s="12">
        <f t="shared" si="115"/>
        <v>22.130000000000003</v>
      </c>
      <c r="H158">
        <v>2.4990000000000001</v>
      </c>
      <c r="I158" s="75">
        <v>746.4</v>
      </c>
      <c r="J158" s="17">
        <f t="shared" ref="J158" si="283">IF(D158=1, 32.2,IF(D158=2, 30.8, IF(D158=3, 29.9, IF(D158=4, 29.6, IF(D158=5, 29.9, IF(D158=6, 30.2, IF(D158=7, 30.4, IF(D158=8, 28, IF(D158=9, 32.2, IF(D158=10, 30.1, IF(D158=11, 30.1, IF(D158=12, 29.2, IF(D158=13, 30.8,IF(D158=14,29.3, IF(D158=15,30.2,IF(D158=16, 30.8,IF(D158=17,30.1,IF(D158=18,29.5,IF(D158=19,28.7,IF(D158=20,30.2,IF(D158=21,31.7, "NOT LISTED")))))))))))))))))))))</f>
        <v>30.1</v>
      </c>
      <c r="K158" s="34">
        <f t="shared" ref="K158" si="284">J158*(H158-E158)</f>
        <v>63.716583000000007</v>
      </c>
      <c r="L158" s="17">
        <f t="shared" si="267"/>
        <v>0.5</v>
      </c>
      <c r="M158" s="17">
        <f t="shared" si="268"/>
        <v>0.78993999999999998</v>
      </c>
      <c r="N158" s="17">
        <f t="shared" si="120"/>
        <v>1.9603697555881312</v>
      </c>
      <c r="O158" s="25">
        <f t="shared" ref="O158" si="285">K158*N158</f>
        <v>124.90806224262089</v>
      </c>
      <c r="P158" s="25">
        <f t="shared" ref="P158" si="286">(J158*(2.5-E158))*N158</f>
        <v>124.96706937226409</v>
      </c>
      <c r="Q158" s="31">
        <f t="shared" ref="Q158" si="287">(999.83952+16.945176*G158-0.00798704*G158^2-0.000046170461*G158^3+0.00000010556302*G158^4-0.00000000028054253*G158^5)/(1+0.01689785*G158)</f>
        <v>997.45167896998828</v>
      </c>
      <c r="R158" s="17">
        <f t="shared" ref="R158" si="288">IF(I158="NA", 101325, I158*133.322368)</f>
        <v>99511.815475200012</v>
      </c>
      <c r="S158" s="17">
        <v>75.8</v>
      </c>
      <c r="T158" s="27">
        <f t="shared" ref="T158" si="289">G158+273.15</f>
        <v>295.27999999999997</v>
      </c>
      <c r="U158" s="25">
        <f t="shared" ref="U158" si="290">(1+((Q158*S158/R158/100)*(1+0.01*K158)))*N158*(293/T158)</f>
        <v>1.9694291860696977</v>
      </c>
    </row>
    <row r="159" spans="1:21" x14ac:dyDescent="0.35">
      <c r="A159" s="6" t="s">
        <v>104</v>
      </c>
      <c r="B159" s="29" t="s">
        <v>60</v>
      </c>
      <c r="C159" s="4" t="s">
        <v>2070</v>
      </c>
      <c r="D159" s="12">
        <v>6</v>
      </c>
      <c r="E159" s="49">
        <v>0.59279999999999999</v>
      </c>
      <c r="F159">
        <v>73.082999999999998</v>
      </c>
      <c r="G159" s="12">
        <f t="shared" si="115"/>
        <v>22.823888888888888</v>
      </c>
      <c r="H159">
        <v>2.4990000000000001</v>
      </c>
      <c r="I159" s="75">
        <v>746.4</v>
      </c>
      <c r="J159" s="17">
        <f t="shared" ref="J159" si="291">IF(D159=1, 32.2,IF(D159=2, 30.8, IF(D159=3, 29.9, IF(D159=4, 29.6, IF(D159=5, 29.9, IF(D159=6, 30.2, IF(D159=7, 30.4, IF(D159=8, 28, IF(D159=9, 32.2, IF(D159=10, 30.1, IF(D159=11, 30.1, IF(D159=12, 29.2, IF(D159=13, 30.8,IF(D159=14,29.3, IF(D159=15,30.2,IF(D159=16, 30.8,IF(D159=17,30.1,IF(D159=18,29.5,IF(D159=19,28.7,IF(D159=20,30.2,IF(D159=21,31.7, "NOT LISTED")))))))))))))))))))))</f>
        <v>30.2</v>
      </c>
      <c r="K159" s="34">
        <f t="shared" ref="K159:K160" si="292">J159*(H159-E159)</f>
        <v>57.567240000000005</v>
      </c>
      <c r="L159" s="17">
        <f t="shared" si="267"/>
        <v>0.5</v>
      </c>
      <c r="M159" s="17">
        <f t="shared" si="268"/>
        <v>0.78993999999999998</v>
      </c>
      <c r="N159" s="17">
        <f t="shared" si="120"/>
        <v>1.9603697555881312</v>
      </c>
      <c r="O159" s="25">
        <f t="shared" ref="O159" si="293">K159*N159</f>
        <v>112.85307620868331</v>
      </c>
      <c r="P159" s="25">
        <f t="shared" ref="P159" si="294">(J159*(2.5-E159))*N159</f>
        <v>112.91227937530205</v>
      </c>
      <c r="Q159" s="31">
        <f t="shared" ref="Q159" si="295">(999.83952+16.945176*G159-0.00798704*G159^2-0.000046170461*G159^3+0.00000010556302*G159^4-0.00000000028054253*G159^5)/(1+0.01689785*G159)</f>
        <v>997.28432195275082</v>
      </c>
      <c r="R159" s="17">
        <f t="shared" ref="R159" si="296">IF(I159="NA", 101325, I159*133.322368)</f>
        <v>99511.815475200012</v>
      </c>
      <c r="S159" s="17">
        <v>76.8</v>
      </c>
      <c r="T159" s="27">
        <f t="shared" ref="T159" si="297">G159+273.15</f>
        <v>295.97388888888884</v>
      </c>
      <c r="U159" s="25">
        <f t="shared" ref="U159" si="298">(1+((Q159*S159/R159/100)*(1+0.01*K159)))*N159*(293/T159)</f>
        <v>1.9642078511028989</v>
      </c>
    </row>
    <row r="160" spans="1:21" x14ac:dyDescent="0.35">
      <c r="A160" s="6" t="s">
        <v>104</v>
      </c>
      <c r="B160" s="29" t="s">
        <v>9</v>
      </c>
      <c r="C160" s="4" t="s">
        <v>2071</v>
      </c>
      <c r="D160" s="12">
        <v>18</v>
      </c>
      <c r="E160" s="49">
        <v>0.33822000000000002</v>
      </c>
      <c r="F160">
        <v>66.686000000000007</v>
      </c>
      <c r="G160" s="12">
        <f t="shared" si="115"/>
        <v>19.270000000000003</v>
      </c>
      <c r="H160">
        <v>2.4990000000000001</v>
      </c>
      <c r="I160" s="75">
        <v>741.5</v>
      </c>
      <c r="J160" s="17">
        <f t="shared" ref="J160" si="299">IF(D160=1, 32.2,IF(D160=2, 30.8, IF(D160=3, 29.9, IF(D160=4, 29.6, IF(D160=5, 29.9, IF(D160=6, 30.2, IF(D160=7, 30.4, IF(D160=8, 28, IF(D160=9, 32.2, IF(D160=10, 30.1, IF(D160=11, 30.1, IF(D160=12, 29.2, IF(D160=13, 30.8,IF(D160=14,29.3, IF(D160=15,30.2,IF(D160=16, 30.8,IF(D160=17,30.1,IF(D160=18,29.5,IF(D160=19,28.7,IF(D160=20,30.2,IF(D160=21,31.7, "NOT LISTED")))))))))))))))))))))</f>
        <v>29.5</v>
      </c>
      <c r="K160" s="34">
        <f t="shared" si="292"/>
        <v>63.743009999999998</v>
      </c>
      <c r="L160" s="17">
        <f t="shared" si="267"/>
        <v>1</v>
      </c>
      <c r="M160" s="17">
        <f t="shared" si="268"/>
        <v>1.33</v>
      </c>
      <c r="N160" s="17">
        <f t="shared" si="120"/>
        <v>5.5571620888000011</v>
      </c>
      <c r="O160" s="25">
        <f t="shared" ref="O160" si="300">K160*N160</f>
        <v>354.23023859799935</v>
      </c>
      <c r="P160" s="25">
        <f t="shared" ref="P160" si="301">(J160*(2.5-E160))*N160</f>
        <v>354.39417487961896</v>
      </c>
      <c r="Q160" s="31">
        <f t="shared" ref="Q160" si="302">(999.83952+16.945176*G160-0.00798704*G160^2-0.000046170461*G160^3+0.00000010556302*G160^4-0.00000000028054253*G160^5)/(1+0.01689785*G160)</f>
        <v>998.09076363473218</v>
      </c>
      <c r="R160" s="17">
        <f t="shared" ref="R160" si="303">IF(I160="NA", 101325, I160*133.322368)</f>
        <v>98858.535872000008</v>
      </c>
      <c r="S160" s="17">
        <v>77.8</v>
      </c>
      <c r="T160" s="27">
        <f t="shared" ref="T160" si="304">G160+273.15</f>
        <v>292.41999999999996</v>
      </c>
      <c r="U160" s="25">
        <f t="shared" ref="U160" si="305">(1+((Q160*S160/R160/100)*(1+0.01*K160)))*N160*(293/T160)</f>
        <v>5.6398007269989252</v>
      </c>
    </row>
    <row r="161" spans="1:21" x14ac:dyDescent="0.35">
      <c r="A161" s="6" t="s">
        <v>104</v>
      </c>
      <c r="B161" s="29" t="s">
        <v>14</v>
      </c>
      <c r="C161" s="4" t="s">
        <v>2076</v>
      </c>
      <c r="D161" s="12">
        <v>5</v>
      </c>
      <c r="E161" s="49">
        <v>0.12393</v>
      </c>
      <c r="F161">
        <v>69.3</v>
      </c>
      <c r="G161" s="12">
        <f t="shared" si="115"/>
        <v>20.722222222222221</v>
      </c>
      <c r="H161">
        <v>2.4990000000000001</v>
      </c>
      <c r="I161" s="75">
        <v>741.5</v>
      </c>
      <c r="J161" s="17">
        <f t="shared" ref="J161" si="306">IF(D161=1, 32.2,IF(D161=2, 30.8, IF(D161=3, 29.9, IF(D161=4, 29.6, IF(D161=5, 29.9, IF(D161=6, 30.2, IF(D161=7, 30.4, IF(D161=8, 28, IF(D161=9, 32.2, IF(D161=10, 30.1, IF(D161=11, 30.1, IF(D161=12, 29.2, IF(D161=13, 30.8,IF(D161=14,29.3, IF(D161=15,30.2,IF(D161=16, 30.8,IF(D161=17,30.1,IF(D161=18,29.5,IF(D161=19,28.7,IF(D161=20,30.2,IF(D161=21,31.7, "NOT LISTED")))))))))))))))))))))</f>
        <v>29.9</v>
      </c>
      <c r="K161" s="34">
        <f t="shared" ref="K161" si="307">J161*(H161-E161)</f>
        <v>71.014592999999991</v>
      </c>
      <c r="L161" s="17">
        <f t="shared" si="267"/>
        <v>1</v>
      </c>
      <c r="M161" s="17">
        <f t="shared" si="268"/>
        <v>1.33</v>
      </c>
      <c r="N161" s="17">
        <f t="shared" si="120"/>
        <v>5.5571620888000011</v>
      </c>
      <c r="O161" s="25">
        <f t="shared" ref="O161" si="308">K161*N161</f>
        <v>394.63960397116188</v>
      </c>
      <c r="P161" s="25">
        <f t="shared" ref="P161" si="309">(J161*(2.5-E161))*N161</f>
        <v>394.805763117617</v>
      </c>
      <c r="Q161" s="31">
        <f t="shared" ref="Q161" si="310">(999.83952+16.945176*G161-0.00798704*G161^2-0.000046170461*G161^3+0.00000010556302*G161^4-0.00000000028054253*G161^5)/(1+0.01689785*G161)</f>
        <v>997.77660132108997</v>
      </c>
      <c r="R161" s="17">
        <f t="shared" ref="R161" si="311">IF(I161="NA", 101325, I161*133.322368)</f>
        <v>98858.535872000008</v>
      </c>
      <c r="S161" s="17">
        <v>78.8</v>
      </c>
      <c r="T161" s="27">
        <f t="shared" ref="T161" si="312">G161+273.15</f>
        <v>293.87222222222221</v>
      </c>
      <c r="U161" s="25">
        <f t="shared" ref="U161" si="313">(1+((Q161*S161/R161/100)*(1+0.01*K161)))*N161*(293/T161)</f>
        <v>5.6160282158239392</v>
      </c>
    </row>
    <row r="162" spans="1:21" x14ac:dyDescent="0.35">
      <c r="A162" s="6" t="s">
        <v>104</v>
      </c>
      <c r="B162" s="29" t="s">
        <v>18</v>
      </c>
      <c r="C162" s="4" t="s">
        <v>2079</v>
      </c>
      <c r="D162" s="12">
        <v>16</v>
      </c>
      <c r="E162" s="49">
        <v>0.35043000000000002</v>
      </c>
      <c r="F162">
        <v>68.27</v>
      </c>
      <c r="G162" s="12">
        <f t="shared" si="115"/>
        <v>20.149999999999999</v>
      </c>
      <c r="H162">
        <v>2.4990000000000001</v>
      </c>
      <c r="I162" s="75">
        <v>741.5</v>
      </c>
      <c r="J162" s="17">
        <f t="shared" ref="J162" si="314">IF(D162=1, 32.2,IF(D162=2, 30.8, IF(D162=3, 29.9, IF(D162=4, 29.6, IF(D162=5, 29.9, IF(D162=6, 30.2, IF(D162=7, 30.4, IF(D162=8, 28, IF(D162=9, 32.2, IF(D162=10, 30.1, IF(D162=11, 30.1, IF(D162=12, 29.2, IF(D162=13, 30.8,IF(D162=14,29.3, IF(D162=15,30.2,IF(D162=16, 30.8,IF(D162=17,30.1,IF(D162=18,29.5,IF(D162=19,28.7,IF(D162=20,30.2,IF(D162=21,31.7, "NOT LISTED")))))))))))))))))))))</f>
        <v>30.8</v>
      </c>
      <c r="K162" s="34">
        <f t="shared" ref="K162" si="315">J162*(H162-E162)</f>
        <v>66.175956000000014</v>
      </c>
      <c r="L162" s="17">
        <f t="shared" si="267"/>
        <v>1</v>
      </c>
      <c r="M162" s="17">
        <f t="shared" si="268"/>
        <v>1.33</v>
      </c>
      <c r="N162" s="17">
        <f t="shared" si="120"/>
        <v>5.5571620888000011</v>
      </c>
      <c r="O162" s="25">
        <f t="shared" ref="O162" si="316">K162*N162</f>
        <v>367.75051387329705</v>
      </c>
      <c r="P162" s="25">
        <f t="shared" ref="P162" si="317">(J162*(2.5-E162))*N162</f>
        <v>367.92167446563201</v>
      </c>
      <c r="Q162" s="31">
        <f t="shared" ref="Q162" si="318">(999.83952+16.945176*G162-0.00798704*G162^2-0.000046170461*G162^3+0.00000010556302*G162^4-0.00000000028054253*G162^5)/(1+0.01689785*G162)</f>
        <v>997.90297444748535</v>
      </c>
      <c r="R162" s="17">
        <f t="shared" ref="R162" si="319">IF(I162="NA", 101325, I162*133.322368)</f>
        <v>98858.535872000008</v>
      </c>
      <c r="S162" s="17">
        <v>79.8</v>
      </c>
      <c r="T162" s="27">
        <f t="shared" ref="T162" si="320">G162+273.15</f>
        <v>293.29999999999995</v>
      </c>
      <c r="U162" s="25">
        <f t="shared" ref="U162" si="321">(1+((Q162*S162/R162/100)*(1+0.01*K162)))*N162*(293/T162)</f>
        <v>5.6257891076377371</v>
      </c>
    </row>
    <row r="163" spans="1:21" x14ac:dyDescent="0.35">
      <c r="A163" s="6" t="s">
        <v>104</v>
      </c>
      <c r="B163" s="29" t="s">
        <v>25</v>
      </c>
      <c r="C163" s="4" t="s">
        <v>2082</v>
      </c>
      <c r="D163" s="12">
        <v>4</v>
      </c>
      <c r="E163" s="49">
        <v>0.53113999999999995</v>
      </c>
      <c r="F163">
        <v>69.557000000000002</v>
      </c>
      <c r="G163" s="12">
        <f t="shared" si="115"/>
        <v>20.865000000000002</v>
      </c>
      <c r="H163">
        <v>2.4990000000000001</v>
      </c>
      <c r="I163" s="75">
        <v>741.5</v>
      </c>
      <c r="J163" s="17">
        <f t="shared" ref="J163" si="322">IF(D163=1, 32.2,IF(D163=2, 30.8, IF(D163=3, 29.9, IF(D163=4, 29.6, IF(D163=5, 29.9, IF(D163=6, 30.2, IF(D163=7, 30.4, IF(D163=8, 28, IF(D163=9, 32.2, IF(D163=10, 30.1, IF(D163=11, 30.1, IF(D163=12, 29.2, IF(D163=13, 30.8,IF(D163=14,29.3, IF(D163=15,30.2,IF(D163=16, 30.8,IF(D163=17,30.1,IF(D163=18,29.5,IF(D163=19,28.7,IF(D163=20,30.2,IF(D163=21,31.7, "NOT LISTED")))))))))))))))))))))</f>
        <v>29.6</v>
      </c>
      <c r="K163" s="34">
        <f t="shared" ref="K163" si="323">J163*(H163-E163)</f>
        <v>58.248656000000011</v>
      </c>
      <c r="L163" s="17">
        <f t="shared" si="267"/>
        <v>0.5</v>
      </c>
      <c r="M163" s="17">
        <f t="shared" si="268"/>
        <v>0.78993999999999998</v>
      </c>
      <c r="N163" s="17">
        <f t="shared" si="120"/>
        <v>1.9603697555881312</v>
      </c>
      <c r="O163" s="25">
        <f t="shared" ref="O163" si="324">K163*N163</f>
        <v>114.18890352605716</v>
      </c>
      <c r="P163" s="25">
        <f t="shared" ref="P163" si="325">(J163*(2.5-E163))*N163</f>
        <v>114.24693047082255</v>
      </c>
      <c r="Q163" s="31">
        <f t="shared" ref="Q163" si="326">(999.83952+16.945176*G163-0.00798704*G163^2-0.000046170461*G163^3+0.00000010556302*G163^4-0.00000000028054253*G163^5)/(1+0.01689785*G163)</f>
        <v>997.74455148413892</v>
      </c>
      <c r="R163" s="17">
        <f t="shared" ref="R163" si="327">IF(I163="NA", 101325, I163*133.322368)</f>
        <v>98858.535872000008</v>
      </c>
      <c r="S163" s="17">
        <v>80.8</v>
      </c>
      <c r="T163" s="27">
        <f t="shared" ref="T163" si="328">G163+273.15</f>
        <v>294.01499999999999</v>
      </c>
      <c r="U163" s="25">
        <f t="shared" ref="U163" si="329">(1+((Q163*S163/R163/100)*(1+0.01*K163)))*N163*(293/T163)</f>
        <v>1.9788133106690287</v>
      </c>
    </row>
    <row r="164" spans="1:21" x14ac:dyDescent="0.35">
      <c r="A164" s="6" t="s">
        <v>104</v>
      </c>
      <c r="B164" s="29" t="s">
        <v>26</v>
      </c>
      <c r="C164" s="4" t="s">
        <v>2085</v>
      </c>
      <c r="D164" s="12">
        <v>14</v>
      </c>
      <c r="E164" s="49">
        <v>0.70023999999999997</v>
      </c>
      <c r="F164">
        <v>69.557000000000002</v>
      </c>
      <c r="G164" s="12">
        <f t="shared" si="115"/>
        <v>20.865000000000002</v>
      </c>
      <c r="H164">
        <v>2.4990000000000001</v>
      </c>
      <c r="I164" s="75">
        <v>741.5</v>
      </c>
      <c r="J164" s="17">
        <f t="shared" ref="J164" si="330">IF(D164=1, 32.2,IF(D164=2, 30.8, IF(D164=3, 29.9, IF(D164=4, 29.6, IF(D164=5, 29.9, IF(D164=6, 30.2, IF(D164=7, 30.4, IF(D164=8, 28, IF(D164=9, 32.2, IF(D164=10, 30.1, IF(D164=11, 30.1, IF(D164=12, 29.2, IF(D164=13, 30.8,IF(D164=14,29.3, IF(D164=15,30.2,IF(D164=16, 30.8,IF(D164=17,30.1,IF(D164=18,29.5,IF(D164=19,28.7,IF(D164=20,30.2,IF(D164=21,31.7, "NOT LISTED")))))))))))))))))))))</f>
        <v>29.3</v>
      </c>
      <c r="K164" s="34">
        <f t="shared" ref="K164" si="331">J164*(H164-E164)</f>
        <v>52.703668000000008</v>
      </c>
      <c r="L164" s="17">
        <f t="shared" si="267"/>
        <v>0.5</v>
      </c>
      <c r="M164" s="17">
        <f t="shared" si="268"/>
        <v>0.78993999999999998</v>
      </c>
      <c r="N164" s="17">
        <f t="shared" si="120"/>
        <v>1.9603697555881312</v>
      </c>
      <c r="O164" s="25">
        <f t="shared" ref="O164" si="332">K164*N164</f>
        <v>103.31867675575802</v>
      </c>
      <c r="P164" s="25">
        <f t="shared" ref="P164" si="333">(J164*(2.5-E164))*N164</f>
        <v>103.37611558959674</v>
      </c>
      <c r="Q164" s="31">
        <f t="shared" ref="Q164" si="334">(999.83952+16.945176*G164-0.00798704*G164^2-0.000046170461*G164^3+0.00000010556302*G164^4-0.00000000028054253*G164^5)/(1+0.01689785*G164)</f>
        <v>997.74455148413892</v>
      </c>
      <c r="R164" s="17">
        <f t="shared" ref="R164" si="335">IF(I164="NA", 101325, I164*133.322368)</f>
        <v>98858.535872000008</v>
      </c>
      <c r="S164" s="17">
        <v>81.8</v>
      </c>
      <c r="T164" s="27">
        <f t="shared" ref="T164" si="336">G164+273.15</f>
        <v>294.01499999999999</v>
      </c>
      <c r="U164" s="25">
        <f t="shared" ref="U164" si="337">(1+((Q164*S164/R164/100)*(1+0.01*K164)))*N164*(293/T164)</f>
        <v>1.9782310051774608</v>
      </c>
    </row>
    <row r="165" spans="1:21" x14ac:dyDescent="0.35">
      <c r="A165" s="6" t="s">
        <v>104</v>
      </c>
      <c r="B165" s="29" t="s">
        <v>167</v>
      </c>
      <c r="C165" s="4" t="s">
        <v>2088</v>
      </c>
      <c r="D165" s="12">
        <v>3</v>
      </c>
      <c r="E165" s="49">
        <v>0.60867000000000004</v>
      </c>
      <c r="F165">
        <v>69.727999999999994</v>
      </c>
      <c r="G165" s="12">
        <f t="shared" si="115"/>
        <v>20.959999999999997</v>
      </c>
      <c r="H165">
        <v>2.4990000000000001</v>
      </c>
      <c r="I165" s="75">
        <v>741.5</v>
      </c>
      <c r="J165" s="17">
        <f t="shared" ref="J165" si="338">IF(D165=1, 32.2,IF(D165=2, 30.8, IF(D165=3, 29.9, IF(D165=4, 29.6, IF(D165=5, 29.9, IF(D165=6, 30.2, IF(D165=7, 30.4, IF(D165=8, 28, IF(D165=9, 32.2, IF(D165=10, 30.1, IF(D165=11, 30.1, IF(D165=12, 29.2, IF(D165=13, 30.8,IF(D165=14,29.3, IF(D165=15,30.2,IF(D165=16, 30.8,IF(D165=17,30.1,IF(D165=18,29.5,IF(D165=19,28.7,IF(D165=20,30.2,IF(D165=21,31.7, "NOT LISTED")))))))))))))))))))))</f>
        <v>29.9</v>
      </c>
      <c r="K165" s="34">
        <f t="shared" ref="K165" si="339">J165*(H165-E165)</f>
        <v>56.520867000000003</v>
      </c>
      <c r="L165" s="17">
        <f t="shared" si="267"/>
        <v>0.5</v>
      </c>
      <c r="M165" s="17">
        <f t="shared" si="268"/>
        <v>0.78993999999999998</v>
      </c>
      <c r="N165" s="17">
        <f t="shared" si="120"/>
        <v>1.9603697555881312</v>
      </c>
      <c r="O165" s="25">
        <f t="shared" ref="O165" si="340">K165*N165</f>
        <v>110.80179822641928</v>
      </c>
      <c r="P165" s="25">
        <f t="shared" ref="P165" si="341">(J165*(2.5-E165))*N165</f>
        <v>110.86041328211134</v>
      </c>
      <c r="Q165" s="31">
        <f t="shared" ref="Q165" si="342">(999.83952+16.945176*G165-0.00798704*G165^2-0.000046170461*G165^3+0.00000010556302*G165^4-0.00000000028054253*G165^5)/(1+0.01689785*G165)</f>
        <v>997.7231125339855</v>
      </c>
      <c r="R165" s="17">
        <f t="shared" ref="R165" si="343">IF(I165="NA", 101325, I165*133.322368)</f>
        <v>98858.535872000008</v>
      </c>
      <c r="S165" s="17">
        <v>82.8</v>
      </c>
      <c r="T165" s="27">
        <f t="shared" ref="T165" si="344">G165+273.15</f>
        <v>294.10999999999996</v>
      </c>
      <c r="U165" s="25">
        <f t="shared" ref="U165" si="345">(1+((Q165*S165/R165/100)*(1+0.01*K165)))*N165*(293/T165)</f>
        <v>1.9785154428949299</v>
      </c>
    </row>
    <row r="166" spans="1:21" x14ac:dyDescent="0.35">
      <c r="A166" s="6" t="s">
        <v>104</v>
      </c>
      <c r="B166" s="29" t="s">
        <v>64</v>
      </c>
      <c r="C166" s="4" t="s">
        <v>2091</v>
      </c>
      <c r="D166" s="12">
        <v>2</v>
      </c>
      <c r="E166" s="49">
        <v>3.7850000000000002E-2</v>
      </c>
      <c r="F166">
        <v>68.570999999999998</v>
      </c>
      <c r="G166" s="12">
        <f t="shared" si="115"/>
        <v>20.31722222222222</v>
      </c>
      <c r="H166">
        <v>2.4990000000000001</v>
      </c>
      <c r="I166" s="75">
        <v>750.2</v>
      </c>
      <c r="J166" s="17">
        <f t="shared" ref="J166" si="346">IF(D166=1, 32.2,IF(D166=2, 30.8, IF(D166=3, 29.9, IF(D166=4, 29.6, IF(D166=5, 29.9, IF(D166=6, 30.2, IF(D166=7, 30.4, IF(D166=8, 28, IF(D166=9, 32.2, IF(D166=10, 30.1, IF(D166=11, 30.1, IF(D166=12, 29.2, IF(D166=13, 30.8,IF(D166=14,29.3, IF(D166=15,30.2,IF(D166=16, 30.8,IF(D166=17,30.1,IF(D166=18,29.5,IF(D166=19,28.7,IF(D166=20,30.2,IF(D166=21,31.7, "NOT LISTED")))))))))))))))))))))</f>
        <v>30.8</v>
      </c>
      <c r="K166" s="34">
        <f t="shared" ref="K166" si="347">J166*(H166-E166)</f>
        <v>75.803420000000003</v>
      </c>
      <c r="L166" s="17">
        <f t="shared" si="267"/>
        <v>0.5</v>
      </c>
      <c r="M166" s="17">
        <f t="shared" si="268"/>
        <v>0.78993999999999998</v>
      </c>
      <c r="N166" s="17">
        <f t="shared" si="120"/>
        <v>1.9603697555881312</v>
      </c>
      <c r="O166" s="25">
        <f t="shared" ref="O166" si="348">K166*N166</f>
        <v>148.60273193814447</v>
      </c>
      <c r="P166" s="25">
        <f t="shared" ref="P166" si="349">(J166*(2.5-E166))*N166</f>
        <v>148.66311132661659</v>
      </c>
      <c r="Q166" s="31">
        <f t="shared" ref="Q166" si="350">(999.83952+16.945176*G166-0.00798704*G166^2-0.000046170461*G166^3+0.00000010556302*G166^4-0.00000000028054253*G166^5)/(1+0.01689785*G166)</f>
        <v>997.86638892874396</v>
      </c>
      <c r="R166" s="17">
        <f t="shared" ref="R166" si="351">IF(I166="NA", 101325, I166*133.322368)</f>
        <v>100018.44047360001</v>
      </c>
      <c r="S166" s="17">
        <v>83.8</v>
      </c>
      <c r="T166" s="27">
        <f t="shared" ref="T166" si="352">G166+273.15</f>
        <v>293.46722222222218</v>
      </c>
      <c r="U166" s="25">
        <f t="shared" ref="U166" si="353">(1+((Q166*S166/R166/100)*(1+0.01*K166)))*N166*(293/T166)</f>
        <v>1.9860166970511204</v>
      </c>
    </row>
    <row r="167" spans="1:21" x14ac:dyDescent="0.35">
      <c r="A167" s="6" t="s">
        <v>104</v>
      </c>
      <c r="B167" s="29" t="s">
        <v>69</v>
      </c>
      <c r="C167" s="4" t="s">
        <v>2094</v>
      </c>
      <c r="D167" s="12">
        <v>19</v>
      </c>
      <c r="E167" s="49">
        <v>0.25580000000000003</v>
      </c>
      <c r="F167">
        <v>68.099000000000004</v>
      </c>
      <c r="G167" s="12">
        <f t="shared" si="115"/>
        <v>20.055000000000003</v>
      </c>
      <c r="H167">
        <v>2.4990000000000001</v>
      </c>
      <c r="I167" s="75">
        <v>750.2</v>
      </c>
      <c r="J167" s="17">
        <f t="shared" ref="J167" si="354">IF(D167=1, 32.2,IF(D167=2, 30.8, IF(D167=3, 29.9, IF(D167=4, 29.6, IF(D167=5, 29.9, IF(D167=6, 30.2, IF(D167=7, 30.4, IF(D167=8, 28, IF(D167=9, 32.2, IF(D167=10, 30.1, IF(D167=11, 30.1, IF(D167=12, 29.2, IF(D167=13, 30.8,IF(D167=14,29.3, IF(D167=15,30.2,IF(D167=16, 30.8,IF(D167=17,30.1,IF(D167=18,29.5,IF(D167=19,28.7,IF(D167=20,30.2,IF(D167=21,31.7, "NOT LISTED")))))))))))))))))))))</f>
        <v>28.7</v>
      </c>
      <c r="K167" s="34">
        <f t="shared" ref="K167" si="355">J167*(H167-E167)</f>
        <v>64.379840000000002</v>
      </c>
      <c r="L167" s="17">
        <f t="shared" si="267"/>
        <v>0.5</v>
      </c>
      <c r="M167" s="17">
        <f t="shared" si="268"/>
        <v>0.78993999999999998</v>
      </c>
      <c r="N167" s="17">
        <f t="shared" si="120"/>
        <v>1.9603697555881312</v>
      </c>
      <c r="O167" s="25">
        <f t="shared" ref="O167" si="356">K167*N167</f>
        <v>126.20829120560299</v>
      </c>
      <c r="P167" s="25">
        <f t="shared" ref="P167" si="357">(J167*(2.5-E167))*N167</f>
        <v>126.26455381758838</v>
      </c>
      <c r="Q167" s="31">
        <f t="shared" ref="Q167" si="358">(999.83952+16.945176*G167-0.00798704*G167^2-0.000046170461*G167^3+0.00000010556302*G167^4-0.00000000028054253*G167^5)/(1+0.01689785*G167)</f>
        <v>997.92363146800733</v>
      </c>
      <c r="R167" s="17">
        <f t="shared" ref="R167" si="359">IF(I167="NA", 101325, I167*133.322368)</f>
        <v>100018.44047360001</v>
      </c>
      <c r="S167" s="17">
        <v>84.8</v>
      </c>
      <c r="T167" s="27">
        <f t="shared" ref="T167" si="360">G167+273.15</f>
        <v>293.20499999999998</v>
      </c>
      <c r="U167" s="25">
        <f t="shared" ref="U167" si="361">(1+((Q167*S167/R167/100)*(1+0.01*K167)))*N167*(293/T167)</f>
        <v>1.986244693422258</v>
      </c>
    </row>
    <row r="168" spans="1:21" x14ac:dyDescent="0.35">
      <c r="A168" s="6" t="s">
        <v>104</v>
      </c>
      <c r="B168" s="29" t="s">
        <v>60</v>
      </c>
      <c r="C168" s="4" t="s">
        <v>2097</v>
      </c>
      <c r="D168" s="12">
        <v>6</v>
      </c>
      <c r="E168" s="49">
        <v>0.12271</v>
      </c>
      <c r="F168">
        <v>68.870999999999995</v>
      </c>
      <c r="G168" s="12">
        <f t="shared" si="115"/>
        <v>20.483888888888885</v>
      </c>
      <c r="H168">
        <v>2.4990000000000001</v>
      </c>
      <c r="I168" s="75">
        <v>750.2</v>
      </c>
      <c r="J168" s="17">
        <f t="shared" ref="J168" si="362">IF(D168=1, 32.2,IF(D168=2, 30.8, IF(D168=3, 29.9, IF(D168=4, 29.6, IF(D168=5, 29.9, IF(D168=6, 30.2, IF(D168=7, 30.4, IF(D168=8, 28, IF(D168=9, 32.2, IF(D168=10, 30.1, IF(D168=11, 30.1, IF(D168=12, 29.2, IF(D168=13, 30.8,IF(D168=14,29.3, IF(D168=15,30.2,IF(D168=16, 30.8,IF(D168=17,30.1,IF(D168=18,29.5,IF(D168=19,28.7,IF(D168=20,30.2,IF(D168=21,31.7, "NOT LISTED")))))))))))))))))))))</f>
        <v>30.2</v>
      </c>
      <c r="K168" s="34">
        <f t="shared" ref="K168" si="363">J168*(H168-E168)</f>
        <v>71.763958000000002</v>
      </c>
      <c r="L168" s="17">
        <f t="shared" si="267"/>
        <v>0.5</v>
      </c>
      <c r="M168" s="17">
        <f t="shared" si="268"/>
        <v>0.78993999999999998</v>
      </c>
      <c r="N168" s="17">
        <f t="shared" si="120"/>
        <v>1.9603697555881312</v>
      </c>
      <c r="O168" s="25">
        <f t="shared" ref="O168" si="364">K168*N168</f>
        <v>140.68389280449691</v>
      </c>
      <c r="P168" s="25">
        <f t="shared" ref="P168" si="365">(J168*(2.5-E168))*N168</f>
        <v>140.74309597111568</v>
      </c>
      <c r="Q168" s="31">
        <f t="shared" ref="Q168" si="366">(999.83952+16.945176*G168-0.00798704*G168^2-0.000046170461*G168^3+0.00000010556302*G168^4-0.00000000028054253*G168^5)/(1+0.01689785*G168)</f>
        <v>997.82964110963167</v>
      </c>
      <c r="R168" s="17">
        <f t="shared" ref="R168" si="367">IF(I168="NA", 101325, I168*133.322368)</f>
        <v>100018.44047360001</v>
      </c>
      <c r="S168" s="17">
        <v>85.8</v>
      </c>
      <c r="T168" s="27">
        <f t="shared" ref="T168" si="368">G168+273.15</f>
        <v>293.63388888888886</v>
      </c>
      <c r="U168" s="25">
        <f t="shared" ref="U168" si="369">(1+((Q168*S168/R168/100)*(1+0.01*K168)))*N168*(293/T168)</f>
        <v>1.9848981733158961</v>
      </c>
    </row>
    <row r="169" spans="1:21" x14ac:dyDescent="0.35">
      <c r="A169" s="6" t="s">
        <v>104</v>
      </c>
      <c r="B169" s="29" t="s">
        <v>9</v>
      </c>
      <c r="C169" s="4" t="s">
        <v>2102</v>
      </c>
      <c r="D169" s="12">
        <v>18</v>
      </c>
      <c r="E169" s="49">
        <v>0.35287000000000002</v>
      </c>
      <c r="F169">
        <v>61.761000000000003</v>
      </c>
      <c r="G169" s="12">
        <f t="shared" si="115"/>
        <v>16.533888888888889</v>
      </c>
      <c r="H169">
        <v>2.4990000000000001</v>
      </c>
      <c r="I169" s="75">
        <v>754</v>
      </c>
      <c r="J169" s="17">
        <f t="shared" ref="J169" si="370">IF(D169=1, 32.2,IF(D169=2, 30.8, IF(D169=3, 29.9, IF(D169=4, 29.6, IF(D169=5, 29.9, IF(D169=6, 30.2, IF(D169=7, 30.4, IF(D169=8, 28, IF(D169=9, 32.2, IF(D169=10, 30.1, IF(D169=11, 30.1, IF(D169=12, 29.2, IF(D169=13, 30.8,IF(D169=14,29.3, IF(D169=15,30.2,IF(D169=16, 30.8,IF(D169=17,30.1,IF(D169=18,29.5,IF(D169=19,28.7,IF(D169=20,30.2,IF(D169=21,31.7, "NOT LISTED")))))))))))))))))))))</f>
        <v>29.5</v>
      </c>
      <c r="K169" s="34">
        <f t="shared" ref="K169" si="371">J169*(H169-E169)</f>
        <v>63.310835000000012</v>
      </c>
      <c r="L169" s="17">
        <f t="shared" si="267"/>
        <v>1</v>
      </c>
      <c r="M169" s="17">
        <f t="shared" si="268"/>
        <v>1.33</v>
      </c>
      <c r="N169" s="17">
        <f t="shared" si="120"/>
        <v>5.5571620888000011</v>
      </c>
      <c r="O169" s="25">
        <f t="shared" ref="O169" si="372">K169*N169</f>
        <v>351.82857207227227</v>
      </c>
      <c r="P169" s="25">
        <f t="shared" ref="P169" si="373">(J169*(2.5-E169))*N169</f>
        <v>351.99250835389182</v>
      </c>
      <c r="Q169" s="31">
        <f t="shared" ref="Q169" si="374">(999.83952+16.945176*G169-0.00798704*G169^2-0.000046170461*G169^3+0.00000010556302*G169^4-0.00000000028054253*G169^5)/(1+0.01689785*G169)</f>
        <v>998.62234664823416</v>
      </c>
      <c r="R169" s="17">
        <f t="shared" ref="R169" si="375">IF(I169="NA", 101325, I169*133.322368)</f>
        <v>100525.065472</v>
      </c>
      <c r="S169" s="17">
        <v>86.8</v>
      </c>
      <c r="T169" s="27">
        <f t="shared" ref="T169" si="376">G169+273.15</f>
        <v>289.68388888888887</v>
      </c>
      <c r="U169" s="25">
        <f t="shared" ref="U169" si="377">(1+((Q169*S169/R169/100)*(1+0.01*K169)))*N169*(293/T169)</f>
        <v>5.6999281219098821</v>
      </c>
    </row>
    <row r="170" spans="1:21" x14ac:dyDescent="0.35">
      <c r="A170" s="6" t="s">
        <v>104</v>
      </c>
      <c r="B170" s="29" t="s">
        <v>14</v>
      </c>
      <c r="C170" s="4" t="s">
        <v>2105</v>
      </c>
      <c r="D170" s="12">
        <v>5</v>
      </c>
      <c r="E170" s="49">
        <v>8.1809999999999994E-2</v>
      </c>
      <c r="F170">
        <v>65.102000000000004</v>
      </c>
      <c r="G170" s="12">
        <f t="shared" si="115"/>
        <v>18.39</v>
      </c>
      <c r="H170">
        <v>2.4990000000000001</v>
      </c>
      <c r="I170" s="75">
        <v>754</v>
      </c>
      <c r="J170" s="17">
        <f t="shared" ref="J170" si="378">IF(D170=1, 32.2,IF(D170=2, 30.8, IF(D170=3, 29.9, IF(D170=4, 29.6, IF(D170=5, 29.9, IF(D170=6, 30.2, IF(D170=7, 30.4, IF(D170=8, 28, IF(D170=9, 32.2, IF(D170=10, 30.1, IF(D170=11, 30.1, IF(D170=12, 29.2, IF(D170=13, 30.8,IF(D170=14,29.3, IF(D170=15,30.2,IF(D170=16, 30.8,IF(D170=17,30.1,IF(D170=18,29.5,IF(D170=19,28.7,IF(D170=20,30.2,IF(D170=21,31.7, "NOT LISTED")))))))))))))))))))))</f>
        <v>29.9</v>
      </c>
      <c r="K170" s="34">
        <f t="shared" ref="K170" si="379">J170*(H170-E170)</f>
        <v>72.273981000000006</v>
      </c>
      <c r="L170" s="17">
        <f t="shared" si="267"/>
        <v>1</v>
      </c>
      <c r="M170" s="17">
        <f t="shared" si="268"/>
        <v>1.33</v>
      </c>
      <c r="N170" s="17">
        <f t="shared" si="120"/>
        <v>5.5571620888000011</v>
      </c>
      <c r="O170" s="25">
        <f t="shared" ref="O170" si="380">K170*N170</f>
        <v>401.63822721985161</v>
      </c>
      <c r="P170" s="25">
        <f t="shared" ref="P170" si="381">(J170*(2.5-E170))*N170</f>
        <v>401.80438636630674</v>
      </c>
      <c r="Q170" s="31">
        <f t="shared" ref="Q170" si="382">(999.83952+16.945176*G170-0.00798704*G170^2-0.000046170461*G170^3+0.00000010556302*G170^4-0.00000000028054253*G170^5)/(1+0.01689785*G170)</f>
        <v>998.27047647063898</v>
      </c>
      <c r="R170" s="17">
        <f t="shared" ref="R170" si="383">IF(I170="NA", 101325, I170*133.322368)</f>
        <v>100525.065472</v>
      </c>
      <c r="S170" s="17">
        <v>87.8</v>
      </c>
      <c r="T170" s="27">
        <f t="shared" ref="T170" si="384">G170+273.15</f>
        <v>291.53999999999996</v>
      </c>
      <c r="U170" s="25">
        <f t="shared" ref="U170" si="385">(1+((Q170*S170/R170/100)*(1+0.01*K170)))*N170*(293/T170)</f>
        <v>5.66888181947796</v>
      </c>
    </row>
    <row r="171" spans="1:21" x14ac:dyDescent="0.35">
      <c r="A171" s="6" t="s">
        <v>104</v>
      </c>
      <c r="B171" s="29" t="s">
        <v>18</v>
      </c>
      <c r="C171" s="4" t="s">
        <v>2106</v>
      </c>
      <c r="D171" s="12">
        <v>16</v>
      </c>
      <c r="E171" s="49">
        <v>0.38217000000000001</v>
      </c>
      <c r="F171">
        <v>64.588999999999999</v>
      </c>
      <c r="G171" s="12">
        <f t="shared" si="115"/>
        <v>18.105</v>
      </c>
      <c r="H171">
        <v>2.4990000000000001</v>
      </c>
      <c r="I171" s="75">
        <v>754</v>
      </c>
      <c r="J171" s="17">
        <f t="shared" ref="J171" si="386">IF(D171=1, 32.2,IF(D171=2, 30.8, IF(D171=3, 29.9, IF(D171=4, 29.6, IF(D171=5, 29.9, IF(D171=6, 30.2, IF(D171=7, 30.4, IF(D171=8, 28, IF(D171=9, 32.2, IF(D171=10, 30.1, IF(D171=11, 30.1, IF(D171=12, 29.2, IF(D171=13, 30.8,IF(D171=14,29.3, IF(D171=15,30.2,IF(D171=16, 30.8,IF(D171=17,30.1,IF(D171=18,29.5,IF(D171=19,28.7,IF(D171=20,30.2,IF(D171=21,31.7, "NOT LISTED")))))))))))))))))))))</f>
        <v>30.8</v>
      </c>
      <c r="K171" s="34">
        <f t="shared" ref="K171" si="387">J171*(H171-E171)</f>
        <v>65.198364000000012</v>
      </c>
      <c r="L171" s="17">
        <f t="shared" si="267"/>
        <v>1</v>
      </c>
      <c r="M171" s="17">
        <f t="shared" si="268"/>
        <v>1.33</v>
      </c>
      <c r="N171" s="17">
        <f t="shared" si="120"/>
        <v>5.5571620888000011</v>
      </c>
      <c r="O171" s="25">
        <f t="shared" ref="O171" si="388">K171*N171</f>
        <v>362.31787667258288</v>
      </c>
      <c r="P171" s="25">
        <f t="shared" ref="P171" si="389">(J171*(2.5-E171))*N171</f>
        <v>362.4890372649179</v>
      </c>
      <c r="Q171" s="31">
        <f t="shared" ref="Q171" si="390">(999.83952+16.945176*G171-0.00798704*G171^2-0.000046170461*G171^3+0.00000010556302*G171^4-0.00000000028054253*G171^5)/(1+0.01689785*G171)</f>
        <v>998.32692210086304</v>
      </c>
      <c r="R171" s="17">
        <f t="shared" ref="R171" si="391">IF(I171="NA", 101325, I171*133.322368)</f>
        <v>100525.065472</v>
      </c>
      <c r="S171" s="17">
        <v>88.8</v>
      </c>
      <c r="T171" s="27">
        <f t="shared" ref="T171" si="392">G171+273.15</f>
        <v>291.255</v>
      </c>
      <c r="U171" s="25">
        <f t="shared" ref="U171" si="393">(1+((Q171*S171/R171/100)*(1+0.01*K171)))*N171*(293/T171)</f>
        <v>5.6719017875758491</v>
      </c>
    </row>
    <row r="172" spans="1:21" x14ac:dyDescent="0.35">
      <c r="A172" s="6" t="s">
        <v>104</v>
      </c>
      <c r="B172" s="29" t="s">
        <v>25</v>
      </c>
      <c r="C172" s="4" t="s">
        <v>2109</v>
      </c>
      <c r="D172" s="12">
        <v>4</v>
      </c>
      <c r="E172" s="49">
        <v>0.51648000000000005</v>
      </c>
      <c r="F172">
        <v>65.959000000000003</v>
      </c>
      <c r="G172" s="12">
        <f t="shared" si="115"/>
        <v>18.866111111111113</v>
      </c>
      <c r="H172">
        <v>2.4990000000000001</v>
      </c>
      <c r="I172" s="75">
        <v>754</v>
      </c>
      <c r="J172" s="17">
        <f t="shared" ref="J172" si="394">IF(D172=1, 32.2,IF(D172=2, 30.8, IF(D172=3, 29.9, IF(D172=4, 29.6, IF(D172=5, 29.9, IF(D172=6, 30.2, IF(D172=7, 30.4, IF(D172=8, 28, IF(D172=9, 32.2, IF(D172=10, 30.1, IF(D172=11, 30.1, IF(D172=12, 29.2, IF(D172=13, 30.8,IF(D172=14,29.3, IF(D172=15,30.2,IF(D172=16, 30.8,IF(D172=17,30.1,IF(D172=18,29.5,IF(D172=19,28.7,IF(D172=20,30.2,IF(D172=21,31.7, "NOT LISTED")))))))))))))))))))))</f>
        <v>29.6</v>
      </c>
      <c r="K172" s="34">
        <f t="shared" ref="K172" si="395">J172*(H172-E172)</f>
        <v>58.682592000000007</v>
      </c>
      <c r="L172" s="17">
        <f t="shared" si="267"/>
        <v>0.5</v>
      </c>
      <c r="M172" s="17">
        <f t="shared" si="268"/>
        <v>0.78993999999999998</v>
      </c>
      <c r="N172" s="17">
        <f t="shared" si="120"/>
        <v>1.9603697555881312</v>
      </c>
      <c r="O172" s="25">
        <f t="shared" ref="O172" si="396">K172*N172</f>
        <v>115.03957853631803</v>
      </c>
      <c r="P172" s="25">
        <f t="shared" ref="P172" si="397">(J172*(2.5-E172))*N172</f>
        <v>115.09760548108343</v>
      </c>
      <c r="Q172" s="31">
        <f t="shared" ref="Q172" si="398">(999.83952+16.945176*G172-0.00798704*G172^2-0.000046170461*G172^3+0.00000010556302*G172^4-0.00000000028054253*G172^5)/(1+0.01689785*G172)</f>
        <v>998.17425739153691</v>
      </c>
      <c r="R172" s="17">
        <f t="shared" ref="R172" si="399">IF(I172="NA", 101325, I172*133.322368)</f>
        <v>100525.065472</v>
      </c>
      <c r="S172" s="17">
        <v>89.8</v>
      </c>
      <c r="T172" s="27">
        <f t="shared" ref="T172" si="400">G172+273.15</f>
        <v>292.01611111111112</v>
      </c>
      <c r="U172" s="25">
        <f t="shared" ref="U172" si="401">(1+((Q172*S172/R172/100)*(1+0.01*K172)))*N172*(293/T172)</f>
        <v>1.9948063105944642</v>
      </c>
    </row>
    <row r="173" spans="1:21" x14ac:dyDescent="0.35">
      <c r="A173" s="6" t="s">
        <v>104</v>
      </c>
      <c r="B173" s="29" t="s">
        <v>26</v>
      </c>
      <c r="C173" s="4" t="s">
        <v>2110</v>
      </c>
      <c r="D173" s="12">
        <v>14</v>
      </c>
      <c r="E173" s="49">
        <v>0.86568999999999996</v>
      </c>
      <c r="F173">
        <v>66.515000000000001</v>
      </c>
      <c r="G173" s="12">
        <f t="shared" si="115"/>
        <v>19.175000000000001</v>
      </c>
      <c r="H173">
        <v>2.4990000000000001</v>
      </c>
      <c r="I173" s="75">
        <v>754</v>
      </c>
      <c r="J173" s="17">
        <f t="shared" ref="J173" si="402">IF(D173=1, 32.2,IF(D173=2, 30.8, IF(D173=3, 29.9, IF(D173=4, 29.6, IF(D173=5, 29.9, IF(D173=6, 30.2, IF(D173=7, 30.4, IF(D173=8, 28, IF(D173=9, 32.2, IF(D173=10, 30.1, IF(D173=11, 30.1, IF(D173=12, 29.2, IF(D173=13, 30.8,IF(D173=14,29.3, IF(D173=15,30.2,IF(D173=16, 30.8,IF(D173=17,30.1,IF(D173=18,29.5,IF(D173=19,28.7,IF(D173=20,30.2,IF(D173=21,31.7, "NOT LISTED")))))))))))))))))))))</f>
        <v>29.3</v>
      </c>
      <c r="K173" s="34">
        <f t="shared" ref="K173" si="403">J173*(H173-E173)</f>
        <v>47.855983000000009</v>
      </c>
      <c r="L173" s="17">
        <f t="shared" si="267"/>
        <v>0.5</v>
      </c>
      <c r="M173" s="17">
        <f t="shared" si="268"/>
        <v>0.78993999999999998</v>
      </c>
      <c r="N173" s="17">
        <f t="shared" si="120"/>
        <v>1.9603697555881312</v>
      </c>
      <c r="O173" s="25">
        <f t="shared" ref="O173" si="404">K173*N173</f>
        <v>93.815421697139783</v>
      </c>
      <c r="P173" s="25">
        <f t="shared" ref="P173" si="405">(J173*(2.5-E173))*N173</f>
        <v>93.872860530978514</v>
      </c>
      <c r="Q173" s="31">
        <f t="shared" ref="Q173" si="406">(999.83952+16.945176*G173-0.00798704*G173^2-0.000046170461*G173^3+0.00000010556302*G173^4-0.00000000028054253*G173^5)/(1+0.01689785*G173)</f>
        <v>998.11055602270994</v>
      </c>
      <c r="R173" s="17">
        <f t="shared" ref="R173" si="407">IF(I173="NA", 101325, I173*133.322368)</f>
        <v>100525.065472</v>
      </c>
      <c r="S173" s="17">
        <v>90.8</v>
      </c>
      <c r="T173" s="27">
        <f t="shared" ref="T173" si="408">G173+273.15</f>
        <v>292.32499999999999</v>
      </c>
      <c r="U173" s="25">
        <f t="shared" ref="U173" si="409">(1+((Q173*S173/R173/100)*(1+0.01*K173)))*N173*(293/T173)</f>
        <v>1.9910883957958465</v>
      </c>
    </row>
    <row r="174" spans="1:21" x14ac:dyDescent="0.35">
      <c r="A174" s="6" t="s">
        <v>104</v>
      </c>
      <c r="B174" s="29" t="s">
        <v>167</v>
      </c>
      <c r="C174" s="4" t="s">
        <v>2111</v>
      </c>
      <c r="D174" s="12">
        <v>3</v>
      </c>
      <c r="E174" s="49">
        <v>0.59950999999999999</v>
      </c>
      <c r="F174">
        <v>66.257999999999996</v>
      </c>
      <c r="G174" s="12">
        <f t="shared" si="115"/>
        <v>19.03222222222222</v>
      </c>
      <c r="H174">
        <v>2.4990000000000001</v>
      </c>
      <c r="I174" s="75">
        <v>754</v>
      </c>
      <c r="J174" s="17">
        <f t="shared" ref="J174" si="410">IF(D174=1, 32.2,IF(D174=2, 30.8, IF(D174=3, 29.9, IF(D174=4, 29.6, IF(D174=5, 29.9, IF(D174=6, 30.2, IF(D174=7, 30.4, IF(D174=8, 28, IF(D174=9, 32.2, IF(D174=10, 30.1, IF(D174=11, 30.1, IF(D174=12, 29.2, IF(D174=13, 30.8,IF(D174=14,29.3, IF(D174=15,30.2,IF(D174=16, 30.8,IF(D174=17,30.1,IF(D174=18,29.5,IF(D174=19,28.7,IF(D174=20,30.2,IF(D174=21,31.7, "NOT LISTED")))))))))))))))))))))</f>
        <v>29.9</v>
      </c>
      <c r="K174" s="34">
        <f t="shared" ref="K174" si="411">J174*(H174-E174)</f>
        <v>56.794750999999998</v>
      </c>
      <c r="L174" s="17">
        <f t="shared" si="267"/>
        <v>0.5</v>
      </c>
      <c r="M174" s="17">
        <f t="shared" si="268"/>
        <v>0.78993999999999998</v>
      </c>
      <c r="N174" s="17">
        <f t="shared" si="120"/>
        <v>1.9603697555881312</v>
      </c>
      <c r="O174" s="25">
        <f t="shared" ref="O174" si="412">K174*N174</f>
        <v>111.33871213655877</v>
      </c>
      <c r="P174" s="25">
        <f t="shared" ref="P174" si="413">(J174*(2.5-E174))*N174</f>
        <v>111.39732719225084</v>
      </c>
      <c r="Q174" s="31">
        <f t="shared" ref="Q174" si="414">(999.83952+16.945176*G174-0.00798704*G174^2-0.000046170461*G174^3+0.00000010556302*G174^4-0.00000000028054253*G174^5)/(1+0.01689785*G174)</f>
        <v>998.14012503687434</v>
      </c>
      <c r="R174" s="17">
        <f t="shared" ref="R174" si="415">IF(I174="NA", 101325, I174*133.322368)</f>
        <v>100525.065472</v>
      </c>
      <c r="S174" s="17">
        <v>91.8</v>
      </c>
      <c r="T174" s="27">
        <f t="shared" ref="T174" si="416">G174+273.15</f>
        <v>292.18222222222221</v>
      </c>
      <c r="U174" s="25">
        <f t="shared" ref="U174" si="417">(1+((Q174*S174/R174/100)*(1+0.01*K174)))*N174*(293/T174)</f>
        <v>1.9939524751818676</v>
      </c>
    </row>
    <row r="175" spans="1:21" x14ac:dyDescent="0.35">
      <c r="A175" s="6" t="s">
        <v>104</v>
      </c>
      <c r="B175" s="29" t="s">
        <v>64</v>
      </c>
      <c r="C175" s="4" t="s">
        <v>2156</v>
      </c>
      <c r="D175" s="12">
        <v>2</v>
      </c>
      <c r="E175" s="49">
        <v>3.7850000000000002E-2</v>
      </c>
      <c r="F175">
        <v>66.558000000000007</v>
      </c>
      <c r="G175" s="12">
        <f t="shared" si="115"/>
        <v>19.198888888888892</v>
      </c>
      <c r="H175">
        <v>2.4990000000000001</v>
      </c>
      <c r="I175" s="75">
        <v>750.7</v>
      </c>
      <c r="J175" s="17">
        <f t="shared" ref="J175" si="418">IF(D175=1, 32.2,IF(D175=2, 30.8, IF(D175=3, 29.9, IF(D175=4, 29.6, IF(D175=5, 29.9, IF(D175=6, 30.2, IF(D175=7, 30.4, IF(D175=8, 28, IF(D175=9, 32.2, IF(D175=10, 30.1, IF(D175=11, 30.1, IF(D175=12, 29.2, IF(D175=13, 30.8,IF(D175=14,29.3, IF(D175=15,30.2,IF(D175=16, 30.8,IF(D175=17,30.1,IF(D175=18,29.5,IF(D175=19,28.7,IF(D175=20,30.2,IF(D175=21,31.7, "NOT LISTED")))))))))))))))))))))</f>
        <v>30.8</v>
      </c>
      <c r="K175" s="34">
        <f t="shared" ref="K175" si="419">J175*(H175-E175)</f>
        <v>75.803420000000003</v>
      </c>
      <c r="L175" s="17">
        <f t="shared" si="267"/>
        <v>0.5</v>
      </c>
      <c r="M175" s="17">
        <f t="shared" si="268"/>
        <v>0.78993999999999998</v>
      </c>
      <c r="N175" s="17">
        <f t="shared" si="120"/>
        <v>1.9603697555881312</v>
      </c>
      <c r="O175" s="25">
        <f t="shared" ref="O175" si="420">K175*N175</f>
        <v>148.60273193814447</v>
      </c>
      <c r="P175" s="25">
        <f t="shared" ref="P175" si="421">(J175*(2.5-E175))*N175</f>
        <v>148.66311132661659</v>
      </c>
      <c r="Q175" s="31">
        <f t="shared" ref="Q175" si="422">(999.83952+16.945176*G175-0.00798704*G175^2-0.000046170461*G175^3+0.00000010556302*G175^4-0.00000000028054253*G175^5)/(1+0.01689785*G175)</f>
        <v>998.10558785774481</v>
      </c>
      <c r="R175" s="17">
        <f t="shared" ref="R175" si="423">IF(I175="NA", 101325, I175*133.322368)</f>
        <v>100085.10165760001</v>
      </c>
      <c r="S175" s="17">
        <v>92.8</v>
      </c>
      <c r="T175" s="27">
        <f t="shared" ref="T175" si="424">G175+273.15</f>
        <v>292.34888888888889</v>
      </c>
      <c r="U175" s="25">
        <f t="shared" ref="U175" si="425">(1+((Q175*S175/R175/100)*(1+0.01*K175)))*N175*(293/T175)</f>
        <v>1.9967017041506212</v>
      </c>
    </row>
    <row r="176" spans="1:21" x14ac:dyDescent="0.35">
      <c r="A176" s="6" t="s">
        <v>104</v>
      </c>
      <c r="B176" s="29" t="s">
        <v>69</v>
      </c>
      <c r="C176" s="4" t="s">
        <v>2160</v>
      </c>
      <c r="D176" s="12">
        <v>19</v>
      </c>
      <c r="E176" s="49">
        <v>0.36996000000000001</v>
      </c>
      <c r="F176">
        <v>66.942999999999998</v>
      </c>
      <c r="G176" s="12">
        <f t="shared" si="115"/>
        <v>19.412777777777777</v>
      </c>
      <c r="H176">
        <v>2.4990000000000001</v>
      </c>
      <c r="I176" s="75">
        <v>750.7</v>
      </c>
      <c r="J176" s="17">
        <f t="shared" ref="J176" si="426">IF(D176=1, 32.2,IF(D176=2, 30.8, IF(D176=3, 29.9, IF(D176=4, 29.6, IF(D176=5, 29.9, IF(D176=6, 30.2, IF(D176=7, 30.4, IF(D176=8, 28, IF(D176=9, 32.2, IF(D176=10, 30.1, IF(D176=11, 30.1, IF(D176=12, 29.2, IF(D176=13, 30.8,IF(D176=14,29.3, IF(D176=15,30.2,IF(D176=16, 30.8,IF(D176=17,30.1,IF(D176=18,29.5,IF(D176=19,28.7,IF(D176=20,30.2,IF(D176=21,31.7, "NOT LISTED")))))))))))))))))))))</f>
        <v>28.7</v>
      </c>
      <c r="K176" s="34">
        <f t="shared" ref="K176" si="427">J176*(H176-E176)</f>
        <v>61.103448000000007</v>
      </c>
      <c r="L176" s="17">
        <f t="shared" si="267"/>
        <v>0.5</v>
      </c>
      <c r="M176" s="17">
        <f t="shared" si="268"/>
        <v>0.78993999999999998</v>
      </c>
      <c r="N176" s="17">
        <f t="shared" si="120"/>
        <v>1.9603697555881312</v>
      </c>
      <c r="O176" s="25">
        <f t="shared" ref="O176" si="428">K176*N176</f>
        <v>119.7853514213521</v>
      </c>
      <c r="P176" s="25">
        <f t="shared" ref="P176" si="429">(J176*(2.5-E176))*N176</f>
        <v>119.84161403333746</v>
      </c>
      <c r="Q176" s="31">
        <f t="shared" ref="Q176" si="430">(999.83952+16.945176*G176-0.00798704*G176^2-0.000046170461*G176^3+0.00000010556302*G176^4-0.00000000028054253*G176^5)/(1+0.01689785*G176)</f>
        <v>998.06084021891581</v>
      </c>
      <c r="R176" s="17">
        <f t="shared" ref="R176" si="431">IF(I176="NA", 101325, I176*133.322368)</f>
        <v>100085.10165760001</v>
      </c>
      <c r="S176" s="17">
        <v>93.8</v>
      </c>
      <c r="T176" s="27">
        <f t="shared" ref="T176" si="432">G176+273.15</f>
        <v>292.56277777777774</v>
      </c>
      <c r="U176" s="25">
        <f t="shared" ref="U176" si="433">(1+((Q176*S176/R176/100)*(1+0.01*K176)))*N176*(293/T176)</f>
        <v>1.9928851386297151</v>
      </c>
    </row>
    <row r="177" spans="1:21" x14ac:dyDescent="0.35">
      <c r="A177" s="6" t="s">
        <v>104</v>
      </c>
      <c r="B177" s="29" t="s">
        <v>60</v>
      </c>
      <c r="C177" s="4" t="s">
        <v>2163</v>
      </c>
      <c r="D177" s="12">
        <v>6</v>
      </c>
      <c r="E177" s="49">
        <v>5.6779999999999997E-2</v>
      </c>
      <c r="F177">
        <v>67.028000000000006</v>
      </c>
      <c r="G177" s="12">
        <f t="shared" si="115"/>
        <v>19.460000000000004</v>
      </c>
      <c r="H177">
        <v>2.4990000000000001</v>
      </c>
      <c r="I177" s="75">
        <v>750.7</v>
      </c>
      <c r="J177" s="17">
        <f t="shared" ref="J177" si="434">IF(D177=1, 32.2,IF(D177=2, 30.8, IF(D177=3, 29.9, IF(D177=4, 29.6, IF(D177=5, 29.9, IF(D177=6, 30.2, IF(D177=7, 30.4, IF(D177=8, 28, IF(D177=9, 32.2, IF(D177=10, 30.1, IF(D177=11, 30.1, IF(D177=12, 29.2, IF(D177=13, 30.8,IF(D177=14,29.3, IF(D177=15,30.2,IF(D177=16, 30.8,IF(D177=17,30.1,IF(D177=18,29.5,IF(D177=19,28.7,IF(D177=20,30.2,IF(D177=21,31.7, "NOT LISTED")))))))))))))))))))))</f>
        <v>30.2</v>
      </c>
      <c r="K177" s="34">
        <f t="shared" ref="K177" si="435">J177*(H177-E177)</f>
        <v>73.755044000000012</v>
      </c>
      <c r="L177" s="17">
        <f t="shared" si="267"/>
        <v>0.5</v>
      </c>
      <c r="M177" s="17">
        <f t="shared" si="268"/>
        <v>0.78993999999999998</v>
      </c>
      <c r="N177" s="17">
        <f t="shared" si="120"/>
        <v>1.9603697555881312</v>
      </c>
      <c r="O177" s="25">
        <f t="shared" ref="O177" si="436">K177*N177</f>
        <v>144.5871575796719</v>
      </c>
      <c r="P177" s="25">
        <f t="shared" ref="P177" si="437">(J177*(2.5-E177))*N177</f>
        <v>144.64636074629064</v>
      </c>
      <c r="Q177" s="31">
        <f t="shared" ref="Q177" si="438">(999.83952+16.945176*G177-0.00798704*G177^2-0.000046170461*G177^3+0.00000010556302*G177^4-0.00000000028054253*G177^5)/(1+0.01689785*G177)</f>
        <v>998.05089669589813</v>
      </c>
      <c r="R177" s="17">
        <f t="shared" ref="R177" si="439">IF(I177="NA", 101325, I177*133.322368)</f>
        <v>100085.10165760001</v>
      </c>
      <c r="S177" s="17">
        <v>94.8</v>
      </c>
      <c r="T177" s="27">
        <f t="shared" ref="T177" si="440">G177+273.15</f>
        <v>292.60999999999996</v>
      </c>
      <c r="U177" s="25">
        <f t="shared" ref="U177" si="441">(1+((Q177*S177/R177/100)*(1+0.01*K177)))*N177*(293/T177)</f>
        <v>1.9952263431782065</v>
      </c>
    </row>
    <row r="178" spans="1:21" x14ac:dyDescent="0.35">
      <c r="A178" s="6" t="s">
        <v>104</v>
      </c>
      <c r="B178" s="29" t="s">
        <v>9</v>
      </c>
      <c r="C178" s="4" t="s">
        <v>2166</v>
      </c>
      <c r="D178" s="12">
        <v>18</v>
      </c>
      <c r="E178" s="49">
        <v>0.34005000000000002</v>
      </c>
      <c r="F178">
        <v>62.319000000000003</v>
      </c>
      <c r="G178" s="12">
        <f t="shared" si="115"/>
        <v>16.843888888888891</v>
      </c>
      <c r="H178">
        <v>2.4990000000000001</v>
      </c>
      <c r="I178" s="75">
        <v>750.4</v>
      </c>
      <c r="J178" s="17">
        <f t="shared" ref="J178" si="442">IF(D178=1, 32.2,IF(D178=2, 30.8, IF(D178=3, 29.9, IF(D178=4, 29.6, IF(D178=5, 29.9, IF(D178=6, 30.2, IF(D178=7, 30.4, IF(D178=8, 28, IF(D178=9, 32.2, IF(D178=10, 30.1, IF(D178=11, 30.1, IF(D178=12, 29.2, IF(D178=13, 30.8,IF(D178=14,29.3, IF(D178=15,30.2,IF(D178=16, 30.8,IF(D178=17,30.1,IF(D178=18,29.5,IF(D178=19,28.7,IF(D178=20,30.2,IF(D178=21,31.7, "NOT LISTED")))))))))))))))))))))</f>
        <v>29.5</v>
      </c>
      <c r="K178" s="34">
        <f t="shared" ref="K178" si="443">J178*(H178-E178)</f>
        <v>63.689025000000001</v>
      </c>
      <c r="L178" s="17">
        <f t="shared" si="267"/>
        <v>1</v>
      </c>
      <c r="M178" s="17">
        <f t="shared" si="268"/>
        <v>1.33</v>
      </c>
      <c r="N178" s="17">
        <f t="shared" si="120"/>
        <v>5.5571620888000011</v>
      </c>
      <c r="O178" s="25">
        <f t="shared" ref="O178" si="444">K178*N178</f>
        <v>353.93023520263552</v>
      </c>
      <c r="P178" s="25">
        <f t="shared" ref="P178" si="445">(J178*(2.5-E178))*N178</f>
        <v>354.09417148425507</v>
      </c>
      <c r="Q178" s="31">
        <f t="shared" ref="Q178" si="446">(999.83952+16.945176*G178-0.00798704*G178^2-0.000046170461*G178^3+0.00000010556302*G178^4-0.00000000028054253*G178^5)/(1+0.01689785*G178)</f>
        <v>998.56619027375677</v>
      </c>
      <c r="R178" s="17">
        <f t="shared" ref="R178" si="447">IF(I178="NA", 101325, I178*133.322368)</f>
        <v>100045.1049472</v>
      </c>
      <c r="S178" s="17">
        <v>95.8</v>
      </c>
      <c r="T178" s="27">
        <f t="shared" ref="T178" si="448">G178+273.15</f>
        <v>289.99388888888888</v>
      </c>
      <c r="U178" s="25">
        <f t="shared" ref="U178" si="449">(1+((Q178*S178/R178/100)*(1+0.01*K178)))*N178*(293/T178)</f>
        <v>5.7026498848187561</v>
      </c>
    </row>
    <row r="179" spans="1:21" x14ac:dyDescent="0.35">
      <c r="A179" s="6" t="s">
        <v>104</v>
      </c>
      <c r="B179" s="29" t="s">
        <v>14</v>
      </c>
      <c r="C179" s="4" t="s">
        <v>2373</v>
      </c>
      <c r="D179" s="12">
        <v>5</v>
      </c>
      <c r="E179" s="49">
        <v>0.10806</v>
      </c>
      <c r="F179">
        <v>69.129000000000005</v>
      </c>
      <c r="G179" s="12">
        <f t="shared" si="115"/>
        <v>20.627222222222226</v>
      </c>
      <c r="H179">
        <v>2.4990000000000001</v>
      </c>
      <c r="I179" s="75">
        <v>750.4</v>
      </c>
      <c r="J179" s="17">
        <f t="shared" ref="J179:J181" si="450">IF(D179=1, 32.2,IF(D179=2, 30.8, IF(D179=3, 29.9, IF(D179=4, 29.6, IF(D179=5, 29.9, IF(D179=6, 30.2, IF(D179=7, 30.4, IF(D179=8, 28, IF(D179=9, 32.2, IF(D179=10, 30.1, IF(D179=11, 30.1, IF(D179=12, 29.2, IF(D179=13, 30.8,IF(D179=14,29.3, IF(D179=15,30.2,IF(D179=16, 30.8,IF(D179=17,30.1,IF(D179=18,29.5,IF(D179=19,28.7,IF(D179=20,30.2,IF(D179=21,31.7, "NOT LISTED")))))))))))))))))))))</f>
        <v>29.9</v>
      </c>
      <c r="K179" s="34">
        <f t="shared" ref="K179:K181" si="451">J179*(H179-E179)</f>
        <v>71.489105999999992</v>
      </c>
      <c r="L179" s="17">
        <f t="shared" si="267"/>
        <v>1</v>
      </c>
      <c r="M179" s="17">
        <f t="shared" si="268"/>
        <v>1.33</v>
      </c>
      <c r="N179" s="17">
        <f t="shared" si="120"/>
        <v>5.5571620888000011</v>
      </c>
      <c r="O179" s="25">
        <f t="shared" ref="O179:O183" si="452">K179*N179</f>
        <v>397.27654962540464</v>
      </c>
      <c r="P179" s="25">
        <f t="shared" ref="P179:P183" si="453">(J179*(2.5-E179))*N179</f>
        <v>397.44270877185977</v>
      </c>
      <c r="Q179" s="31">
        <f t="shared" ref="Q179:Q183" si="454">(999.83952+16.945176*G179-0.00798704*G179^2-0.000046170461*G179^3+0.00000010556302*G179^4-0.00000000028054253*G179^5)/(1+0.01689785*G179)</f>
        <v>997.79781208849647</v>
      </c>
      <c r="R179" s="17">
        <f t="shared" ref="R179:R183" si="455">IF(I179="NA", 101325, I179*133.322368)</f>
        <v>100045.1049472</v>
      </c>
      <c r="S179" s="17">
        <v>96.8</v>
      </c>
      <c r="T179" s="27">
        <f t="shared" ref="T179:T183" si="456">G179+273.15</f>
        <v>293.77722222222218</v>
      </c>
      <c r="U179" s="25">
        <f t="shared" ref="U179:U183" si="457">(1+((Q179*S179/R179/100)*(1+0.01*K179)))*N179*(293/T179)</f>
        <v>5.6342216011898545</v>
      </c>
    </row>
    <row r="180" spans="1:21" x14ac:dyDescent="0.35">
      <c r="A180" s="6" t="s">
        <v>104</v>
      </c>
      <c r="B180" s="29" t="s">
        <v>18</v>
      </c>
      <c r="C180" s="4" t="s">
        <v>2179</v>
      </c>
      <c r="D180" s="12">
        <v>16</v>
      </c>
      <c r="E180" s="49">
        <v>0.38217000000000001</v>
      </c>
      <c r="F180">
        <v>64.287999999999997</v>
      </c>
      <c r="G180" s="12">
        <f t="shared" si="115"/>
        <v>17.937777777777775</v>
      </c>
      <c r="H180">
        <v>2.4990000000000001</v>
      </c>
      <c r="I180" s="75">
        <v>750.4</v>
      </c>
      <c r="J180" s="17">
        <f t="shared" si="450"/>
        <v>30.8</v>
      </c>
      <c r="K180" s="34">
        <f t="shared" si="451"/>
        <v>65.198364000000012</v>
      </c>
      <c r="L180" s="17">
        <f t="shared" si="267"/>
        <v>1</v>
      </c>
      <c r="M180" s="17">
        <f t="shared" si="268"/>
        <v>1.33</v>
      </c>
      <c r="N180" s="17">
        <f t="shared" si="120"/>
        <v>5.5571620888000011</v>
      </c>
      <c r="O180" s="25">
        <f t="shared" si="452"/>
        <v>362.31787667258288</v>
      </c>
      <c r="P180" s="25">
        <f t="shared" si="453"/>
        <v>362.4890372649179</v>
      </c>
      <c r="Q180" s="31">
        <f t="shared" si="454"/>
        <v>998.35963726934028</v>
      </c>
      <c r="R180" s="17">
        <f t="shared" si="455"/>
        <v>100045.1049472</v>
      </c>
      <c r="S180" s="17">
        <v>97.8</v>
      </c>
      <c r="T180" s="27">
        <f t="shared" si="456"/>
        <v>291.08777777777777</v>
      </c>
      <c r="U180" s="25">
        <f t="shared" si="457"/>
        <v>5.6838529785543175</v>
      </c>
    </row>
    <row r="181" spans="1:21" x14ac:dyDescent="0.35">
      <c r="A181" s="6" t="s">
        <v>104</v>
      </c>
      <c r="B181" s="29" t="s">
        <v>25</v>
      </c>
      <c r="C181" s="4" t="s">
        <v>2182</v>
      </c>
      <c r="D181" s="12">
        <v>4</v>
      </c>
      <c r="E181" s="49">
        <v>0.45971000000000001</v>
      </c>
      <c r="F181">
        <v>66.13</v>
      </c>
      <c r="G181" s="12">
        <f t="shared" si="115"/>
        <v>18.961111111111109</v>
      </c>
      <c r="H181">
        <v>2.4990000000000001</v>
      </c>
      <c r="I181" s="75">
        <v>750.4</v>
      </c>
      <c r="J181" s="17">
        <f t="shared" si="450"/>
        <v>29.6</v>
      </c>
      <c r="K181" s="34">
        <f t="shared" si="451"/>
        <v>60.362984000000012</v>
      </c>
      <c r="L181" s="17">
        <f t="shared" si="267"/>
        <v>0.5</v>
      </c>
      <c r="M181" s="17">
        <f t="shared" si="268"/>
        <v>0.78993999999999998</v>
      </c>
      <c r="N181" s="17">
        <f t="shared" si="120"/>
        <v>1.9603697555881312</v>
      </c>
      <c r="O181" s="25">
        <f t="shared" si="452"/>
        <v>118.3337681906503</v>
      </c>
      <c r="P181" s="25">
        <f t="shared" si="453"/>
        <v>118.39179513541569</v>
      </c>
      <c r="Q181" s="31">
        <f t="shared" si="454"/>
        <v>998.154772345521</v>
      </c>
      <c r="R181" s="17">
        <f t="shared" si="455"/>
        <v>100045.1049472</v>
      </c>
      <c r="S181" s="17">
        <v>98.8</v>
      </c>
      <c r="T181" s="27">
        <f t="shared" si="456"/>
        <v>292.11111111111109</v>
      </c>
      <c r="U181" s="25">
        <f t="shared" si="457"/>
        <v>1.997417962941719</v>
      </c>
    </row>
    <row r="182" spans="1:21" x14ac:dyDescent="0.35">
      <c r="A182" s="6" t="s">
        <v>104</v>
      </c>
      <c r="B182" s="29" t="s">
        <v>26</v>
      </c>
      <c r="C182" s="4" t="s">
        <v>2184</v>
      </c>
      <c r="D182" s="12">
        <v>14</v>
      </c>
      <c r="E182" s="49">
        <v>1.0268600000000001</v>
      </c>
      <c r="F182">
        <v>65.700999999999993</v>
      </c>
      <c r="G182" s="12">
        <f t="shared" si="115"/>
        <v>18.722777777777775</v>
      </c>
      <c r="H182">
        <v>2.4990000000000001</v>
      </c>
      <c r="I182" s="75">
        <v>750.4</v>
      </c>
      <c r="J182" s="17">
        <f t="shared" ref="J182:J183" si="458">IF(D182=1, 32.2,IF(D182=2, 30.8, IF(D182=3, 29.9, IF(D182=4, 29.6, IF(D182=5, 29.9, IF(D182=6, 30.2, IF(D182=7, 30.4, IF(D182=8, 28, IF(D182=9, 32.2, IF(D182=10, 30.1, IF(D182=11, 30.1, IF(D182=12, 29.2, IF(D182=13, 30.8,IF(D182=14,29.3, IF(D182=15,30.2,IF(D182=16, 30.8,IF(D182=17,30.1,IF(D182=18,29.5,IF(D182=19,28.7,IF(D182=20,30.2,IF(D182=21,31.7, "NOT LISTED")))))))))))))))))))))</f>
        <v>29.3</v>
      </c>
      <c r="K182" s="34">
        <f t="shared" ref="K182:K183" si="459">J182*(H182-E182)</f>
        <v>43.133702</v>
      </c>
      <c r="L182" s="17">
        <f t="shared" si="267"/>
        <v>0.5</v>
      </c>
      <c r="M182" s="17">
        <f t="shared" si="268"/>
        <v>0.78993999999999998</v>
      </c>
      <c r="N182" s="17">
        <f t="shared" si="120"/>
        <v>1.9603697555881312</v>
      </c>
      <c r="O182" s="25">
        <f t="shared" si="452"/>
        <v>84.558004847351285</v>
      </c>
      <c r="P182" s="25">
        <f t="shared" si="453"/>
        <v>84.615443681190015</v>
      </c>
      <c r="Q182" s="31">
        <f t="shared" si="454"/>
        <v>998.20347614946559</v>
      </c>
      <c r="R182" s="17">
        <f t="shared" si="455"/>
        <v>100045.1049472</v>
      </c>
      <c r="S182" s="17">
        <v>99.8</v>
      </c>
      <c r="T182" s="27">
        <f t="shared" si="456"/>
        <v>291.87277777777774</v>
      </c>
      <c r="U182" s="25">
        <f t="shared" si="457"/>
        <v>1.9959891425309619</v>
      </c>
    </row>
    <row r="183" spans="1:21" x14ac:dyDescent="0.35">
      <c r="A183" s="6" t="s">
        <v>104</v>
      </c>
      <c r="B183" s="29" t="s">
        <v>167</v>
      </c>
      <c r="C183" s="4" t="s">
        <v>2187</v>
      </c>
      <c r="D183" s="12">
        <v>3</v>
      </c>
      <c r="E183" s="49">
        <v>0.55432999999999999</v>
      </c>
      <c r="F183">
        <v>65.745000000000005</v>
      </c>
      <c r="G183" s="12">
        <f t="shared" si="115"/>
        <v>18.747222222222224</v>
      </c>
      <c r="H183">
        <v>2.4990000000000001</v>
      </c>
      <c r="I183" s="75">
        <v>750.4</v>
      </c>
      <c r="J183" s="17">
        <f t="shared" si="458"/>
        <v>29.9</v>
      </c>
      <c r="K183" s="34">
        <f t="shared" si="459"/>
        <v>58.145633000000004</v>
      </c>
      <c r="L183" s="17">
        <f t="shared" si="267"/>
        <v>0.5</v>
      </c>
      <c r="M183" s="17">
        <f t="shared" si="268"/>
        <v>0.78993999999999998</v>
      </c>
      <c r="N183" s="17">
        <f t="shared" si="120"/>
        <v>1.9603697555881312</v>
      </c>
      <c r="O183" s="25">
        <f t="shared" si="452"/>
        <v>113.98694035272719</v>
      </c>
      <c r="P183" s="25">
        <f t="shared" si="453"/>
        <v>114.04555540841925</v>
      </c>
      <c r="Q183" s="31">
        <f t="shared" si="454"/>
        <v>998.19850841924017</v>
      </c>
      <c r="R183" s="17">
        <f t="shared" si="455"/>
        <v>100045.1049472</v>
      </c>
      <c r="S183" s="17">
        <v>100.8</v>
      </c>
      <c r="T183" s="27">
        <f t="shared" si="456"/>
        <v>291.89722222222218</v>
      </c>
      <c r="U183" s="25">
        <f t="shared" si="457"/>
        <v>1.9990738126443635</v>
      </c>
    </row>
    <row r="184" spans="1:21" x14ac:dyDescent="0.35">
      <c r="A184" s="6" t="s">
        <v>104</v>
      </c>
      <c r="B184" s="72" t="s">
        <v>64</v>
      </c>
      <c r="C184" s="4" t="s">
        <v>2199</v>
      </c>
      <c r="D184" s="12">
        <v>2</v>
      </c>
      <c r="E184" s="49">
        <v>0.10134</v>
      </c>
      <c r="F184">
        <v>64.117000000000004</v>
      </c>
      <c r="G184" s="12">
        <f t="shared" si="115"/>
        <v>17.84277777777778</v>
      </c>
      <c r="H184">
        <v>2.4990000000000001</v>
      </c>
      <c r="I184" s="12">
        <v>745.8</v>
      </c>
      <c r="J184" s="17">
        <f t="shared" ref="J184:J186" si="460">IF(D184=1, 32.2,IF(D184=2, 30.8, IF(D184=3, 29.9, IF(D184=4, 29.6, IF(D184=5, 29.9, IF(D184=6, 30.2, IF(D184=7, 30.4, IF(D184=8, 28, IF(D184=9, 32.2, IF(D184=10, 30.1, IF(D184=11, 30.1, IF(D184=12, 29.2, IF(D184=13, 30.8,IF(D184=14,29.3, IF(D184=15,30.2,IF(D184=16, 30.8,IF(D184=17,30.1,IF(D184=18,29.5,IF(D184=19,28.7,IF(D184=20,30.2,IF(D184=21,31.7, "NOT LISTED")))))))))))))))))))))</f>
        <v>30.8</v>
      </c>
      <c r="K184" s="34">
        <f t="shared" ref="K184:K186" si="461">J184*(H184-E184)</f>
        <v>73.84792800000001</v>
      </c>
      <c r="L184" s="17">
        <f t="shared" ref="L184:L186" si="462">IF(OR(B184="P4",B184="P5",B184="EUS3",B184="EUS",B184="EUS2"),1,0.5)</f>
        <v>0.5</v>
      </c>
      <c r="M184" s="17">
        <f t="shared" ref="M184:M186" si="463">IF(L184 = 0.5, 0.78994,IF(L184=1, 1.33, "NOT LISTED"))</f>
        <v>0.78993999999999998</v>
      </c>
      <c r="N184" s="17">
        <f t="shared" si="120"/>
        <v>1.9603697555881312</v>
      </c>
      <c r="O184" s="25">
        <f t="shared" ref="O184:O186" si="464">K184*N184</f>
        <v>144.76924456404993</v>
      </c>
      <c r="P184" s="25">
        <f t="shared" ref="P184:P186" si="465">(J184*(2.5-E184))*N184</f>
        <v>144.82962395252201</v>
      </c>
      <c r="Q184" s="31">
        <f t="shared" ref="Q184:Q186" si="466">(999.83952+16.945176*G184-0.00798704*G184^2-0.000046170461*G184^3+0.00000010556302*G184^4-0.00000000028054253*G184^5)/(1+0.01689785*G184)</f>
        <v>998.37808934513623</v>
      </c>
      <c r="R184" s="17">
        <f t="shared" ref="R184:R186" si="467">IF(I184="NA", 101325, I184*133.322368)</f>
        <v>99431.822054400007</v>
      </c>
      <c r="S184" s="17">
        <v>101.8</v>
      </c>
      <c r="T184" s="27">
        <f t="shared" ref="T184:T186" si="468">G184+273.15</f>
        <v>290.99277777777775</v>
      </c>
      <c r="U184" s="25">
        <f t="shared" ref="U184:U186" si="469">(1+((Q184*S184/R184/100)*(1+0.01*K184)))*N184*(293/T184)</f>
        <v>2.0089680993834502</v>
      </c>
    </row>
    <row r="185" spans="1:21" x14ac:dyDescent="0.35">
      <c r="A185" s="6" t="s">
        <v>104</v>
      </c>
      <c r="B185" s="72" t="s">
        <v>69</v>
      </c>
      <c r="C185" s="4" t="s">
        <v>2193</v>
      </c>
      <c r="D185" s="12">
        <v>19</v>
      </c>
      <c r="E185" s="49">
        <v>0.26801000000000003</v>
      </c>
      <c r="F185">
        <v>64.418000000000006</v>
      </c>
      <c r="G185" s="12">
        <f t="shared" si="115"/>
        <v>18.010000000000002</v>
      </c>
      <c r="H185">
        <v>2.4990000000000001</v>
      </c>
      <c r="I185" s="12">
        <v>745.8</v>
      </c>
      <c r="J185" s="17">
        <f t="shared" si="460"/>
        <v>28.7</v>
      </c>
      <c r="K185" s="34">
        <f t="shared" si="461"/>
        <v>64.029413000000005</v>
      </c>
      <c r="L185" s="17">
        <f t="shared" si="462"/>
        <v>0.5</v>
      </c>
      <c r="M185" s="17">
        <f t="shared" si="463"/>
        <v>0.78993999999999998</v>
      </c>
      <c r="N185" s="17">
        <f t="shared" si="120"/>
        <v>1.9603697555881312</v>
      </c>
      <c r="O185" s="25">
        <f t="shared" si="464"/>
        <v>125.52132471326152</v>
      </c>
      <c r="P185" s="25">
        <f t="shared" si="465"/>
        <v>125.5775873252469</v>
      </c>
      <c r="Q185" s="31">
        <f t="shared" si="466"/>
        <v>998.34554455113687</v>
      </c>
      <c r="R185" s="17">
        <f t="shared" si="467"/>
        <v>99431.822054400007</v>
      </c>
      <c r="S185" s="17">
        <v>102.8</v>
      </c>
      <c r="T185" s="27">
        <f t="shared" si="468"/>
        <v>291.15999999999997</v>
      </c>
      <c r="U185" s="25">
        <f t="shared" si="469"/>
        <v>2.0061582374358911</v>
      </c>
    </row>
    <row r="186" spans="1:21" x14ac:dyDescent="0.35">
      <c r="A186" s="6" t="s">
        <v>104</v>
      </c>
      <c r="B186" s="72" t="s">
        <v>60</v>
      </c>
      <c r="C186" s="4" t="s">
        <v>2196</v>
      </c>
      <c r="D186" s="12">
        <v>6</v>
      </c>
      <c r="E186" s="49">
        <v>2.93E-2</v>
      </c>
      <c r="F186">
        <v>64.546000000000006</v>
      </c>
      <c r="G186" s="12">
        <f t="shared" si="115"/>
        <v>18.081111111111113</v>
      </c>
      <c r="H186">
        <v>2.4990000000000001</v>
      </c>
      <c r="I186" s="12">
        <v>745.8</v>
      </c>
      <c r="J186" s="17">
        <f t="shared" si="460"/>
        <v>30.2</v>
      </c>
      <c r="K186" s="34">
        <f t="shared" si="461"/>
        <v>74.584940000000003</v>
      </c>
      <c r="L186" s="17">
        <f t="shared" si="462"/>
        <v>0.5</v>
      </c>
      <c r="M186" s="17">
        <f t="shared" si="463"/>
        <v>0.78993999999999998</v>
      </c>
      <c r="N186" s="17">
        <f t="shared" si="120"/>
        <v>1.9603697555881312</v>
      </c>
      <c r="O186" s="25">
        <f t="shared" si="464"/>
        <v>146.21406059835545</v>
      </c>
      <c r="P186" s="25">
        <f t="shared" si="465"/>
        <v>146.27326376497419</v>
      </c>
      <c r="Q186" s="31">
        <f t="shared" si="466"/>
        <v>998.33161403039151</v>
      </c>
      <c r="R186" s="17">
        <f t="shared" si="467"/>
        <v>99431.822054400007</v>
      </c>
      <c r="S186" s="17">
        <v>103.8</v>
      </c>
      <c r="T186" s="27">
        <f t="shared" si="468"/>
        <v>291.23111111111109</v>
      </c>
      <c r="U186" s="25">
        <f t="shared" si="469"/>
        <v>2.0081624110082035</v>
      </c>
    </row>
    <row r="187" spans="1:21" x14ac:dyDescent="0.35">
      <c r="A187" s="6" t="s">
        <v>104</v>
      </c>
      <c r="B187" s="29" t="s">
        <v>9</v>
      </c>
      <c r="C187" s="4" t="s">
        <v>2205</v>
      </c>
      <c r="D187" s="12">
        <v>18</v>
      </c>
      <c r="E187" s="49">
        <v>0.36508000000000002</v>
      </c>
      <c r="F187">
        <v>60.817999999999998</v>
      </c>
      <c r="G187" s="12">
        <f t="shared" si="115"/>
        <v>16.009999999999998</v>
      </c>
      <c r="H187">
        <v>2.4990000000000001</v>
      </c>
      <c r="I187" s="75">
        <v>767.84199999999998</v>
      </c>
      <c r="J187" s="17">
        <f t="shared" ref="J187" si="470">IF(D187=1, 32.2,IF(D187=2, 30.8, IF(D187=3, 29.9, IF(D187=4, 29.6, IF(D187=5, 29.9, IF(D187=6, 30.2, IF(D187=7, 30.4, IF(D187=8, 28, IF(D187=9, 32.2, IF(D187=10, 30.1, IF(D187=11, 30.1, IF(D187=12, 29.2, IF(D187=13, 30.8,IF(D187=14,29.3, IF(D187=15,30.2,IF(D187=16, 30.8,IF(D187=17,30.1,IF(D187=18,29.5,IF(D187=19,28.7,IF(D187=20,30.2,IF(D187=21,31.7, "NOT LISTED")))))))))))))))))))))</f>
        <v>29.5</v>
      </c>
      <c r="K187" s="34">
        <f t="shared" ref="K187" si="471">J187*(H187-E187)</f>
        <v>62.950640000000007</v>
      </c>
      <c r="L187" s="17">
        <f t="shared" ref="L187" si="472">IF(OR(B187="P4",B187="P5",B187="EUS3",B187="EUS",B187="EUS2"),1,0.5)</f>
        <v>1</v>
      </c>
      <c r="M187" s="17">
        <f t="shared" ref="M187" si="473">IF(L187 = 0.5, 0.78994,IF(L187=1, 1.33, "NOT LISTED"))</f>
        <v>1.33</v>
      </c>
      <c r="N187" s="17">
        <f t="shared" si="120"/>
        <v>5.5571620888000011</v>
      </c>
      <c r="O187" s="25">
        <f t="shared" ref="O187" si="474">K187*N187</f>
        <v>349.82691007369692</v>
      </c>
      <c r="P187" s="25">
        <f t="shared" ref="P187" si="475">(J187*(2.5-E187))*N187</f>
        <v>349.99084635531653</v>
      </c>
      <c r="Q187" s="31">
        <f t="shared" ref="Q187" si="476">(999.83952+16.945176*G187-0.00798704*G187^2-0.000046170461*G187^3+0.00000010556302*G187^4-0.00000000028054253*G187^5)/(1+0.01689785*G187)</f>
        <v>998.71482580714712</v>
      </c>
      <c r="R187" s="17">
        <f t="shared" ref="R187" si="477">IF(I187="NA", 101325, I187*133.322368)</f>
        <v>102370.513689856</v>
      </c>
      <c r="S187" s="17">
        <v>104.8</v>
      </c>
      <c r="T187" s="27">
        <f t="shared" ref="T187" si="478">G187+273.15</f>
        <v>289.15999999999997</v>
      </c>
      <c r="U187" s="25">
        <f t="shared" ref="U187" si="479">(1+((Q187*S187/R187/100)*(1+0.01*K187)))*N187*(293/T187)</f>
        <v>5.7247740773689992</v>
      </c>
    </row>
    <row r="188" spans="1:21" x14ac:dyDescent="0.35">
      <c r="A188" s="6" t="s">
        <v>104</v>
      </c>
      <c r="B188" s="29" t="s">
        <v>14</v>
      </c>
      <c r="C188" s="4" t="s">
        <v>2208</v>
      </c>
      <c r="D188" s="12">
        <v>5</v>
      </c>
      <c r="E188" s="49">
        <v>0.14224999999999999</v>
      </c>
      <c r="F188">
        <v>61.375999999999998</v>
      </c>
      <c r="G188" s="12">
        <f t="shared" si="115"/>
        <v>16.319999999999997</v>
      </c>
      <c r="H188">
        <v>2.4990000000000001</v>
      </c>
      <c r="I188" s="75">
        <v>767.84199999999998</v>
      </c>
      <c r="J188" s="17">
        <f t="shared" ref="J188:J195" si="480">IF(D188=1, 32.2,IF(D188=2, 30.8, IF(D188=3, 29.9, IF(D188=4, 29.6, IF(D188=5, 29.9, IF(D188=6, 30.2, IF(D188=7, 30.4, IF(D188=8, 28, IF(D188=9, 32.2, IF(D188=10, 30.1, IF(D188=11, 30.1, IF(D188=12, 29.2, IF(D188=13, 30.8,IF(D188=14,29.3, IF(D188=15,30.2,IF(D188=16, 30.8,IF(D188=17,30.1,IF(D188=18,29.5,IF(D188=19,28.7,IF(D188=20,30.2,IF(D188=21,31.7, "NOT LISTED")))))))))))))))))))))</f>
        <v>29.9</v>
      </c>
      <c r="K188" s="34">
        <f t="shared" ref="K188:K195" si="481">J188*(H188-E188)</f>
        <v>70.466825</v>
      </c>
      <c r="L188" s="17">
        <f t="shared" ref="L188:L195" si="482">IF(OR(B188="P4",B188="P5",B188="EUS3",B188="EUS",B188="EUS2"),1,0.5)</f>
        <v>1</v>
      </c>
      <c r="M188" s="17">
        <f t="shared" ref="M188:M195" si="483">IF(L188 = 0.5, 0.78994,IF(L188=1, 1.33, "NOT LISTED"))</f>
        <v>1.33</v>
      </c>
      <c r="N188" s="17">
        <f t="shared" si="120"/>
        <v>5.5571620888000011</v>
      </c>
      <c r="O188" s="25">
        <f t="shared" ref="O188:O195" si="484">K188*N188</f>
        <v>391.59556840810416</v>
      </c>
      <c r="P188" s="25">
        <f t="shared" ref="P188:P195" si="485">(J188*(2.5-E188))*N188</f>
        <v>391.76172755455923</v>
      </c>
      <c r="Q188" s="31">
        <f t="shared" ref="Q188:Q195" si="486">(999.83952+16.945176*G188-0.00798704*G188^2-0.000046170461*G188^3+0.00000010556302*G188^4-0.00000000028054253*G188^5)/(1+0.01689785*G188)</f>
        <v>998.66047248195468</v>
      </c>
      <c r="R188" s="17">
        <f t="shared" ref="R188:R195" si="487">IF(I188="NA", 101325, I188*133.322368)</f>
        <v>102370.513689856</v>
      </c>
      <c r="S188" s="17">
        <v>105.8</v>
      </c>
      <c r="T188" s="27">
        <f t="shared" ref="T188:T195" si="488">G188+273.15</f>
        <v>289.46999999999997</v>
      </c>
      <c r="U188" s="25">
        <f t="shared" ref="U188:U195" si="489">(1+((Q188*S188/R188/100)*(1+0.01*K188)))*N188*(293/T188)</f>
        <v>5.7238959313704605</v>
      </c>
    </row>
    <row r="189" spans="1:21" x14ac:dyDescent="0.35">
      <c r="A189" s="6" t="s">
        <v>104</v>
      </c>
      <c r="B189" s="29" t="s">
        <v>18</v>
      </c>
      <c r="C189" s="4" t="s">
        <v>2228</v>
      </c>
      <c r="D189" s="12">
        <v>16</v>
      </c>
      <c r="E189" s="49">
        <v>0.42186000000000001</v>
      </c>
      <c r="F189">
        <v>62.018999999999998</v>
      </c>
      <c r="G189" s="12">
        <f t="shared" si="115"/>
        <v>16.67722222222222</v>
      </c>
      <c r="H189">
        <v>2.4990000000000001</v>
      </c>
      <c r="I189" s="75">
        <v>767.84199999999998</v>
      </c>
      <c r="J189" s="17">
        <f t="shared" si="480"/>
        <v>30.8</v>
      </c>
      <c r="K189" s="34">
        <f t="shared" si="481"/>
        <v>63.975912000000001</v>
      </c>
      <c r="L189" s="17">
        <f t="shared" si="482"/>
        <v>1</v>
      </c>
      <c r="M189" s="17">
        <f t="shared" si="483"/>
        <v>1.33</v>
      </c>
      <c r="N189" s="17">
        <f t="shared" si="120"/>
        <v>5.5571620888000011</v>
      </c>
      <c r="O189" s="25">
        <f t="shared" si="484"/>
        <v>355.52451276280505</v>
      </c>
      <c r="P189" s="25">
        <f t="shared" si="485"/>
        <v>355.69567335514006</v>
      </c>
      <c r="Q189" s="31">
        <f t="shared" si="486"/>
        <v>998.59651370569179</v>
      </c>
      <c r="R189" s="17">
        <f t="shared" si="487"/>
        <v>102370.513689856</v>
      </c>
      <c r="S189" s="17">
        <v>106.8</v>
      </c>
      <c r="T189" s="27">
        <f t="shared" si="488"/>
        <v>289.82722222222219</v>
      </c>
      <c r="U189" s="25">
        <f t="shared" si="489"/>
        <v>5.7139698525467795</v>
      </c>
    </row>
    <row r="190" spans="1:21" x14ac:dyDescent="0.35">
      <c r="A190" s="6" t="s">
        <v>104</v>
      </c>
      <c r="B190" s="29" t="s">
        <v>26</v>
      </c>
      <c r="C190" s="4" t="s">
        <v>2212</v>
      </c>
      <c r="D190" s="12">
        <v>14</v>
      </c>
      <c r="E190" s="49">
        <v>1.5268600000000001</v>
      </c>
      <c r="F190">
        <v>63.561</v>
      </c>
      <c r="G190" s="12">
        <f t="shared" si="115"/>
        <v>17.533888888888889</v>
      </c>
      <c r="H190">
        <v>2.4990000000000001</v>
      </c>
      <c r="I190" s="75">
        <v>767.84199999999998</v>
      </c>
      <c r="J190" s="17">
        <f t="shared" si="480"/>
        <v>29.3</v>
      </c>
      <c r="K190" s="34">
        <f t="shared" si="481"/>
        <v>28.483702000000001</v>
      </c>
      <c r="L190" s="17">
        <f t="shared" si="482"/>
        <v>0.5</v>
      </c>
      <c r="M190" s="17">
        <f t="shared" si="483"/>
        <v>0.78993999999999998</v>
      </c>
      <c r="N190" s="17">
        <f t="shared" si="120"/>
        <v>1.9603697555881312</v>
      </c>
      <c r="O190" s="25">
        <f t="shared" si="484"/>
        <v>55.838587927985166</v>
      </c>
      <c r="P190" s="25">
        <f t="shared" si="485"/>
        <v>55.89602676182389</v>
      </c>
      <c r="Q190" s="31">
        <f t="shared" si="486"/>
        <v>998.4374135898986</v>
      </c>
      <c r="R190" s="17">
        <f t="shared" si="487"/>
        <v>102370.513689856</v>
      </c>
      <c r="S190" s="17">
        <v>107.8</v>
      </c>
      <c r="T190" s="27">
        <f t="shared" si="488"/>
        <v>290.68388888888887</v>
      </c>
      <c r="U190" s="25">
        <f t="shared" si="489"/>
        <v>2.0026825918438571</v>
      </c>
    </row>
    <row r="191" spans="1:21" x14ac:dyDescent="0.35">
      <c r="A191" s="6" t="s">
        <v>104</v>
      </c>
      <c r="B191" s="29" t="s">
        <v>25</v>
      </c>
      <c r="C191" s="4" t="s">
        <v>2215</v>
      </c>
      <c r="D191" s="12">
        <v>4</v>
      </c>
      <c r="E191" s="49">
        <v>0.44139</v>
      </c>
      <c r="F191">
        <v>63.304000000000002</v>
      </c>
      <c r="G191" s="12">
        <f t="shared" si="115"/>
        <v>17.391111111111112</v>
      </c>
      <c r="H191">
        <v>1.1324799999999999</v>
      </c>
      <c r="I191" s="75">
        <v>767.84199999999998</v>
      </c>
      <c r="J191" s="17">
        <f t="shared" si="480"/>
        <v>29.6</v>
      </c>
      <c r="K191" s="34">
        <f t="shared" si="481"/>
        <v>20.456264000000001</v>
      </c>
      <c r="L191" s="17">
        <f t="shared" si="482"/>
        <v>0.5</v>
      </c>
      <c r="M191" s="17">
        <f t="shared" si="483"/>
        <v>0.78993999999999998</v>
      </c>
      <c r="N191" s="17">
        <f t="shared" si="120"/>
        <v>1.9603697555881312</v>
      </c>
      <c r="O191" s="25">
        <f t="shared" si="484"/>
        <v>40.101841257926289</v>
      </c>
      <c r="P191" s="25">
        <f t="shared" si="485"/>
        <v>119.45484876351796</v>
      </c>
      <c r="Q191" s="31">
        <f t="shared" si="486"/>
        <v>998.46448629504357</v>
      </c>
      <c r="R191" s="17">
        <f t="shared" si="487"/>
        <v>102370.513689856</v>
      </c>
      <c r="S191" s="17">
        <v>108.8</v>
      </c>
      <c r="T191" s="27">
        <f t="shared" si="488"/>
        <v>290.54111111111109</v>
      </c>
      <c r="U191" s="25">
        <f t="shared" si="489"/>
        <v>2.00223114335797</v>
      </c>
    </row>
    <row r="192" spans="1:21" x14ac:dyDescent="0.35">
      <c r="A192" s="6" t="s">
        <v>104</v>
      </c>
      <c r="B192" s="29" t="s">
        <v>167</v>
      </c>
      <c r="C192" s="4" t="s">
        <v>2217</v>
      </c>
      <c r="D192" s="12">
        <v>3</v>
      </c>
      <c r="E192" s="49">
        <v>0.61111000000000004</v>
      </c>
      <c r="F192">
        <v>63.689</v>
      </c>
      <c r="G192" s="12">
        <f t="shared" si="115"/>
        <v>17.605</v>
      </c>
      <c r="H192">
        <v>2.4990000000000001</v>
      </c>
      <c r="I192" s="75">
        <v>767.84199999999998</v>
      </c>
      <c r="J192" s="17">
        <f t="shared" si="480"/>
        <v>29.9</v>
      </c>
      <c r="K192" s="34">
        <f t="shared" si="481"/>
        <v>56.447910999999998</v>
      </c>
      <c r="L192" s="17">
        <f t="shared" si="482"/>
        <v>0.5</v>
      </c>
      <c r="M192" s="17">
        <f t="shared" si="483"/>
        <v>0.78993999999999998</v>
      </c>
      <c r="N192" s="17">
        <f t="shared" si="120"/>
        <v>1.9603697555881312</v>
      </c>
      <c r="O192" s="25">
        <f t="shared" si="484"/>
        <v>110.65877749053058</v>
      </c>
      <c r="P192" s="25">
        <f t="shared" si="485"/>
        <v>110.71739254622265</v>
      </c>
      <c r="Q192" s="31">
        <f t="shared" si="486"/>
        <v>998.42384750806377</v>
      </c>
      <c r="R192" s="17">
        <f t="shared" si="487"/>
        <v>102370.513689856</v>
      </c>
      <c r="S192" s="17">
        <v>109.8</v>
      </c>
      <c r="T192" s="27">
        <f t="shared" si="488"/>
        <v>290.755</v>
      </c>
      <c r="U192" s="25">
        <f t="shared" si="489"/>
        <v>2.008603463874425</v>
      </c>
    </row>
    <row r="193" spans="1:21" x14ac:dyDescent="0.35">
      <c r="A193" s="6" t="s">
        <v>104</v>
      </c>
      <c r="B193" s="29" t="s">
        <v>64</v>
      </c>
      <c r="C193" s="4" t="s">
        <v>2229</v>
      </c>
      <c r="D193" s="12">
        <v>2</v>
      </c>
      <c r="E193" s="49">
        <v>5.4949999999999999E-2</v>
      </c>
      <c r="F193">
        <v>64.247</v>
      </c>
      <c r="G193" s="12">
        <f t="shared" si="115"/>
        <v>17.914999999999999</v>
      </c>
      <c r="H193">
        <v>2.4990000000000001</v>
      </c>
      <c r="I193" s="75">
        <v>766.82600000000002</v>
      </c>
      <c r="J193" s="17">
        <f t="shared" si="480"/>
        <v>30.8</v>
      </c>
      <c r="K193" s="34">
        <f t="shared" si="481"/>
        <v>75.276740000000004</v>
      </c>
      <c r="L193" s="17">
        <f t="shared" si="482"/>
        <v>0.5</v>
      </c>
      <c r="M193" s="17">
        <f t="shared" si="483"/>
        <v>0.78993999999999998</v>
      </c>
      <c r="N193" s="17">
        <f t="shared" si="120"/>
        <v>1.9603697555881312</v>
      </c>
      <c r="O193" s="25">
        <f t="shared" si="484"/>
        <v>147.57024439527132</v>
      </c>
      <c r="P193" s="25">
        <f t="shared" si="485"/>
        <v>147.63062378374343</v>
      </c>
      <c r="Q193" s="31">
        <f t="shared" si="486"/>
        <v>998.36407028728888</v>
      </c>
      <c r="R193" s="17">
        <f t="shared" si="487"/>
        <v>102235.05816396802</v>
      </c>
      <c r="S193" s="17">
        <v>110.8</v>
      </c>
      <c r="T193" s="27">
        <f t="shared" si="488"/>
        <v>291.065</v>
      </c>
      <c r="U193" s="25">
        <f t="shared" si="489"/>
        <v>2.0108278928253887</v>
      </c>
    </row>
    <row r="194" spans="1:21" x14ac:dyDescent="0.35">
      <c r="A194" s="6" t="s">
        <v>104</v>
      </c>
      <c r="B194" s="29" t="s">
        <v>69</v>
      </c>
      <c r="C194" s="4" t="s">
        <v>2222</v>
      </c>
      <c r="D194" s="12">
        <v>19</v>
      </c>
      <c r="E194" s="49">
        <v>0.24298</v>
      </c>
      <c r="F194">
        <v>64.117000000000004</v>
      </c>
      <c r="G194" s="12">
        <f t="shared" si="115"/>
        <v>17.84277777777778</v>
      </c>
      <c r="H194">
        <v>2.4990000000000001</v>
      </c>
      <c r="I194" s="75">
        <v>766.82600000000002</v>
      </c>
      <c r="J194" s="17">
        <f t="shared" si="480"/>
        <v>28.7</v>
      </c>
      <c r="K194" s="34">
        <f t="shared" si="481"/>
        <v>64.747773999999993</v>
      </c>
      <c r="L194" s="17">
        <f t="shared" si="482"/>
        <v>0.5</v>
      </c>
      <c r="M194" s="17">
        <f t="shared" si="483"/>
        <v>0.78993999999999998</v>
      </c>
      <c r="N194" s="17">
        <f t="shared" si="120"/>
        <v>1.9603697555881312</v>
      </c>
      <c r="O194" s="25">
        <f t="shared" si="484"/>
        <v>126.92957789125555</v>
      </c>
      <c r="P194" s="25">
        <f t="shared" si="485"/>
        <v>126.98584050324092</v>
      </c>
      <c r="Q194" s="31">
        <f t="shared" si="486"/>
        <v>998.37808934513623</v>
      </c>
      <c r="R194" s="17">
        <f t="shared" si="487"/>
        <v>102235.05816396802</v>
      </c>
      <c r="S194" s="17">
        <v>111.8</v>
      </c>
      <c r="T194" s="27">
        <f t="shared" si="488"/>
        <v>290.99277777777775</v>
      </c>
      <c r="U194" s="25">
        <f t="shared" si="489"/>
        <v>2.0093962948702084</v>
      </c>
    </row>
    <row r="195" spans="1:21" x14ac:dyDescent="0.35">
      <c r="A195" s="6" t="s">
        <v>104</v>
      </c>
      <c r="B195" s="29" t="s">
        <v>60</v>
      </c>
      <c r="C195" s="4" t="s">
        <v>2225</v>
      </c>
      <c r="D195" s="12">
        <v>6</v>
      </c>
      <c r="E195" s="49">
        <v>3.5409999999999997E-2</v>
      </c>
      <c r="F195">
        <v>65.016999999999996</v>
      </c>
      <c r="G195" s="12">
        <f t="shared" si="115"/>
        <v>18.342777777777776</v>
      </c>
      <c r="H195">
        <v>2.4990000000000001</v>
      </c>
      <c r="I195" s="75">
        <v>766.82600000000002</v>
      </c>
      <c r="J195" s="17">
        <f t="shared" si="480"/>
        <v>30.2</v>
      </c>
      <c r="K195" s="34">
        <f t="shared" si="481"/>
        <v>74.400418000000002</v>
      </c>
      <c r="L195" s="17">
        <f t="shared" si="482"/>
        <v>0.5</v>
      </c>
      <c r="M195" s="17">
        <f t="shared" si="483"/>
        <v>0.78993999999999998</v>
      </c>
      <c r="N195" s="17">
        <f t="shared" si="120"/>
        <v>1.9603697555881312</v>
      </c>
      <c r="O195" s="25">
        <f t="shared" si="484"/>
        <v>145.8523292503148</v>
      </c>
      <c r="P195" s="25">
        <f t="shared" si="485"/>
        <v>145.91153241693354</v>
      </c>
      <c r="Q195" s="31">
        <f t="shared" si="486"/>
        <v>998.27988887070319</v>
      </c>
      <c r="R195" s="17">
        <f t="shared" si="487"/>
        <v>102235.05816396802</v>
      </c>
      <c r="S195" s="17">
        <v>112.8</v>
      </c>
      <c r="T195" s="27">
        <f t="shared" si="488"/>
        <v>291.49277777777775</v>
      </c>
      <c r="U195" s="25">
        <f t="shared" si="489"/>
        <v>2.0083580754790273</v>
      </c>
    </row>
    <row r="196" spans="1:21" x14ac:dyDescent="0.35">
      <c r="A196" s="6" t="s">
        <v>104</v>
      </c>
      <c r="B196" s="29" t="s">
        <v>9</v>
      </c>
      <c r="C196" s="4" t="s">
        <v>2233</v>
      </c>
      <c r="D196" s="12">
        <v>18</v>
      </c>
      <c r="E196" s="49">
        <v>0.35165000000000002</v>
      </c>
      <c r="F196">
        <v>57.375999999999998</v>
      </c>
      <c r="G196" s="12">
        <f t="shared" si="115"/>
        <v>14.097777777777775</v>
      </c>
      <c r="H196">
        <v>2.4990000000000001</v>
      </c>
      <c r="I196" s="75">
        <v>756.66599999999994</v>
      </c>
      <c r="J196" s="17">
        <f t="shared" ref="J196" si="490">IF(D196=1, 32.2,IF(D196=2, 30.8, IF(D196=3, 29.9, IF(D196=4, 29.6, IF(D196=5, 29.9, IF(D196=6, 30.2, IF(D196=7, 30.4, IF(D196=8, 28, IF(D196=9, 32.2, IF(D196=10, 30.1, IF(D196=11, 30.1, IF(D196=12, 29.2, IF(D196=13, 30.8,IF(D196=14,29.3, IF(D196=15,30.2,IF(D196=16, 30.8,IF(D196=17,30.1,IF(D196=18,29.5,IF(D196=19,28.7,IF(D196=20,30.2,IF(D196=21,31.7, "NOT LISTED")))))))))))))))))))))</f>
        <v>29.5</v>
      </c>
      <c r="K196" s="34">
        <f t="shared" ref="K196" si="491">J196*(H196-E196)</f>
        <v>63.34682500000001</v>
      </c>
      <c r="L196" s="17">
        <f t="shared" ref="L196" si="492">IF(OR(B196="P4",B196="P5",B196="EUS3",B196="EUS",B196="EUS2"),1,0.5)</f>
        <v>1</v>
      </c>
      <c r="M196" s="17">
        <f t="shared" ref="M196" si="493">IF(L196 = 0.5, 0.78994,IF(L196=1, 1.33, "NOT LISTED"))</f>
        <v>1.33</v>
      </c>
      <c r="N196" s="17">
        <f t="shared" si="120"/>
        <v>5.5571620888000011</v>
      </c>
      <c r="O196" s="25">
        <f t="shared" ref="O196" si="494">K196*N196</f>
        <v>352.02857433584819</v>
      </c>
      <c r="P196" s="25">
        <f t="shared" ref="P196" si="495">(J196*(2.5-E196))*N196</f>
        <v>352.19251061746769</v>
      </c>
      <c r="Q196" s="31">
        <f t="shared" ref="Q196" si="496">(999.83952+16.945176*G196-0.00798704*G196^2-0.000046170461*G196^3+0.00000010556302*G196^4-0.00000000028054253*G196^5)/(1+0.01689785*G196)</f>
        <v>999.02598836639788</v>
      </c>
      <c r="R196" s="17">
        <f t="shared" ref="R196" si="497">IF(I196="NA", 101325, I196*133.322368)</f>
        <v>100880.502905088</v>
      </c>
      <c r="S196" s="17">
        <v>113.8</v>
      </c>
      <c r="T196" s="27">
        <f t="shared" ref="T196" si="498">G196+273.15</f>
        <v>287.24777777777774</v>
      </c>
      <c r="U196" s="25">
        <f t="shared" ref="U196" si="499">(1+((Q196*S196/R196/100)*(1+0.01*K196)))*N196*(293/T196)</f>
        <v>5.772794486103491</v>
      </c>
    </row>
    <row r="197" spans="1:21" x14ac:dyDescent="0.35">
      <c r="A197" s="6" t="s">
        <v>104</v>
      </c>
      <c r="B197" s="29" t="s">
        <v>14</v>
      </c>
      <c r="C197" s="4" t="s">
        <v>2234</v>
      </c>
      <c r="D197" s="12">
        <v>5</v>
      </c>
      <c r="E197" s="49">
        <v>0.10073</v>
      </c>
      <c r="F197">
        <v>58.970999999999997</v>
      </c>
      <c r="G197" s="12">
        <f t="shared" si="115"/>
        <v>14.983888888888886</v>
      </c>
      <c r="H197">
        <v>2.4990000000000001</v>
      </c>
      <c r="I197" s="75">
        <v>756.66599999999994</v>
      </c>
      <c r="J197" s="17">
        <f t="shared" ref="J197" si="500">IF(D197=1, 32.2,IF(D197=2, 30.8, IF(D197=3, 29.9, IF(D197=4, 29.6, IF(D197=5, 29.9, IF(D197=6, 30.2, IF(D197=7, 30.4, IF(D197=8, 28, IF(D197=9, 32.2, IF(D197=10, 30.1, IF(D197=11, 30.1, IF(D197=12, 29.2, IF(D197=13, 30.8,IF(D197=14,29.3, IF(D197=15,30.2,IF(D197=16, 30.8,IF(D197=17,30.1,IF(D197=18,29.5,IF(D197=19,28.7,IF(D197=20,30.2,IF(D197=21,31.7, "NOT LISTED")))))))))))))))))))))</f>
        <v>29.9</v>
      </c>
      <c r="K197" s="34">
        <f t="shared" ref="K197" si="501">J197*(H197-E197)</f>
        <v>71.708273000000005</v>
      </c>
      <c r="L197" s="17">
        <f t="shared" ref="L197" si="502">IF(OR(B197="P4",B197="P5",B197="EUS3",B197="EUS",B197="EUS2"),1,0.5)</f>
        <v>1</v>
      </c>
      <c r="M197" s="17">
        <f t="shared" ref="M197" si="503">IF(L197 = 0.5, 0.78994,IF(L197=1, 1.33, "NOT LISTED"))</f>
        <v>1.33</v>
      </c>
      <c r="N197" s="17">
        <f t="shared" si="120"/>
        <v>5.5571620888000011</v>
      </c>
      <c r="O197" s="25">
        <f t="shared" ref="O197" si="504">K197*N197</f>
        <v>398.49449616892076</v>
      </c>
      <c r="P197" s="25">
        <f t="shared" ref="P197" si="505">(J197*(2.5-E197))*N197</f>
        <v>398.66065531537583</v>
      </c>
      <c r="Q197" s="31">
        <f t="shared" ref="Q197" si="506">(999.83952+16.945176*G197-0.00798704*G197^2-0.000046170461*G197^3+0.00000010556302*G197^4-0.00000000028054253*G197^5)/(1+0.01689785*G197)</f>
        <v>998.88701118940185</v>
      </c>
      <c r="R197" s="17">
        <f t="shared" ref="R197" si="507">IF(I197="NA", 101325, I197*133.322368)</f>
        <v>100880.502905088</v>
      </c>
      <c r="S197" s="17">
        <v>114.8</v>
      </c>
      <c r="T197" s="27">
        <f t="shared" ref="T197" si="508">G197+273.15</f>
        <v>288.13388888888886</v>
      </c>
      <c r="U197" s="25">
        <f t="shared" ref="U197" si="509">(1+((Q197*S197/R197/100)*(1+0.01*K197)))*N197*(293/T197)</f>
        <v>5.7613117256477384</v>
      </c>
    </row>
    <row r="198" spans="1:21" x14ac:dyDescent="0.35">
      <c r="A198" s="6" t="s">
        <v>104</v>
      </c>
      <c r="B198" s="29" t="s">
        <v>18</v>
      </c>
      <c r="C198" s="4" t="s">
        <v>2235</v>
      </c>
      <c r="D198" s="12">
        <v>16</v>
      </c>
      <c r="E198" s="49">
        <v>0.35409000000000002</v>
      </c>
      <c r="F198">
        <v>57.42</v>
      </c>
      <c r="G198" s="12">
        <f t="shared" si="115"/>
        <v>14.122222222222224</v>
      </c>
      <c r="H198">
        <v>2.4990000000000001</v>
      </c>
      <c r="I198" s="75">
        <v>756.66599999999994</v>
      </c>
      <c r="J198" s="17">
        <f t="shared" ref="J198" si="510">IF(D198=1, 32.2,IF(D198=2, 30.8, IF(D198=3, 29.9, IF(D198=4, 29.6, IF(D198=5, 29.9, IF(D198=6, 30.2, IF(D198=7, 30.4, IF(D198=8, 28, IF(D198=9, 32.2, IF(D198=10, 30.1, IF(D198=11, 30.1, IF(D198=12, 29.2, IF(D198=13, 30.8,IF(D198=14,29.3, IF(D198=15,30.2,IF(D198=16, 30.8,IF(D198=17,30.1,IF(D198=18,29.5,IF(D198=19,28.7,IF(D198=20,30.2,IF(D198=21,31.7, "NOT LISTED")))))))))))))))))))))</f>
        <v>30.8</v>
      </c>
      <c r="K198" s="34">
        <f t="shared" ref="K198" si="511">J198*(H198-E198)</f>
        <v>66.063228000000009</v>
      </c>
      <c r="L198" s="17">
        <f t="shared" ref="L198" si="512">IF(OR(B198="P4",B198="P5",B198="EUS3",B198="EUS",B198="EUS2"),1,0.5)</f>
        <v>1</v>
      </c>
      <c r="M198" s="17">
        <f t="shared" ref="M198" si="513">IF(L198 = 0.5, 0.78994,IF(L198=1, 1.33, "NOT LISTED"))</f>
        <v>1.33</v>
      </c>
      <c r="N198" s="17">
        <f t="shared" si="120"/>
        <v>5.5571620888000011</v>
      </c>
      <c r="O198" s="25">
        <f t="shared" ref="O198" si="514">K198*N198</f>
        <v>367.12406610535078</v>
      </c>
      <c r="P198" s="25">
        <f t="shared" ref="P198" si="515">(J198*(2.5-E198))*N198</f>
        <v>367.29522669768573</v>
      </c>
      <c r="Q198" s="31">
        <f t="shared" ref="Q198" si="516">(999.83952+16.945176*G198-0.00798704*G198^2-0.000046170461*G198^3+0.00000010556302*G198^4-0.00000000028054253*G198^5)/(1+0.01689785*G198)</f>
        <v>999.02227709413592</v>
      </c>
      <c r="R198" s="17">
        <f t="shared" ref="R198" si="517">IF(I198="NA", 101325, I198*133.322368)</f>
        <v>100880.502905088</v>
      </c>
      <c r="S198" s="17">
        <v>115.8</v>
      </c>
      <c r="T198" s="27">
        <f t="shared" ref="T198" si="518">G198+273.15</f>
        <v>287.27222222222218</v>
      </c>
      <c r="U198" s="25">
        <f t="shared" ref="U198" si="519">(1+((Q198*S198/R198/100)*(1+0.01*K198)))*N198*(293/T198)</f>
        <v>5.7759022356175116</v>
      </c>
    </row>
    <row r="199" spans="1:21" x14ac:dyDescent="0.35">
      <c r="A199" s="6" t="s">
        <v>104</v>
      </c>
      <c r="B199" s="29" t="s">
        <v>167</v>
      </c>
      <c r="C199" s="4" t="s">
        <v>2236</v>
      </c>
      <c r="D199" s="12">
        <v>3</v>
      </c>
      <c r="E199" s="49">
        <v>0.60623000000000005</v>
      </c>
      <c r="F199">
        <v>60.26</v>
      </c>
      <c r="G199" s="12">
        <f t="shared" si="115"/>
        <v>15.7</v>
      </c>
      <c r="H199">
        <v>2.4908399999999999</v>
      </c>
      <c r="I199" s="75">
        <v>756.66599999999994</v>
      </c>
      <c r="J199" s="17">
        <f t="shared" ref="J199" si="520">IF(D199=1, 32.2,IF(D199=2, 30.8, IF(D199=3, 29.9, IF(D199=4, 29.6, IF(D199=5, 29.9, IF(D199=6, 30.2, IF(D199=7, 30.4, IF(D199=8, 28, IF(D199=9, 32.2, IF(D199=10, 30.1, IF(D199=11, 30.1, IF(D199=12, 29.2, IF(D199=13, 30.8,IF(D199=14,29.3, IF(D199=15,30.2,IF(D199=16, 30.8,IF(D199=17,30.1,IF(D199=18,29.5,IF(D199=19,28.7,IF(D199=20,30.2,IF(D199=21,31.7, "NOT LISTED")))))))))))))))))))))</f>
        <v>29.9</v>
      </c>
      <c r="K199" s="34">
        <f t="shared" ref="K199" si="521">J199*(H199-E199)</f>
        <v>56.349838999999996</v>
      </c>
      <c r="L199" s="17">
        <f t="shared" ref="L199" si="522">IF(OR(B199="P4",B199="P5",B199="EUS3",B199="EUS",B199="EUS2"),1,0.5)</f>
        <v>0.5</v>
      </c>
      <c r="M199" s="17">
        <f t="shared" ref="M199" si="523">IF(L199 = 0.5, 0.78994,IF(L199=1, 1.33, "NOT LISTED"))</f>
        <v>0.78993999999999998</v>
      </c>
      <c r="N199" s="17">
        <f t="shared" si="120"/>
        <v>1.9603697555881312</v>
      </c>
      <c r="O199" s="25">
        <f t="shared" ref="O199" si="524">K199*N199</f>
        <v>110.46652010786053</v>
      </c>
      <c r="P199" s="25">
        <f t="shared" ref="P199" si="525">(J199*(2.5-E199))*N199</f>
        <v>111.00343401800004</v>
      </c>
      <c r="Q199" s="31">
        <f t="shared" ref="Q199" si="526">(999.83952+16.945176*G199-0.00798704*G199^2-0.000046170461*G199^3+0.00000010556302*G199^4-0.00000000028054253*G199^5)/(1+0.01689785*G199)</f>
        <v>998.76810199975966</v>
      </c>
      <c r="R199" s="17">
        <f t="shared" ref="R199" si="527">IF(I199="NA", 101325, I199*133.322368)</f>
        <v>100880.502905088</v>
      </c>
      <c r="S199" s="17">
        <v>116.8</v>
      </c>
      <c r="T199" s="27">
        <f t="shared" ref="T199" si="528">G199+273.15</f>
        <v>288.84999999999997</v>
      </c>
      <c r="U199" s="25">
        <f t="shared" ref="U199" si="529">(1+((Q199*S199/R199/100)*(1+0.01*K199)))*N199*(293/T199)</f>
        <v>2.024487666023584</v>
      </c>
    </row>
    <row r="200" spans="1:21" x14ac:dyDescent="0.35">
      <c r="A200" s="6" t="s">
        <v>104</v>
      </c>
      <c r="B200" s="29" t="s">
        <v>25</v>
      </c>
      <c r="C200" s="4" t="s">
        <v>2237</v>
      </c>
      <c r="D200" s="12">
        <v>4</v>
      </c>
      <c r="E200" s="49">
        <v>0.43773000000000001</v>
      </c>
      <c r="F200">
        <v>59.701999999999998</v>
      </c>
      <c r="G200" s="12">
        <f t="shared" si="115"/>
        <v>15.389999999999999</v>
      </c>
      <c r="H200">
        <v>0.65507000000000004</v>
      </c>
      <c r="I200" s="75">
        <v>756.66599999999994</v>
      </c>
      <c r="J200" s="17">
        <f t="shared" ref="J200" si="530">IF(D200=1, 32.2,IF(D200=2, 30.8, IF(D200=3, 29.9, IF(D200=4, 29.6, IF(D200=5, 29.9, IF(D200=6, 30.2, IF(D200=7, 30.4, IF(D200=8, 28, IF(D200=9, 32.2, IF(D200=10, 30.1, IF(D200=11, 30.1, IF(D200=12, 29.2, IF(D200=13, 30.8,IF(D200=14,29.3, IF(D200=15,30.2,IF(D200=16, 30.8,IF(D200=17,30.1,IF(D200=18,29.5,IF(D200=19,28.7,IF(D200=20,30.2,IF(D200=21,31.7, "NOT LISTED")))))))))))))))))))))</f>
        <v>29.6</v>
      </c>
      <c r="K200" s="34">
        <f t="shared" ref="K200" si="531">J200*(H200-E200)</f>
        <v>6.4332640000000012</v>
      </c>
      <c r="L200" s="17">
        <f t="shared" ref="L200" si="532">IF(OR(B200="P4",B200="P5",B200="EUS3",B200="EUS",B200="EUS2"),1,0.5)</f>
        <v>0.5</v>
      </c>
      <c r="M200" s="17">
        <f t="shared" ref="M200" si="533">IF(L200 = 0.5, 0.78994,IF(L200=1, 1.33, "NOT LISTED"))</f>
        <v>0.78993999999999998</v>
      </c>
      <c r="N200" s="17">
        <f t="shared" si="120"/>
        <v>1.9603697555881312</v>
      </c>
      <c r="O200" s="25">
        <f t="shared" ref="O200" si="534">K200*N200</f>
        <v>12.611576175313926</v>
      </c>
      <c r="P200" s="25">
        <f t="shared" ref="P200" si="535">(J200*(2.5-E200))*N200</f>
        <v>119.66722738135937</v>
      </c>
      <c r="Q200" s="31">
        <f t="shared" ref="Q200" si="536">(999.83952+16.945176*G200-0.00798704*G200^2-0.000046170461*G200^3+0.00000010556302*G200^4-0.00000000028054253*G200^5)/(1+0.01689785*G200)</f>
        <v>998.82029332605691</v>
      </c>
      <c r="R200" s="17">
        <f t="shared" ref="R200" si="537">IF(I200="NA", 101325, I200*133.322368)</f>
        <v>100880.502905088</v>
      </c>
      <c r="S200" s="17">
        <v>117.8</v>
      </c>
      <c r="T200" s="27">
        <f t="shared" ref="T200" si="538">G200+273.15</f>
        <v>288.53999999999996</v>
      </c>
      <c r="U200" s="25">
        <f t="shared" ref="U200" si="539">(1+((Q200*S200/R200/100)*(1+0.01*K200)))*N200*(293/T200)</f>
        <v>2.0153831297655933</v>
      </c>
    </row>
    <row r="201" spans="1:21" x14ac:dyDescent="0.35">
      <c r="A201" s="6" t="s">
        <v>104</v>
      </c>
      <c r="B201" s="29" t="s">
        <v>26</v>
      </c>
      <c r="C201" s="4" t="s">
        <v>2238</v>
      </c>
      <c r="D201" s="12">
        <v>14</v>
      </c>
      <c r="E201" s="49">
        <v>1.2649600000000001</v>
      </c>
      <c r="F201">
        <v>60.003</v>
      </c>
      <c r="G201" s="12">
        <f t="shared" si="115"/>
        <v>15.557222222222222</v>
      </c>
      <c r="H201">
        <v>2.4990000000000001</v>
      </c>
      <c r="I201" s="75">
        <v>756.66599999999994</v>
      </c>
      <c r="J201" s="17">
        <f t="shared" ref="J201:J204" si="540">IF(D201=1, 32.2,IF(D201=2, 30.8, IF(D201=3, 29.9, IF(D201=4, 29.6, IF(D201=5, 29.9, IF(D201=6, 30.2, IF(D201=7, 30.4, IF(D201=8, 28, IF(D201=9, 32.2, IF(D201=10, 30.1, IF(D201=11, 30.1, IF(D201=12, 29.2, IF(D201=13, 30.8,IF(D201=14,29.3, IF(D201=15,30.2,IF(D201=16, 30.8,IF(D201=17,30.1,IF(D201=18,29.5,IF(D201=19,28.7,IF(D201=20,30.2,IF(D201=21,31.7, "NOT LISTED")))))))))))))))))))))</f>
        <v>29.3</v>
      </c>
      <c r="K201" s="34">
        <f t="shared" ref="K201:K204" si="541">J201*(H201-E201)</f>
        <v>36.157372000000002</v>
      </c>
      <c r="L201" s="17">
        <f t="shared" ref="L201:L204" si="542">IF(OR(B201="P4",B201="P5",B201="EUS3",B201="EUS",B201="EUS2"),1,0.5)</f>
        <v>0.5</v>
      </c>
      <c r="M201" s="17">
        <f t="shared" ref="M201:M204" si="543">IF(L201 = 0.5, 0.78994,IF(L201=1, 1.33, "NOT LISTED"))</f>
        <v>0.78993999999999998</v>
      </c>
      <c r="N201" s="17">
        <f t="shared" si="120"/>
        <v>1.9603697555881312</v>
      </c>
      <c r="O201" s="25">
        <f t="shared" ref="O201:O204" si="544">K201*N201</f>
        <v>70.881818510349149</v>
      </c>
      <c r="P201" s="25">
        <f t="shared" ref="P201:P204" si="545">(J201*(2.5-E201))*N201</f>
        <v>70.93925734418788</v>
      </c>
      <c r="Q201" s="31">
        <f t="shared" ref="Q201:Q204" si="546">(999.83952+16.945176*G201-0.00798704*G201^2-0.000046170461*G201^3+0.00000010556302*G201^4-0.00000000028054253*G201^5)/(1+0.01689785*G201)</f>
        <v>998.79227517742629</v>
      </c>
      <c r="R201" s="17">
        <f t="shared" ref="R201:R204" si="547">IF(I201="NA", 101325, I201*133.322368)</f>
        <v>100880.502905088</v>
      </c>
      <c r="S201" s="17">
        <v>118.8</v>
      </c>
      <c r="T201" s="27">
        <f t="shared" ref="T201:T204" si="548">G201+273.15</f>
        <v>288.70722222222219</v>
      </c>
      <c r="U201" s="25">
        <f t="shared" ref="U201:U204" si="549">(1+((Q201*S201/R201/100)*(1+0.01*K201)))*N201*(293/T201)</f>
        <v>2.0213804606600938</v>
      </c>
    </row>
    <row r="202" spans="1:21" x14ac:dyDescent="0.35">
      <c r="A202" s="6" t="s">
        <v>104</v>
      </c>
      <c r="B202" s="29" t="s">
        <v>69</v>
      </c>
      <c r="C202" s="4" t="s">
        <v>2239</v>
      </c>
      <c r="D202" s="12">
        <v>19</v>
      </c>
      <c r="E202" s="49">
        <v>0.22955</v>
      </c>
      <c r="F202">
        <v>60.774999999999999</v>
      </c>
      <c r="G202" s="12">
        <f t="shared" si="115"/>
        <v>15.986111111111111</v>
      </c>
      <c r="H202">
        <v>2.4990000000000001</v>
      </c>
      <c r="I202" s="75">
        <v>756.66599999999994</v>
      </c>
      <c r="J202" s="17">
        <f t="shared" si="540"/>
        <v>28.7</v>
      </c>
      <c r="K202" s="34">
        <f t="shared" si="541"/>
        <v>65.133214999999993</v>
      </c>
      <c r="L202" s="17">
        <f t="shared" si="542"/>
        <v>0.5</v>
      </c>
      <c r="M202" s="17">
        <f t="shared" si="543"/>
        <v>0.78993999999999998</v>
      </c>
      <c r="N202" s="17">
        <f t="shared" ref="N202:N238" si="550">$M202^2*3.141592</f>
        <v>1.9603697555881312</v>
      </c>
      <c r="O202" s="25">
        <f t="shared" si="544"/>
        <v>127.68518477021918</v>
      </c>
      <c r="P202" s="25">
        <f t="shared" si="545"/>
        <v>127.74144738220457</v>
      </c>
      <c r="Q202" s="31">
        <f t="shared" si="546"/>
        <v>998.71896972244735</v>
      </c>
      <c r="R202" s="17">
        <f t="shared" si="547"/>
        <v>100880.502905088</v>
      </c>
      <c r="S202" s="17">
        <v>119.8</v>
      </c>
      <c r="T202" s="27">
        <f t="shared" si="548"/>
        <v>289.13611111111106</v>
      </c>
      <c r="U202" s="25">
        <f t="shared" si="549"/>
        <v>2.0254745372033409</v>
      </c>
    </row>
    <row r="203" spans="1:21" x14ac:dyDescent="0.35">
      <c r="A203" s="6" t="s">
        <v>104</v>
      </c>
      <c r="B203" s="29" t="s">
        <v>64</v>
      </c>
      <c r="C203" s="4" t="s">
        <v>2240</v>
      </c>
      <c r="D203" s="12">
        <v>2</v>
      </c>
      <c r="E203" s="49">
        <v>8.7910000000000002E-2</v>
      </c>
      <c r="F203">
        <v>60.561</v>
      </c>
      <c r="G203" s="12">
        <f t="shared" si="115"/>
        <v>15.867222222222221</v>
      </c>
      <c r="H203">
        <v>2.4990000000000001</v>
      </c>
      <c r="I203" s="75">
        <v>756.66599999999994</v>
      </c>
      <c r="J203" s="17">
        <f t="shared" si="540"/>
        <v>30.8</v>
      </c>
      <c r="K203" s="34">
        <f t="shared" si="541"/>
        <v>74.261572000000001</v>
      </c>
      <c r="L203" s="17">
        <f t="shared" si="542"/>
        <v>0.5</v>
      </c>
      <c r="M203" s="17">
        <f t="shared" si="543"/>
        <v>0.78993999999999998</v>
      </c>
      <c r="N203" s="17">
        <f t="shared" si="550"/>
        <v>1.9603697555881312</v>
      </c>
      <c r="O203" s="25">
        <f t="shared" si="544"/>
        <v>145.5801397512304</v>
      </c>
      <c r="P203" s="25">
        <f t="shared" si="545"/>
        <v>145.64051913970252</v>
      </c>
      <c r="Q203" s="31">
        <f t="shared" si="546"/>
        <v>998.73949767789429</v>
      </c>
      <c r="R203" s="17">
        <f t="shared" si="547"/>
        <v>100880.502905088</v>
      </c>
      <c r="S203" s="17">
        <v>120.8</v>
      </c>
      <c r="T203" s="27">
        <f t="shared" si="548"/>
        <v>289.01722222222219</v>
      </c>
      <c r="U203" s="25">
        <f t="shared" si="549"/>
        <v>2.0288030702251092</v>
      </c>
    </row>
    <row r="204" spans="1:21" x14ac:dyDescent="0.35">
      <c r="A204" s="6" t="s">
        <v>104</v>
      </c>
      <c r="B204" s="29" t="s">
        <v>60</v>
      </c>
      <c r="C204" s="4" t="s">
        <v>2241</v>
      </c>
      <c r="D204" s="12">
        <v>6</v>
      </c>
      <c r="E204" s="49">
        <v>3.9070000000000001E-2</v>
      </c>
      <c r="F204">
        <v>60.817999999999998</v>
      </c>
      <c r="G204" s="12">
        <f t="shared" si="115"/>
        <v>16.009999999999998</v>
      </c>
      <c r="H204">
        <v>2.4990000000000001</v>
      </c>
      <c r="I204" s="75">
        <v>756.66599999999994</v>
      </c>
      <c r="J204" s="17">
        <f t="shared" si="540"/>
        <v>30.2</v>
      </c>
      <c r="K204" s="34">
        <f t="shared" si="541"/>
        <v>74.289885999999996</v>
      </c>
      <c r="L204" s="17">
        <f t="shared" si="542"/>
        <v>0.5</v>
      </c>
      <c r="M204" s="17">
        <f t="shared" si="543"/>
        <v>0.78993999999999998</v>
      </c>
      <c r="N204" s="17">
        <f t="shared" si="550"/>
        <v>1.9603697555881312</v>
      </c>
      <c r="O204" s="25">
        <f t="shared" si="544"/>
        <v>145.63564566049013</v>
      </c>
      <c r="P204" s="25">
        <f t="shared" si="545"/>
        <v>145.69484882710887</v>
      </c>
      <c r="Q204" s="31">
        <f t="shared" si="546"/>
        <v>998.71482580714712</v>
      </c>
      <c r="R204" s="17">
        <f t="shared" si="547"/>
        <v>100880.502905088</v>
      </c>
      <c r="S204" s="17">
        <v>121.8</v>
      </c>
      <c r="T204" s="27">
        <f t="shared" si="548"/>
        <v>289.15999999999997</v>
      </c>
      <c r="U204" s="25">
        <f t="shared" si="549"/>
        <v>2.0281497641170771</v>
      </c>
    </row>
    <row r="205" spans="1:21" x14ac:dyDescent="0.35">
      <c r="A205" s="6" t="s">
        <v>104</v>
      </c>
      <c r="B205" s="29" t="s">
        <v>9</v>
      </c>
      <c r="C205" s="4" t="s">
        <v>2242</v>
      </c>
      <c r="D205" s="12">
        <v>18</v>
      </c>
      <c r="E205" s="49">
        <v>0.34188000000000002</v>
      </c>
      <c r="F205">
        <v>53.341000000000001</v>
      </c>
      <c r="G205" s="12">
        <f t="shared" si="115"/>
        <v>11.856111111111112</v>
      </c>
      <c r="H205">
        <v>2.4990000000000001</v>
      </c>
      <c r="I205" s="75">
        <v>763.01600000000008</v>
      </c>
      <c r="J205" s="17">
        <f t="shared" ref="J205" si="551">IF(D205=1, 32.2,IF(D205=2, 30.8, IF(D205=3, 29.9, IF(D205=4, 29.6, IF(D205=5, 29.9, IF(D205=6, 30.2, IF(D205=7, 30.4, IF(D205=8, 28, IF(D205=9, 32.2, IF(D205=10, 30.1, IF(D205=11, 30.1, IF(D205=12, 29.2, IF(D205=13, 30.8,IF(D205=14,29.3, IF(D205=15,30.2,IF(D205=16, 30.8,IF(D205=17,30.1,IF(D205=18,29.5,IF(D205=19,28.7,IF(D205=20,30.2,IF(D205=21,31.7, "NOT LISTED")))))))))))))))))))))</f>
        <v>29.5</v>
      </c>
      <c r="K205" s="34">
        <f t="shared" ref="K205" si="552">J205*(H205-E205)</f>
        <v>63.635039999999996</v>
      </c>
      <c r="L205" s="17">
        <f t="shared" ref="L205" si="553">IF(OR(B205="P4",B205="P5",B205="EUS3",B205="EUS",B205="EUS2"),1,0.5)</f>
        <v>1</v>
      </c>
      <c r="M205" s="17">
        <f t="shared" ref="M205" si="554">IF(L205 = 0.5, 0.78994,IF(L205=1, 1.33, "NOT LISTED"))</f>
        <v>1.33</v>
      </c>
      <c r="N205" s="17">
        <f t="shared" si="550"/>
        <v>5.5571620888000011</v>
      </c>
      <c r="O205" s="25">
        <f t="shared" ref="O205" si="555">K205*N205</f>
        <v>353.63023180727163</v>
      </c>
      <c r="P205" s="25">
        <f t="shared" ref="P205" si="556">(J205*(2.5-E205))*N205</f>
        <v>353.79416808889118</v>
      </c>
      <c r="Q205" s="31">
        <f t="shared" ref="Q205" si="557">(999.83952+16.945176*G205-0.00798704*G205^2-0.000046170461*G205^3+0.00000010556302*G205^4-0.00000000028054253*G205^5)/(1+0.01689785*G205)</f>
        <v>999.33600496035217</v>
      </c>
      <c r="R205" s="17">
        <f t="shared" ref="R205" si="558">IF(I205="NA", 101325, I205*133.322368)</f>
        <v>101727.09994188802</v>
      </c>
      <c r="S205" s="17">
        <v>122.8</v>
      </c>
      <c r="T205" s="27">
        <f t="shared" ref="T205" si="559">G205+273.15</f>
        <v>285.00611111111107</v>
      </c>
      <c r="U205" s="25">
        <f t="shared" ref="U205" si="560">(1+((Q205*S205/R205/100)*(1+0.01*K205)))*N205*(293/T205)</f>
        <v>5.825805938494919</v>
      </c>
    </row>
    <row r="206" spans="1:21" x14ac:dyDescent="0.35">
      <c r="A206" s="6" t="s">
        <v>104</v>
      </c>
      <c r="B206" s="29" t="s">
        <v>14</v>
      </c>
      <c r="C206" s="4" t="s">
        <v>2243</v>
      </c>
      <c r="D206" s="12">
        <v>5</v>
      </c>
      <c r="E206" s="49">
        <v>0.15018000000000001</v>
      </c>
      <c r="F206">
        <v>55.558</v>
      </c>
      <c r="G206" s="12">
        <f t="shared" ref="G206:G224" si="561">CONVERT(F206,"F","C")</f>
        <v>13.087777777777777</v>
      </c>
      <c r="H206">
        <v>0.931562</v>
      </c>
      <c r="I206" s="75">
        <v>763.01600000000008</v>
      </c>
      <c r="J206" s="17">
        <f t="shared" ref="J206:J213" si="562">IF(D206=1, 32.2,IF(D206=2, 30.8, IF(D206=3, 29.9, IF(D206=4, 29.6, IF(D206=5, 29.9, IF(D206=6, 30.2, IF(D206=7, 30.4, IF(D206=8, 28, IF(D206=9, 32.2, IF(D206=10, 30.1, IF(D206=11, 30.1, IF(D206=12, 29.2, IF(D206=13, 30.8,IF(D206=14,29.3, IF(D206=15,30.2,IF(D206=16, 30.8,IF(D206=17,30.1,IF(D206=18,29.5,IF(D206=19,28.7,IF(D206=20,30.2,IF(D206=21,31.7, "NOT LISTED")))))))))))))))))))))</f>
        <v>29.9</v>
      </c>
      <c r="K206" s="34">
        <f t="shared" ref="K206:K213" si="563">J206*(H206-E206)</f>
        <v>23.363321799999998</v>
      </c>
      <c r="L206" s="17">
        <f t="shared" ref="L206:L213" si="564">IF(OR(B206="P4",B206="P5",B206="EUS3",B206="EUS",B206="EUS2"),1,0.5)</f>
        <v>1</v>
      </c>
      <c r="M206" s="17">
        <f t="shared" ref="M206:M213" si="565">IF(L206 = 0.5, 0.78994,IF(L206=1, 1.33, "NOT LISTED"))</f>
        <v>1.33</v>
      </c>
      <c r="N206" s="17">
        <f t="shared" si="550"/>
        <v>5.5571620888000011</v>
      </c>
      <c r="O206" s="25">
        <f t="shared" ref="O206:O213" si="566">K206*N206</f>
        <v>129.8337661753946</v>
      </c>
      <c r="P206" s="25">
        <f t="shared" ref="P206:P213" si="567">(J206*(2.5-E206))*N206</f>
        <v>390.44408552317009</v>
      </c>
      <c r="Q206" s="31">
        <f t="shared" ref="Q206:Q213" si="568">(999.83952+16.945176*G206-0.00798704*G206^2-0.000046170461*G206^3+0.00000010556302*G206^4-0.00000000028054253*G206^5)/(1+0.01689785*G206)</f>
        <v>999.17315761967916</v>
      </c>
      <c r="R206" s="17">
        <f t="shared" ref="R206:R213" si="569">IF(I206="NA", 101325, I206*133.322368)</f>
        <v>101727.09994188802</v>
      </c>
      <c r="S206" s="17">
        <v>123.8</v>
      </c>
      <c r="T206" s="27">
        <f t="shared" ref="T206:T213" si="570">G206+273.15</f>
        <v>286.23777777777775</v>
      </c>
      <c r="U206" s="25">
        <f t="shared" ref="U206:U213" si="571">(1+((Q206*S206/R206/100)*(1+0.01*K206)))*N206*(293/T206)</f>
        <v>5.7737777692365926</v>
      </c>
    </row>
    <row r="207" spans="1:21" x14ac:dyDescent="0.35">
      <c r="A207" s="6" t="s">
        <v>104</v>
      </c>
      <c r="B207" s="29" t="s">
        <v>18</v>
      </c>
      <c r="C207" s="4" t="s">
        <v>2244</v>
      </c>
      <c r="D207" s="12">
        <v>16</v>
      </c>
      <c r="E207" s="49">
        <v>0.39621000000000001</v>
      </c>
      <c r="F207">
        <v>55.732999999999997</v>
      </c>
      <c r="G207" s="12">
        <f t="shared" si="561"/>
        <v>13.184999999999999</v>
      </c>
      <c r="H207">
        <v>2.4990000000000001</v>
      </c>
      <c r="I207" s="75">
        <v>763.01600000000008</v>
      </c>
      <c r="J207" s="17">
        <f t="shared" si="562"/>
        <v>30.8</v>
      </c>
      <c r="K207" s="34">
        <f t="shared" si="563"/>
        <v>64.765932000000006</v>
      </c>
      <c r="L207" s="17">
        <f t="shared" si="564"/>
        <v>1</v>
      </c>
      <c r="M207" s="17">
        <f t="shared" si="565"/>
        <v>1.33</v>
      </c>
      <c r="N207" s="17">
        <f t="shared" si="550"/>
        <v>5.5571620888000011</v>
      </c>
      <c r="O207" s="25">
        <f t="shared" si="566"/>
        <v>359.91478195619885</v>
      </c>
      <c r="P207" s="25">
        <f t="shared" si="567"/>
        <v>360.08594254853392</v>
      </c>
      <c r="Q207" s="31">
        <f t="shared" si="568"/>
        <v>999.15951955706305</v>
      </c>
      <c r="R207" s="17">
        <f t="shared" si="569"/>
        <v>101727.09994188802</v>
      </c>
      <c r="S207" s="17">
        <v>124.8</v>
      </c>
      <c r="T207" s="27">
        <f t="shared" si="570"/>
        <v>286.33499999999998</v>
      </c>
      <c r="U207" s="25">
        <f t="shared" si="571"/>
        <v>5.801364555249366</v>
      </c>
    </row>
    <row r="208" spans="1:21" x14ac:dyDescent="0.35">
      <c r="A208" s="6" t="s">
        <v>104</v>
      </c>
      <c r="B208" s="29" t="s">
        <v>25</v>
      </c>
      <c r="C208" s="4" t="s">
        <v>2245</v>
      </c>
      <c r="D208" s="12">
        <v>4</v>
      </c>
      <c r="E208" s="49">
        <v>0.38278000000000001</v>
      </c>
      <c r="F208">
        <v>57.893000000000001</v>
      </c>
      <c r="G208" s="12">
        <f t="shared" si="561"/>
        <v>14.385</v>
      </c>
      <c r="H208">
        <v>0.61843999999999999</v>
      </c>
      <c r="I208" s="75">
        <v>763.01600000000008</v>
      </c>
      <c r="J208" s="17">
        <f t="shared" si="562"/>
        <v>29.6</v>
      </c>
      <c r="K208" s="34">
        <f t="shared" si="563"/>
        <v>6.975536</v>
      </c>
      <c r="L208" s="17">
        <f t="shared" si="564"/>
        <v>0.5</v>
      </c>
      <c r="M208" s="17">
        <f t="shared" si="565"/>
        <v>0.78993999999999998</v>
      </c>
      <c r="N208" s="17">
        <f t="shared" si="550"/>
        <v>1.9603697555881312</v>
      </c>
      <c r="O208" s="25">
        <f t="shared" si="566"/>
        <v>13.674629803416209</v>
      </c>
      <c r="P208" s="25">
        <f t="shared" si="567"/>
        <v>122.85580799621859</v>
      </c>
      <c r="Q208" s="31">
        <f t="shared" si="568"/>
        <v>998.98193957213664</v>
      </c>
      <c r="R208" s="17">
        <f t="shared" si="569"/>
        <v>101727.09994188802</v>
      </c>
      <c r="S208" s="17">
        <v>125.8</v>
      </c>
      <c r="T208" s="27">
        <f t="shared" si="570"/>
        <v>287.53499999999997</v>
      </c>
      <c r="U208" s="25">
        <f t="shared" si="571"/>
        <v>2.0240291127358181</v>
      </c>
    </row>
    <row r="209" spans="1:21" x14ac:dyDescent="0.35">
      <c r="A209" s="6" t="s">
        <v>104</v>
      </c>
      <c r="B209" s="29" t="s">
        <v>26</v>
      </c>
      <c r="C209" s="4" t="s">
        <v>2246</v>
      </c>
      <c r="D209" s="12">
        <v>14</v>
      </c>
      <c r="E209" s="49">
        <v>0.76495999999999997</v>
      </c>
      <c r="F209">
        <v>57.893000000000001</v>
      </c>
      <c r="G209" s="12">
        <f t="shared" si="561"/>
        <v>14.385</v>
      </c>
      <c r="H209">
        <v>2.4990000000000001</v>
      </c>
      <c r="I209" s="75">
        <v>763.01600000000008</v>
      </c>
      <c r="J209" s="17">
        <f t="shared" si="562"/>
        <v>29.3</v>
      </c>
      <c r="K209" s="34">
        <f t="shared" si="563"/>
        <v>50.807372000000008</v>
      </c>
      <c r="L209" s="17">
        <f t="shared" si="564"/>
        <v>0.5</v>
      </c>
      <c r="M209" s="17">
        <f t="shared" si="565"/>
        <v>0.78993999999999998</v>
      </c>
      <c r="N209" s="17">
        <f t="shared" si="550"/>
        <v>1.9603697555881312</v>
      </c>
      <c r="O209" s="25">
        <f t="shared" si="566"/>
        <v>99.601235429715274</v>
      </c>
      <c r="P209" s="25">
        <f t="shared" si="567"/>
        <v>99.658674263554005</v>
      </c>
      <c r="Q209" s="31">
        <f t="shared" si="568"/>
        <v>998.98193957213664</v>
      </c>
      <c r="R209" s="17">
        <f t="shared" si="569"/>
        <v>101727.09994188802</v>
      </c>
      <c r="S209" s="17">
        <v>126.8</v>
      </c>
      <c r="T209" s="27">
        <f t="shared" si="570"/>
        <v>287.53499999999997</v>
      </c>
      <c r="U209" s="25">
        <f t="shared" si="571"/>
        <v>2.0351419374637678</v>
      </c>
    </row>
    <row r="210" spans="1:21" x14ac:dyDescent="0.35">
      <c r="A210" s="6" t="s">
        <v>104</v>
      </c>
      <c r="B210" s="29" t="s">
        <v>167</v>
      </c>
      <c r="C210" s="4" t="s">
        <v>2247</v>
      </c>
      <c r="D210" s="12">
        <v>3</v>
      </c>
      <c r="E210" s="49">
        <v>0.53358000000000005</v>
      </c>
      <c r="F210">
        <v>58.023000000000003</v>
      </c>
      <c r="G210" s="12">
        <f t="shared" si="561"/>
        <v>14.457222222222224</v>
      </c>
      <c r="H210">
        <v>0.87912000000000001</v>
      </c>
      <c r="I210" s="75">
        <v>763.01600000000008</v>
      </c>
      <c r="J210" s="17">
        <f t="shared" si="562"/>
        <v>29.9</v>
      </c>
      <c r="K210" s="34">
        <f t="shared" si="563"/>
        <v>10.331645999999997</v>
      </c>
      <c r="L210" s="17">
        <f t="shared" si="564"/>
        <v>0.5</v>
      </c>
      <c r="M210" s="17">
        <f t="shared" si="565"/>
        <v>0.78993999999999998</v>
      </c>
      <c r="N210" s="17">
        <f t="shared" si="550"/>
        <v>1.9603697555881312</v>
      </c>
      <c r="O210" s="25">
        <f t="shared" si="566"/>
        <v>20.253846343843087</v>
      </c>
      <c r="P210" s="25">
        <f t="shared" si="567"/>
        <v>115.26181781403001</v>
      </c>
      <c r="Q210" s="31">
        <f t="shared" si="568"/>
        <v>998.9707120781203</v>
      </c>
      <c r="R210" s="17">
        <f t="shared" si="569"/>
        <v>101727.09994188802</v>
      </c>
      <c r="S210" s="17">
        <v>127.8</v>
      </c>
      <c r="T210" s="27">
        <f t="shared" si="570"/>
        <v>287.60722222222222</v>
      </c>
      <c r="U210" s="25">
        <f t="shared" si="571"/>
        <v>2.0247813348167649</v>
      </c>
    </row>
    <row r="211" spans="1:21" x14ac:dyDescent="0.35">
      <c r="A211" s="6" t="s">
        <v>104</v>
      </c>
      <c r="B211" s="29" t="s">
        <v>64</v>
      </c>
      <c r="C211" s="4" t="s">
        <v>2248</v>
      </c>
      <c r="D211" s="12">
        <v>2</v>
      </c>
      <c r="E211" s="49">
        <v>4.1509999999999998E-2</v>
      </c>
      <c r="F211">
        <v>57.893000000000001</v>
      </c>
      <c r="G211" s="12">
        <f t="shared" si="561"/>
        <v>14.385</v>
      </c>
      <c r="H211">
        <v>2.4990000000000001</v>
      </c>
      <c r="I211" s="12">
        <v>751.1</v>
      </c>
      <c r="J211" s="17">
        <f t="shared" si="562"/>
        <v>30.8</v>
      </c>
      <c r="K211" s="34">
        <f t="shared" si="563"/>
        <v>75.690691999999999</v>
      </c>
      <c r="L211" s="17">
        <f t="shared" si="564"/>
        <v>0.5</v>
      </c>
      <c r="M211" s="17">
        <f t="shared" si="565"/>
        <v>0.78993999999999998</v>
      </c>
      <c r="N211" s="17">
        <f t="shared" si="550"/>
        <v>1.9603697555881312</v>
      </c>
      <c r="O211" s="25">
        <f t="shared" si="566"/>
        <v>148.38174337633652</v>
      </c>
      <c r="P211" s="25">
        <f t="shared" si="567"/>
        <v>148.44212276480863</v>
      </c>
      <c r="Q211" s="31">
        <f t="shared" si="568"/>
        <v>998.98193957213664</v>
      </c>
      <c r="R211" s="17">
        <f t="shared" si="569"/>
        <v>100138.43060480001</v>
      </c>
      <c r="S211" s="17">
        <v>128.80000000000001</v>
      </c>
      <c r="T211" s="27">
        <f t="shared" si="570"/>
        <v>287.53499999999997</v>
      </c>
      <c r="U211" s="25">
        <f t="shared" si="571"/>
        <v>2.0427251201751506</v>
      </c>
    </row>
    <row r="212" spans="1:21" x14ac:dyDescent="0.35">
      <c r="A212" s="6" t="s">
        <v>104</v>
      </c>
      <c r="B212" s="29" t="s">
        <v>69</v>
      </c>
      <c r="C212" s="4" t="s">
        <v>2249</v>
      </c>
      <c r="D212" s="12">
        <v>19</v>
      </c>
      <c r="E212" s="49">
        <v>0.31990000000000002</v>
      </c>
      <c r="F212">
        <v>58.066000000000003</v>
      </c>
      <c r="G212" s="12">
        <f t="shared" si="561"/>
        <v>14.481111111111112</v>
      </c>
      <c r="H212">
        <v>2.4990000000000001</v>
      </c>
      <c r="I212" s="12">
        <v>751.1</v>
      </c>
      <c r="J212" s="17">
        <f t="shared" si="562"/>
        <v>28.7</v>
      </c>
      <c r="K212" s="34">
        <f t="shared" si="563"/>
        <v>62.540169999999996</v>
      </c>
      <c r="L212" s="17">
        <f t="shared" si="564"/>
        <v>0.5</v>
      </c>
      <c r="M212" s="17">
        <f t="shared" si="565"/>
        <v>0.78993999999999998</v>
      </c>
      <c r="N212" s="17">
        <f t="shared" si="550"/>
        <v>1.9603697555881312</v>
      </c>
      <c r="O212" s="25">
        <f t="shared" si="566"/>
        <v>122.60185777734017</v>
      </c>
      <c r="P212" s="25">
        <f t="shared" si="567"/>
        <v>122.65812038932555</v>
      </c>
      <c r="Q212" s="31">
        <f t="shared" si="568"/>
        <v>998.96698501954984</v>
      </c>
      <c r="R212" s="17">
        <f t="shared" si="569"/>
        <v>100138.43060480001</v>
      </c>
      <c r="S212" s="17">
        <v>129.80000000000001</v>
      </c>
      <c r="T212" s="27">
        <f t="shared" si="570"/>
        <v>287.63111111111107</v>
      </c>
      <c r="U212" s="25">
        <f t="shared" si="571"/>
        <v>2.0389914142739909</v>
      </c>
    </row>
    <row r="213" spans="1:21" x14ac:dyDescent="0.35">
      <c r="A213" s="6" t="s">
        <v>104</v>
      </c>
      <c r="B213" s="29" t="s">
        <v>60</v>
      </c>
      <c r="C213" s="4" t="s">
        <v>2250</v>
      </c>
      <c r="D213" s="12">
        <v>6</v>
      </c>
      <c r="E213" s="49">
        <v>7.8039999999999998E-2</v>
      </c>
      <c r="F213">
        <v>58.195</v>
      </c>
      <c r="G213" s="12">
        <f t="shared" si="561"/>
        <v>14.552777777777777</v>
      </c>
      <c r="H213">
        <v>2.4990000000000001</v>
      </c>
      <c r="I213" s="12">
        <v>751.1</v>
      </c>
      <c r="J213" s="17">
        <f t="shared" si="562"/>
        <v>30.2</v>
      </c>
      <c r="K213" s="34">
        <f t="shared" si="563"/>
        <v>73.112991999999991</v>
      </c>
      <c r="L213" s="17">
        <f t="shared" si="564"/>
        <v>0.5</v>
      </c>
      <c r="M213" s="17">
        <f t="shared" si="565"/>
        <v>0.78993999999999998</v>
      </c>
      <c r="N213" s="17">
        <f t="shared" si="550"/>
        <v>1.9603697555881312</v>
      </c>
      <c r="O213" s="25">
        <f t="shared" si="566"/>
        <v>143.32849825735698</v>
      </c>
      <c r="P213" s="25">
        <f t="shared" si="567"/>
        <v>143.38770142397576</v>
      </c>
      <c r="Q213" s="31">
        <f t="shared" si="568"/>
        <v>998.95576408140323</v>
      </c>
      <c r="R213" s="17">
        <f t="shared" si="569"/>
        <v>100138.43060480001</v>
      </c>
      <c r="S213" s="17">
        <v>130.80000000000001</v>
      </c>
      <c r="T213" s="27">
        <f t="shared" si="570"/>
        <v>287.70277777777778</v>
      </c>
      <c r="U213" s="25">
        <f t="shared" si="571"/>
        <v>2.0415610137263829</v>
      </c>
    </row>
    <row r="214" spans="1:21" x14ac:dyDescent="0.35">
      <c r="A214" s="6" t="s">
        <v>104</v>
      </c>
      <c r="B214" s="29" t="s">
        <v>9</v>
      </c>
      <c r="C214" s="4" t="s">
        <v>2279</v>
      </c>
      <c r="D214" s="12">
        <v>18</v>
      </c>
      <c r="E214" s="49">
        <v>0.36508000000000002</v>
      </c>
      <c r="F214">
        <v>45.307000000000002</v>
      </c>
      <c r="G214" s="12">
        <f t="shared" si="561"/>
        <v>7.3927777777777788</v>
      </c>
      <c r="H214" s="97" t="s">
        <v>105</v>
      </c>
      <c r="I214" s="75">
        <v>754.5</v>
      </c>
      <c r="J214" s="17">
        <f t="shared" ref="J214:J222" si="572">IF(D214=1, 32.2,IF(D214=2, 30.8, IF(D214=3, 29.9, IF(D214=4, 29.6, IF(D214=5, 29.9, IF(D214=6, 30.2, IF(D214=7, 30.4, IF(D214=8, 28, IF(D214=9, 32.2, IF(D214=10, 30.1, IF(D214=11, 30.1, IF(D214=12, 29.2, IF(D214=13, 30.8,IF(D214=14,29.3, IF(D214=15,30.2,IF(D214=16, 30.8,IF(D214=17,30.1,IF(D214=18,29.5,IF(D214=19,28.7,IF(D214=20,30.2,IF(D214=21,31.7, "NOT LISTED")))))))))))))))))))))</f>
        <v>29.5</v>
      </c>
      <c r="K214" s="34" t="e">
        <f t="shared" ref="K214:K222" si="573">J214*(H214-E214)</f>
        <v>#VALUE!</v>
      </c>
      <c r="L214" s="17">
        <f t="shared" ref="L214:L222" si="574">IF(OR(B214="P4",B214="P5",B214="EUS3",B214="EUS",B214="EUS2"),1,0.5)</f>
        <v>1</v>
      </c>
      <c r="M214" s="17">
        <f t="shared" ref="M214:M222" si="575">IF(L214 = 0.5, 0.78994,IF(L214=1, 1.33, "NOT LISTED"))</f>
        <v>1.33</v>
      </c>
      <c r="N214" s="17">
        <f t="shared" si="550"/>
        <v>5.5571620888000011</v>
      </c>
      <c r="O214" s="77" t="s">
        <v>105</v>
      </c>
      <c r="P214" s="25">
        <f t="shared" ref="P214:P222" si="576">(J214*(2.5-E214))*N214</f>
        <v>349.99084635531653</v>
      </c>
      <c r="Q214" s="95">
        <f t="shared" ref="Q214:Q222" si="577">(999.83952+16.945176*G214-0.00798704*G214^2-0.000046170461*G214^3+0.00000010556302*G214^4-0.00000000028054253*G214^5)/(1+0.01689785*G214)</f>
        <v>999.76400859575813</v>
      </c>
      <c r="R214" s="77">
        <f t="shared" ref="R214:R222" si="578">IF(I214="NA", 101325, I214*133.322368)</f>
        <v>100591.72665600001</v>
      </c>
      <c r="S214" s="77">
        <v>131.80000000000001</v>
      </c>
      <c r="T214" s="96">
        <f t="shared" ref="T214:T222" si="579">G214+273.15</f>
        <v>280.54277777777776</v>
      </c>
      <c r="U214" s="77" t="s">
        <v>105</v>
      </c>
    </row>
    <row r="215" spans="1:21" x14ac:dyDescent="0.35">
      <c r="A215" s="6" t="s">
        <v>104</v>
      </c>
      <c r="B215" s="29" t="s">
        <v>14</v>
      </c>
      <c r="C215" s="4" t="s">
        <v>2283</v>
      </c>
      <c r="D215" s="12">
        <v>5</v>
      </c>
      <c r="E215" s="49">
        <v>0.10989</v>
      </c>
      <c r="F215">
        <v>51.720999999999997</v>
      </c>
      <c r="G215" s="12">
        <f t="shared" si="561"/>
        <v>10.95611111111111</v>
      </c>
      <c r="H215" s="97">
        <v>1.2222200000000001</v>
      </c>
      <c r="I215" s="75">
        <v>754.5</v>
      </c>
      <c r="J215" s="17">
        <f t="shared" si="572"/>
        <v>29.9</v>
      </c>
      <c r="K215" s="34">
        <f t="shared" si="573"/>
        <v>33.258667000000003</v>
      </c>
      <c r="L215" s="17">
        <f t="shared" si="574"/>
        <v>1</v>
      </c>
      <c r="M215" s="17">
        <f t="shared" si="575"/>
        <v>1.33</v>
      </c>
      <c r="N215" s="17">
        <f t="shared" si="550"/>
        <v>5.5571620888000011</v>
      </c>
      <c r="O215" s="25">
        <f t="shared" ref="O215:O222" si="580">K215*N215</f>
        <v>184.82380337642368</v>
      </c>
      <c r="P215" s="25">
        <f t="shared" si="576"/>
        <v>397.13863753384692</v>
      </c>
      <c r="Q215" s="95">
        <f t="shared" si="577"/>
        <v>999.4431435786729</v>
      </c>
      <c r="R215" s="77">
        <f t="shared" si="578"/>
        <v>100591.72665600001</v>
      </c>
      <c r="S215" s="77">
        <v>132.80000000000001</v>
      </c>
      <c r="T215" s="96">
        <f t="shared" si="579"/>
        <v>284.10611111111109</v>
      </c>
      <c r="U215" s="25">
        <f t="shared" ref="U215:U222" si="581">(1+((Q215*S215/R215/100)*(1+0.01*K215)))*N215*(293/T215)</f>
        <v>5.8318975999494347</v>
      </c>
    </row>
    <row r="216" spans="1:21" x14ac:dyDescent="0.35">
      <c r="A216" s="6" t="s">
        <v>104</v>
      </c>
      <c r="B216" s="29" t="s">
        <v>18</v>
      </c>
      <c r="C216" s="4" t="s">
        <v>2282</v>
      </c>
      <c r="D216" s="12">
        <v>16</v>
      </c>
      <c r="E216" s="49">
        <v>0.34554000000000001</v>
      </c>
      <c r="F216">
        <v>56.512</v>
      </c>
      <c r="G216" s="12">
        <f t="shared" si="561"/>
        <v>13.617777777777778</v>
      </c>
      <c r="H216" s="97" t="s">
        <v>105</v>
      </c>
      <c r="I216" s="75">
        <v>754.5</v>
      </c>
      <c r="J216" s="17">
        <f t="shared" si="572"/>
        <v>30.8</v>
      </c>
      <c r="K216" s="34" t="e">
        <f t="shared" si="573"/>
        <v>#VALUE!</v>
      </c>
      <c r="L216" s="17">
        <f t="shared" si="574"/>
        <v>1</v>
      </c>
      <c r="M216" s="17">
        <f t="shared" si="575"/>
        <v>1.33</v>
      </c>
      <c r="N216" s="17">
        <f t="shared" si="550"/>
        <v>5.5571620888000011</v>
      </c>
      <c r="O216" s="77" t="s">
        <v>105</v>
      </c>
      <c r="P216" s="25">
        <f t="shared" si="576"/>
        <v>368.7586497621503</v>
      </c>
      <c r="Q216" s="95">
        <f t="shared" si="577"/>
        <v>999.09743961633683</v>
      </c>
      <c r="R216" s="77">
        <f t="shared" si="578"/>
        <v>100591.72665600001</v>
      </c>
      <c r="S216" s="77">
        <v>133.80000000000001</v>
      </c>
      <c r="T216" s="96">
        <f t="shared" si="579"/>
        <v>286.76777777777778</v>
      </c>
      <c r="U216" s="77" t="s">
        <v>105</v>
      </c>
    </row>
    <row r="217" spans="1:21" x14ac:dyDescent="0.35">
      <c r="A217" s="6" t="s">
        <v>104</v>
      </c>
      <c r="B217" s="29" t="s">
        <v>167</v>
      </c>
      <c r="C217" s="4" t="s">
        <v>2284</v>
      </c>
      <c r="D217" s="12">
        <v>3</v>
      </c>
      <c r="E217" s="49">
        <v>0.53236000000000006</v>
      </c>
      <c r="F217">
        <v>54.125999999999998</v>
      </c>
      <c r="G217" s="12">
        <f t="shared" si="561"/>
        <v>12.29222222222222</v>
      </c>
      <c r="H217" s="97">
        <v>0.57203999999999999</v>
      </c>
      <c r="I217" s="75">
        <v>754.5</v>
      </c>
      <c r="J217" s="17">
        <f t="shared" si="572"/>
        <v>29.9</v>
      </c>
      <c r="K217" s="34">
        <f t="shared" si="573"/>
        <v>1.1864319999999982</v>
      </c>
      <c r="L217" s="17">
        <f t="shared" si="574"/>
        <v>0.5</v>
      </c>
      <c r="M217" s="17">
        <f t="shared" si="575"/>
        <v>0.78993999999999998</v>
      </c>
      <c r="N217" s="17">
        <f t="shared" si="550"/>
        <v>1.9603697555881312</v>
      </c>
      <c r="O217" s="25">
        <f t="shared" si="580"/>
        <v>2.3258454098619339</v>
      </c>
      <c r="P217" s="25">
        <f t="shared" si="576"/>
        <v>115.33332818197437</v>
      </c>
      <c r="Q217" s="95">
        <f t="shared" si="577"/>
        <v>999.28046370137736</v>
      </c>
      <c r="R217" s="77">
        <f t="shared" si="578"/>
        <v>100591.72665600001</v>
      </c>
      <c r="S217" s="77">
        <v>134.80000000000001</v>
      </c>
      <c r="T217" s="96">
        <f t="shared" si="579"/>
        <v>285.4422222222222</v>
      </c>
      <c r="U217" s="25">
        <f t="shared" si="581"/>
        <v>2.0395415234493188</v>
      </c>
    </row>
    <row r="218" spans="1:21" x14ac:dyDescent="0.35">
      <c r="A218" s="6" t="s">
        <v>104</v>
      </c>
      <c r="B218" s="29" t="s">
        <v>25</v>
      </c>
      <c r="C218" s="4" t="s">
        <v>2286</v>
      </c>
      <c r="D218" s="12">
        <v>4</v>
      </c>
      <c r="E218" s="49">
        <v>0.62392999999999998</v>
      </c>
      <c r="F218">
        <v>54.255000000000003</v>
      </c>
      <c r="G218" s="12">
        <f t="shared" si="561"/>
        <v>12.363888888888891</v>
      </c>
      <c r="H218" s="97">
        <v>0.58852000000000004</v>
      </c>
      <c r="I218" s="75">
        <v>754.5</v>
      </c>
      <c r="J218" s="17">
        <f t="shared" si="572"/>
        <v>29.6</v>
      </c>
      <c r="K218" s="34">
        <f t="shared" si="573"/>
        <v>-1.0481359999999984</v>
      </c>
      <c r="L218" s="17">
        <f t="shared" si="574"/>
        <v>0.5</v>
      </c>
      <c r="M218" s="17">
        <f t="shared" si="575"/>
        <v>0.78993999999999998</v>
      </c>
      <c r="N218" s="17">
        <f t="shared" si="550"/>
        <v>1.9603697555881312</v>
      </c>
      <c r="O218" s="25">
        <f t="shared" si="580"/>
        <v>-2.0547341141431184</v>
      </c>
      <c r="P218" s="25">
        <f t="shared" si="576"/>
        <v>108.86261026604026</v>
      </c>
      <c r="Q218" s="95">
        <f t="shared" si="577"/>
        <v>999.27111282207932</v>
      </c>
      <c r="R218" s="77">
        <f t="shared" si="578"/>
        <v>100591.72665600001</v>
      </c>
      <c r="S218" s="77">
        <v>135.80000000000001</v>
      </c>
      <c r="T218" s="96">
        <f t="shared" si="579"/>
        <v>285.51388888888886</v>
      </c>
      <c r="U218" s="25">
        <f t="shared" si="581"/>
        <v>2.0386250962752634</v>
      </c>
    </row>
    <row r="219" spans="1:21" x14ac:dyDescent="0.35">
      <c r="A219" s="6" t="s">
        <v>104</v>
      </c>
      <c r="B219" s="29" t="s">
        <v>26</v>
      </c>
      <c r="C219" s="4" t="s">
        <v>2295</v>
      </c>
      <c r="D219" s="12">
        <v>14</v>
      </c>
      <c r="E219" s="49">
        <v>0.70147000000000004</v>
      </c>
      <c r="F219">
        <v>58.195</v>
      </c>
      <c r="G219" s="12">
        <f t="shared" si="561"/>
        <v>14.552777777777777</v>
      </c>
      <c r="H219" s="98" t="s">
        <v>105</v>
      </c>
      <c r="I219" s="75">
        <v>754.5</v>
      </c>
      <c r="J219" s="17">
        <f t="shared" si="572"/>
        <v>29.3</v>
      </c>
      <c r="K219" s="34" t="e">
        <f t="shared" si="573"/>
        <v>#VALUE!</v>
      </c>
      <c r="L219" s="17">
        <f t="shared" si="574"/>
        <v>0.5</v>
      </c>
      <c r="M219" s="17">
        <f t="shared" si="575"/>
        <v>0.78993999999999998</v>
      </c>
      <c r="N219" s="17">
        <f t="shared" si="550"/>
        <v>1.9603697555881312</v>
      </c>
      <c r="O219" s="77" t="s">
        <v>105</v>
      </c>
      <c r="P219" s="25">
        <f t="shared" si="576"/>
        <v>103.3054658239751</v>
      </c>
      <c r="Q219" s="95">
        <f t="shared" si="577"/>
        <v>998.95576408140323</v>
      </c>
      <c r="R219" s="77">
        <f t="shared" si="578"/>
        <v>100591.72665600001</v>
      </c>
      <c r="S219" s="77">
        <v>136.80000000000001</v>
      </c>
      <c r="T219" s="96">
        <f t="shared" si="579"/>
        <v>287.70277777777778</v>
      </c>
      <c r="U219" s="77" t="s">
        <v>105</v>
      </c>
    </row>
    <row r="220" spans="1:21" x14ac:dyDescent="0.35">
      <c r="A220" s="6" t="s">
        <v>104</v>
      </c>
      <c r="B220" s="29" t="s">
        <v>69</v>
      </c>
      <c r="C220" s="4" t="s">
        <v>2288</v>
      </c>
      <c r="D220" s="12">
        <v>19</v>
      </c>
      <c r="E220" s="49">
        <v>0.24237</v>
      </c>
      <c r="F220">
        <v>55.819000000000003</v>
      </c>
      <c r="G220" s="12">
        <f t="shared" si="561"/>
        <v>13.232777777777779</v>
      </c>
      <c r="H220">
        <v>1.2661800000000001</v>
      </c>
      <c r="I220" s="75">
        <v>754.5</v>
      </c>
      <c r="J220" s="17">
        <f t="shared" si="572"/>
        <v>28.7</v>
      </c>
      <c r="K220" s="34">
        <f t="shared" si="573"/>
        <v>29.383347000000004</v>
      </c>
      <c r="L220" s="17">
        <f t="shared" si="574"/>
        <v>0.5</v>
      </c>
      <c r="M220" s="17">
        <f t="shared" si="575"/>
        <v>0.78993999999999998</v>
      </c>
      <c r="N220" s="17">
        <f t="shared" si="550"/>
        <v>1.9603697555881312</v>
      </c>
      <c r="O220" s="25">
        <f t="shared" si="580"/>
        <v>57.602224776751257</v>
      </c>
      <c r="P220" s="25">
        <f t="shared" si="576"/>
        <v>127.020160696552</v>
      </c>
      <c r="Q220" s="31">
        <f t="shared" si="577"/>
        <v>999.15277588176332</v>
      </c>
      <c r="R220" s="17">
        <f t="shared" si="578"/>
        <v>100591.72665600001</v>
      </c>
      <c r="S220" s="17">
        <v>137.80000000000001</v>
      </c>
      <c r="T220" s="27">
        <f t="shared" si="579"/>
        <v>286.38277777777773</v>
      </c>
      <c r="U220" s="25">
        <f t="shared" si="581"/>
        <v>2.0411850911673781</v>
      </c>
    </row>
    <row r="221" spans="1:21" x14ac:dyDescent="0.35">
      <c r="A221" s="6" t="s">
        <v>104</v>
      </c>
      <c r="B221" s="29" t="s">
        <v>64</v>
      </c>
      <c r="C221" s="4" t="s">
        <v>2290</v>
      </c>
      <c r="D221" s="12">
        <v>2</v>
      </c>
      <c r="E221" s="49">
        <v>0.16972000000000001</v>
      </c>
      <c r="F221">
        <v>52.16</v>
      </c>
      <c r="G221" s="12">
        <f t="shared" si="561"/>
        <v>11.199999999999998</v>
      </c>
      <c r="H221">
        <v>2.1282100000000002</v>
      </c>
      <c r="I221" s="75">
        <v>754.5</v>
      </c>
      <c r="J221" s="17">
        <f t="shared" si="572"/>
        <v>30.8</v>
      </c>
      <c r="K221" s="34">
        <f t="shared" si="573"/>
        <v>60.321492000000006</v>
      </c>
      <c r="L221" s="17">
        <f t="shared" si="574"/>
        <v>0.5</v>
      </c>
      <c r="M221" s="17">
        <f t="shared" si="575"/>
        <v>0.78993999999999998</v>
      </c>
      <c r="N221" s="17">
        <f t="shared" si="550"/>
        <v>1.9603697555881312</v>
      </c>
      <c r="O221" s="25">
        <f t="shared" si="580"/>
        <v>118.25242852875142</v>
      </c>
      <c r="P221" s="25">
        <f t="shared" si="576"/>
        <v>140.70088136879886</v>
      </c>
      <c r="Q221" s="31">
        <f t="shared" si="577"/>
        <v>999.41511524478722</v>
      </c>
      <c r="R221" s="17">
        <f t="shared" si="578"/>
        <v>100591.72665600001</v>
      </c>
      <c r="S221" s="17">
        <v>138.80000000000001</v>
      </c>
      <c r="T221" s="27">
        <f t="shared" si="579"/>
        <v>284.34999999999997</v>
      </c>
      <c r="U221" s="25">
        <f t="shared" si="581"/>
        <v>2.0646645551781897</v>
      </c>
    </row>
    <row r="222" spans="1:21" x14ac:dyDescent="0.35">
      <c r="A222" s="6" t="s">
        <v>104</v>
      </c>
      <c r="B222" s="29" t="s">
        <v>60</v>
      </c>
      <c r="C222" s="4" t="s">
        <v>2292</v>
      </c>
      <c r="D222" s="12">
        <v>6</v>
      </c>
      <c r="E222" s="49">
        <v>9.4630000000000006E-2</v>
      </c>
      <c r="F222">
        <v>55.776000000000003</v>
      </c>
      <c r="G222" s="12">
        <f t="shared" si="561"/>
        <v>13.20888888888889</v>
      </c>
      <c r="H222">
        <v>0.69352999999999998</v>
      </c>
      <c r="I222" s="75">
        <v>754.5</v>
      </c>
      <c r="J222" s="17">
        <f t="shared" si="572"/>
        <v>30.2</v>
      </c>
      <c r="K222" s="34">
        <f t="shared" si="573"/>
        <v>18.086780000000001</v>
      </c>
      <c r="L222" s="17">
        <f t="shared" si="574"/>
        <v>0.5</v>
      </c>
      <c r="M222" s="17">
        <f t="shared" si="575"/>
        <v>0.78993999999999998</v>
      </c>
      <c r="N222" s="17">
        <f t="shared" si="550"/>
        <v>1.9603697555881312</v>
      </c>
      <c r="O222" s="25">
        <f t="shared" si="580"/>
        <v>35.456776487976299</v>
      </c>
      <c r="P222" s="25">
        <f t="shared" si="576"/>
        <v>142.40552088977049</v>
      </c>
      <c r="Q222" s="31">
        <f t="shared" si="577"/>
        <v>999.15615113802482</v>
      </c>
      <c r="R222" s="17">
        <f t="shared" si="578"/>
        <v>100591.72665600001</v>
      </c>
      <c r="S222" s="17">
        <v>139.80000000000001</v>
      </c>
      <c r="T222" s="27">
        <f t="shared" si="579"/>
        <v>286.35888888888888</v>
      </c>
      <c r="U222" s="25">
        <f t="shared" si="581"/>
        <v>2.0387246052595103</v>
      </c>
    </row>
    <row r="223" spans="1:21" x14ac:dyDescent="0.35">
      <c r="A223" s="6" t="s">
        <v>104</v>
      </c>
      <c r="B223" s="29" t="s">
        <v>9</v>
      </c>
      <c r="C223" s="4" t="s">
        <v>2350</v>
      </c>
      <c r="D223" s="12">
        <v>18</v>
      </c>
      <c r="E223" s="49">
        <v>0.32274000000000003</v>
      </c>
      <c r="F223">
        <v>49.027999999999999</v>
      </c>
      <c r="G223" s="12">
        <f t="shared" ref="G223" si="582">CONVERT(F223,"F","C")</f>
        <v>9.4599999999999991</v>
      </c>
      <c r="H223" s="98" t="s">
        <v>105</v>
      </c>
      <c r="I223" s="75">
        <v>736.2</v>
      </c>
      <c r="J223" s="17">
        <f t="shared" ref="J223:J230" si="583">IF(D223=1, 32.2,IF(D223=2, 30.8, IF(D223=3, 29.9, IF(D223=4, 29.6, IF(D223=5, 29.9, IF(D223=6, 30.2, IF(D223=7, 30.4, IF(D223=8, 28, IF(D223=9, 32.2, IF(D223=10, 30.1, IF(D223=11, 30.1, IF(D223=12, 29.2, IF(D223=13, 30.8,IF(D223=14,29.3, IF(D223=15,30.2,IF(D223=16, 30.8,IF(D223=17,30.1,IF(D223=18,29.5,IF(D223=19,28.7,IF(D223=20,30.2,IF(D223=21,31.7, "NOT LISTED")))))))))))))))))))))</f>
        <v>29.5</v>
      </c>
      <c r="K223" s="34" t="e">
        <f t="shared" ref="K223:K230" si="584">J223*(H223-E223)</f>
        <v>#VALUE!</v>
      </c>
      <c r="L223" s="17">
        <f t="shared" ref="L223:L231" si="585">IF(OR(B223="P4",B223="P5",B223="EUS3",B223="EUS",B223="EUS2"),1,0.5)</f>
        <v>1</v>
      </c>
      <c r="M223" s="17">
        <f t="shared" ref="M223:M231" si="586">IF(L223 = 0.5, 0.78994,IF(L223=1, 1.33, "NOT LISTED"))</f>
        <v>1.33</v>
      </c>
      <c r="N223" s="17">
        <f t="shared" si="550"/>
        <v>5.5571620888000011</v>
      </c>
      <c r="O223" s="77" t="s">
        <v>105</v>
      </c>
      <c r="P223" s="25">
        <f t="shared" ref="P223:P230" si="587">(J223*(2.5-E223))*N223</f>
        <v>356.93190851909037</v>
      </c>
      <c r="Q223" s="31">
        <f t="shared" ref="Q223:Q230" si="588">(999.83952+16.945176*G223-0.00798704*G223^2-0.000046170461*G223^3+0.00000010556302*G223^4-0.00000000028054253*G223^5)/(1+0.01689785*G223)</f>
        <v>999.5983869801338</v>
      </c>
      <c r="R223" s="17">
        <f t="shared" ref="R223:R230" si="589">IF(I223="NA", 101325, I223*133.322368)</f>
        <v>98151.927321600015</v>
      </c>
      <c r="S223" s="17">
        <v>140.80000000000001</v>
      </c>
      <c r="T223" s="27">
        <f t="shared" ref="T223:T230" si="590">G223+273.15</f>
        <v>282.60999999999996</v>
      </c>
      <c r="U223" s="77" t="s">
        <v>105</v>
      </c>
    </row>
    <row r="224" spans="1:21" x14ac:dyDescent="0.35">
      <c r="A224" s="6" t="s">
        <v>104</v>
      </c>
      <c r="B224" s="29" t="s">
        <v>14</v>
      </c>
      <c r="C224" s="4" t="s">
        <v>2342</v>
      </c>
      <c r="D224" s="12">
        <v>5</v>
      </c>
      <c r="E224" s="49">
        <v>7.3870000000000005E-2</v>
      </c>
      <c r="F224">
        <v>49.073</v>
      </c>
      <c r="G224" s="12">
        <f t="shared" si="561"/>
        <v>9.4849999999999994</v>
      </c>
      <c r="H224">
        <v>2.4072</v>
      </c>
      <c r="I224" s="75">
        <v>736.2</v>
      </c>
      <c r="J224" s="17">
        <f t="shared" si="583"/>
        <v>29.9</v>
      </c>
      <c r="K224" s="34">
        <f t="shared" si="584"/>
        <v>69.766566999999995</v>
      </c>
      <c r="L224" s="17">
        <f t="shared" si="585"/>
        <v>1</v>
      </c>
      <c r="M224" s="17">
        <f t="shared" si="586"/>
        <v>1.33</v>
      </c>
      <c r="N224" s="17">
        <f t="shared" si="550"/>
        <v>5.5571620888000011</v>
      </c>
      <c r="O224" s="25">
        <f t="shared" ref="O224:O228" si="591">K224*N224</f>
        <v>387.70412119812522</v>
      </c>
      <c r="P224" s="25">
        <f t="shared" si="587"/>
        <v>403.12368998916037</v>
      </c>
      <c r="Q224" s="31">
        <f t="shared" si="588"/>
        <v>999.59603230638515</v>
      </c>
      <c r="R224" s="17">
        <f t="shared" si="589"/>
        <v>98151.927321600015</v>
      </c>
      <c r="S224" s="17">
        <v>141.80000000000001</v>
      </c>
      <c r="T224" s="27">
        <f t="shared" si="590"/>
        <v>282.63499999999999</v>
      </c>
      <c r="U224" s="25">
        <f t="shared" ref="U224:U228" si="592">(1+((Q224*S224/R224/100)*(1+0.01*K224)))*N224*(293/T224)</f>
        <v>5.9021955649467897</v>
      </c>
    </row>
    <row r="225" spans="1:21" x14ac:dyDescent="0.35">
      <c r="A225" s="6" t="s">
        <v>104</v>
      </c>
      <c r="B225" s="29" t="s">
        <v>18</v>
      </c>
      <c r="C225" s="4" t="s">
        <v>2352</v>
      </c>
      <c r="D225" s="12">
        <v>16</v>
      </c>
      <c r="E225" s="49">
        <v>0.27772000000000002</v>
      </c>
      <c r="F225">
        <v>48.762</v>
      </c>
      <c r="G225" s="12">
        <f t="shared" ref="G225:G238" si="593">CONVERT(F225,"F","C")</f>
        <v>9.3122222222222231</v>
      </c>
      <c r="H225" s="98" t="s">
        <v>105</v>
      </c>
      <c r="I225" s="75">
        <v>736.2</v>
      </c>
      <c r="J225" s="17">
        <f t="shared" si="583"/>
        <v>30.8</v>
      </c>
      <c r="K225" s="34" t="e">
        <f t="shared" si="584"/>
        <v>#VALUE!</v>
      </c>
      <c r="L225" s="17">
        <f t="shared" si="585"/>
        <v>1</v>
      </c>
      <c r="M225" s="17">
        <f t="shared" si="586"/>
        <v>1.33</v>
      </c>
      <c r="N225" s="17">
        <f t="shared" si="550"/>
        <v>5.5571620888000011</v>
      </c>
      <c r="O225" s="77" t="s">
        <v>105</v>
      </c>
      <c r="P225" s="25">
        <f t="shared" si="587"/>
        <v>380.36676113431275</v>
      </c>
      <c r="Q225" s="31">
        <f t="shared" si="588"/>
        <v>999.61213703183989</v>
      </c>
      <c r="R225" s="17">
        <f t="shared" si="589"/>
        <v>98151.927321600015</v>
      </c>
      <c r="S225" s="17">
        <v>142.80000000000001</v>
      </c>
      <c r="T225" s="27">
        <f t="shared" si="590"/>
        <v>282.46222222222218</v>
      </c>
      <c r="U225" s="77" t="s">
        <v>105</v>
      </c>
    </row>
    <row r="226" spans="1:21" x14ac:dyDescent="0.35">
      <c r="A226" s="6" t="s">
        <v>104</v>
      </c>
      <c r="B226" s="29" t="s">
        <v>60</v>
      </c>
      <c r="C226" s="4" t="s">
        <v>2344</v>
      </c>
      <c r="D226" s="12">
        <v>6</v>
      </c>
      <c r="E226" s="49">
        <v>0.15018000000000001</v>
      </c>
      <c r="F226">
        <v>55.776000000000003</v>
      </c>
      <c r="G226" s="12">
        <f t="shared" si="593"/>
        <v>13.20888888888889</v>
      </c>
      <c r="H226">
        <v>2.39805</v>
      </c>
      <c r="I226" s="75">
        <v>736.2</v>
      </c>
      <c r="J226" s="17">
        <f t="shared" si="583"/>
        <v>30.2</v>
      </c>
      <c r="K226" s="34">
        <f t="shared" si="584"/>
        <v>67.885673999999995</v>
      </c>
      <c r="L226" s="17">
        <f t="shared" si="585"/>
        <v>0.5</v>
      </c>
      <c r="M226" s="17">
        <f t="shared" si="586"/>
        <v>0.78993999999999998</v>
      </c>
      <c r="N226" s="17">
        <f t="shared" si="550"/>
        <v>1.9603697555881312</v>
      </c>
      <c r="O226" s="25">
        <f t="shared" si="591"/>
        <v>133.08102214731554</v>
      </c>
      <c r="P226" s="25">
        <f t="shared" si="587"/>
        <v>139.11678498409827</v>
      </c>
      <c r="Q226" s="31">
        <f t="shared" si="588"/>
        <v>999.15615113802482</v>
      </c>
      <c r="R226" s="17">
        <f t="shared" si="589"/>
        <v>98151.927321600015</v>
      </c>
      <c r="S226" s="17">
        <v>143.80000000000001</v>
      </c>
      <c r="T226" s="27">
        <f t="shared" si="590"/>
        <v>286.35888888888888</v>
      </c>
      <c r="U226" s="25">
        <f t="shared" si="592"/>
        <v>2.0551287020813147</v>
      </c>
    </row>
    <row r="227" spans="1:21" x14ac:dyDescent="0.35">
      <c r="A227" s="6" t="s">
        <v>104</v>
      </c>
      <c r="B227" s="29" t="s">
        <v>64</v>
      </c>
      <c r="C227" s="4" t="s">
        <v>2346</v>
      </c>
      <c r="D227" s="12">
        <v>2</v>
      </c>
      <c r="E227" s="49">
        <v>1.1599999999999999E-2</v>
      </c>
      <c r="F227">
        <v>54.472999999999999</v>
      </c>
      <c r="G227" s="12">
        <f t="shared" si="593"/>
        <v>12.484999999999999</v>
      </c>
      <c r="H227">
        <v>1.15568</v>
      </c>
      <c r="I227" s="75">
        <v>736.2</v>
      </c>
      <c r="J227" s="17">
        <f t="shared" si="583"/>
        <v>30.8</v>
      </c>
      <c r="K227" s="34">
        <f t="shared" si="584"/>
        <v>35.237664000000002</v>
      </c>
      <c r="L227" s="17">
        <f t="shared" si="585"/>
        <v>0.5</v>
      </c>
      <c r="M227" s="17">
        <f t="shared" si="586"/>
        <v>0.78993999999999998</v>
      </c>
      <c r="N227" s="17">
        <f t="shared" si="550"/>
        <v>1.9603697555881312</v>
      </c>
      <c r="O227" s="25">
        <f t="shared" si="591"/>
        <v>69.078850763176689</v>
      </c>
      <c r="P227" s="25">
        <f t="shared" si="587"/>
        <v>150.24807027400956</v>
      </c>
      <c r="Q227" s="31">
        <f t="shared" si="588"/>
        <v>999.25516778619885</v>
      </c>
      <c r="R227" s="17">
        <f t="shared" si="589"/>
        <v>98151.927321600015</v>
      </c>
      <c r="S227" s="17">
        <v>144.80000000000001</v>
      </c>
      <c r="T227" s="27">
        <f t="shared" si="590"/>
        <v>285.63499999999999</v>
      </c>
      <c r="U227" s="25">
        <f t="shared" si="592"/>
        <v>2.0510073919441565</v>
      </c>
    </row>
    <row r="228" spans="1:21" x14ac:dyDescent="0.35">
      <c r="A228" s="6" t="s">
        <v>104</v>
      </c>
      <c r="B228" s="29" t="s">
        <v>69</v>
      </c>
      <c r="C228" s="4" t="s">
        <v>2348</v>
      </c>
      <c r="D228" s="12">
        <v>19</v>
      </c>
      <c r="E228" s="49">
        <v>0.21612000000000001</v>
      </c>
      <c r="F228">
        <v>53.994</v>
      </c>
      <c r="G228" s="12">
        <f t="shared" si="593"/>
        <v>12.218888888888888</v>
      </c>
      <c r="H228">
        <v>0.63065000000000004</v>
      </c>
      <c r="I228" s="75">
        <v>736.2</v>
      </c>
      <c r="J228" s="17">
        <f t="shared" si="583"/>
        <v>28.7</v>
      </c>
      <c r="K228" s="34">
        <f t="shared" si="584"/>
        <v>11.897011000000001</v>
      </c>
      <c r="L228" s="17">
        <f t="shared" si="585"/>
        <v>0.5</v>
      </c>
      <c r="M228" s="17">
        <f t="shared" si="586"/>
        <v>0.78993999999999998</v>
      </c>
      <c r="N228" s="17">
        <f t="shared" si="550"/>
        <v>1.9603697555881312</v>
      </c>
      <c r="O228" s="25">
        <f t="shared" si="591"/>
        <v>23.322540546299312</v>
      </c>
      <c r="P228" s="25">
        <f t="shared" si="587"/>
        <v>128.49705426116822</v>
      </c>
      <c r="Q228" s="31">
        <f t="shared" si="588"/>
        <v>999.28996687277254</v>
      </c>
      <c r="R228" s="17">
        <f t="shared" si="589"/>
        <v>98151.927321600015</v>
      </c>
      <c r="S228" s="17">
        <v>145.80000000000001</v>
      </c>
      <c r="T228" s="27">
        <f t="shared" si="590"/>
        <v>285.36888888888888</v>
      </c>
      <c r="U228" s="25">
        <f t="shared" si="592"/>
        <v>2.0462248375602443</v>
      </c>
    </row>
    <row r="229" spans="1:21" x14ac:dyDescent="0.35">
      <c r="A229" s="6" t="s">
        <v>104</v>
      </c>
      <c r="B229" s="29" t="s">
        <v>26</v>
      </c>
      <c r="C229" s="4" t="s">
        <v>2354</v>
      </c>
      <c r="D229" s="12">
        <v>14</v>
      </c>
      <c r="E229" s="49">
        <v>1.83E-3</v>
      </c>
      <c r="F229">
        <v>52.902999999999999</v>
      </c>
      <c r="G229" s="12">
        <f t="shared" si="593"/>
        <v>11.612777777777778</v>
      </c>
      <c r="H229" s="98" t="s">
        <v>105</v>
      </c>
      <c r="I229" s="75">
        <v>736.2</v>
      </c>
      <c r="J229" s="17">
        <f t="shared" si="583"/>
        <v>29.3</v>
      </c>
      <c r="K229" s="34" t="e">
        <f t="shared" si="584"/>
        <v>#VALUE!</v>
      </c>
      <c r="L229" s="17">
        <f t="shared" si="585"/>
        <v>0.5</v>
      </c>
      <c r="M229" s="17">
        <f t="shared" si="586"/>
        <v>0.78993999999999998</v>
      </c>
      <c r="N229" s="17">
        <f t="shared" si="550"/>
        <v>1.9603697555881312</v>
      </c>
      <c r="O229" s="77" t="s">
        <v>105</v>
      </c>
      <c r="P229" s="25">
        <f t="shared" si="587"/>
        <v>143.49197153090574</v>
      </c>
      <c r="Q229" s="31">
        <f t="shared" si="588"/>
        <v>999.36597198633001</v>
      </c>
      <c r="R229" s="17">
        <f t="shared" si="589"/>
        <v>98151.927321600015</v>
      </c>
      <c r="S229" s="17">
        <v>146.80000000000001</v>
      </c>
      <c r="T229" s="27">
        <f t="shared" si="590"/>
        <v>284.76277777777773</v>
      </c>
      <c r="U229" s="77" t="s">
        <v>105</v>
      </c>
    </row>
    <row r="230" spans="1:21" x14ac:dyDescent="0.35">
      <c r="A230" s="6" t="s">
        <v>104</v>
      </c>
      <c r="B230" s="29" t="s">
        <v>167</v>
      </c>
      <c r="C230" s="4" t="s">
        <v>2356</v>
      </c>
      <c r="D230" s="12">
        <v>3</v>
      </c>
      <c r="E230" s="49">
        <v>0.55188999999999999</v>
      </c>
      <c r="F230">
        <v>52.86</v>
      </c>
      <c r="G230" s="12">
        <f t="shared" si="593"/>
        <v>11.588888888888889</v>
      </c>
      <c r="H230" s="98" t="s">
        <v>105</v>
      </c>
      <c r="I230" s="75">
        <v>736.2</v>
      </c>
      <c r="J230" s="17">
        <f t="shared" si="583"/>
        <v>29.9</v>
      </c>
      <c r="K230" s="34" t="e">
        <f t="shared" si="584"/>
        <v>#VALUE!</v>
      </c>
      <c r="L230" s="17">
        <f t="shared" si="585"/>
        <v>0.5</v>
      </c>
      <c r="M230" s="17">
        <f t="shared" si="586"/>
        <v>0.78993999999999998</v>
      </c>
      <c r="N230" s="17">
        <f t="shared" si="550"/>
        <v>1.9603697555881312</v>
      </c>
      <c r="O230" s="77" t="s">
        <v>105</v>
      </c>
      <c r="P230" s="25">
        <f t="shared" si="587"/>
        <v>114.18857614430794</v>
      </c>
      <c r="Q230" s="31">
        <f t="shared" si="588"/>
        <v>999.36887422381631</v>
      </c>
      <c r="R230" s="17">
        <f t="shared" si="589"/>
        <v>98151.927321600015</v>
      </c>
      <c r="S230" s="17">
        <v>147.80000000000001</v>
      </c>
      <c r="T230" s="27">
        <f t="shared" si="590"/>
        <v>284.73888888888888</v>
      </c>
      <c r="U230" s="77" t="s">
        <v>105</v>
      </c>
    </row>
    <row r="231" spans="1:21" x14ac:dyDescent="0.35">
      <c r="A231" s="6" t="s">
        <v>104</v>
      </c>
      <c r="B231" s="29" t="s">
        <v>9</v>
      </c>
      <c r="C231" s="4" t="s">
        <v>2365</v>
      </c>
      <c r="D231" s="12">
        <v>18</v>
      </c>
      <c r="E231" s="49">
        <v>6.5320000000000003E-2</v>
      </c>
      <c r="F231">
        <v>51.017000000000003</v>
      </c>
      <c r="G231" s="12">
        <f t="shared" si="593"/>
        <v>10.565000000000001</v>
      </c>
      <c r="H231" s="97" t="s">
        <v>105</v>
      </c>
      <c r="I231" s="75">
        <v>763.524</v>
      </c>
      <c r="J231" s="17">
        <f t="shared" ref="J231:J237" si="594">IF(D231=1, 32.2,IF(D231=2, 30.8, IF(D231=3, 29.9, IF(D231=4, 29.6, IF(D231=5, 29.9, IF(D231=6, 30.2, IF(D231=7, 30.4, IF(D231=8, 28, IF(D231=9, 32.2, IF(D231=10, 30.1, IF(D231=11, 30.1, IF(D231=12, 29.2, IF(D231=13, 30.8,IF(D231=14,29.3, IF(D231=15,30.2,IF(D231=16, 30.8,IF(D231=17,30.1,IF(D231=18,29.5,IF(D231=19,28.7,IF(D231=20,30.2,IF(D231=21,31.7, "NOT LISTED")))))))))))))))))))))</f>
        <v>29.5</v>
      </c>
      <c r="K231" s="34" t="e">
        <f t="shared" ref="K231:K237" si="595">J231*(H231-E231)</f>
        <v>#VALUE!</v>
      </c>
      <c r="L231" s="17">
        <f t="shared" si="585"/>
        <v>1</v>
      </c>
      <c r="M231" s="17">
        <f t="shared" si="586"/>
        <v>1.33</v>
      </c>
      <c r="N231" s="17">
        <f t="shared" si="550"/>
        <v>5.5571620888000011</v>
      </c>
      <c r="O231" s="77" t="s">
        <v>105</v>
      </c>
      <c r="P231" s="25">
        <f t="shared" ref="P231:P237" si="596">(J231*(2.5-E231))*N231</f>
        <v>399.13238613360778</v>
      </c>
      <c r="Q231" s="31">
        <f t="shared" ref="Q231" si="597">(999.83952+16.945176*G231-0.00798704*G231^2-0.000046170461*G231^3+0.00000010556302*G231^4-0.00000000028054253*G231^5)/(1+0.01689785*G231)</f>
        <v>999.48651390565226</v>
      </c>
      <c r="R231" s="17">
        <f t="shared" ref="R231" si="598">IF(I231="NA", 101325, I231*133.322368)</f>
        <v>101794.82770483202</v>
      </c>
      <c r="S231" s="17">
        <v>148.80000000000001</v>
      </c>
      <c r="T231" s="27">
        <f t="shared" ref="T231" si="599">G231+273.15</f>
        <v>283.71499999999997</v>
      </c>
      <c r="U231" s="77" t="s">
        <v>105</v>
      </c>
    </row>
    <row r="232" spans="1:21" x14ac:dyDescent="0.35">
      <c r="A232" s="6" t="s">
        <v>104</v>
      </c>
      <c r="B232" s="29" t="s">
        <v>18</v>
      </c>
      <c r="C232" s="4" t="s">
        <v>2368</v>
      </c>
      <c r="D232" s="12">
        <v>16</v>
      </c>
      <c r="E232" s="49">
        <v>1.3429999999999999E-2</v>
      </c>
      <c r="F232">
        <v>47.914000000000001</v>
      </c>
      <c r="G232" s="12">
        <f t="shared" si="593"/>
        <v>8.8411111111111111</v>
      </c>
      <c r="H232" s="97" t="s">
        <v>105</v>
      </c>
      <c r="I232" s="75">
        <v>763.524</v>
      </c>
      <c r="J232" s="17">
        <f t="shared" si="594"/>
        <v>30.8</v>
      </c>
      <c r="K232" s="34" t="e">
        <f t="shared" si="595"/>
        <v>#VALUE!</v>
      </c>
      <c r="L232" s="17">
        <f t="shared" ref="L232:L238" si="600">IF(OR(B232="P4",B232="P5",B232="EUS3",B232="EUS",B232="EUS2"),1,0.5)</f>
        <v>1</v>
      </c>
      <c r="M232" s="17">
        <f t="shared" ref="M232:M238" si="601">IF(L232 = 0.5, 0.78994,IF(L232=1, 1.33, "NOT LISTED"))</f>
        <v>1.33</v>
      </c>
      <c r="N232" s="17">
        <f t="shared" si="550"/>
        <v>5.5571620888000011</v>
      </c>
      <c r="O232" s="25" t="s">
        <v>105</v>
      </c>
      <c r="P232" s="25">
        <f t="shared" si="596"/>
        <v>425.60279408254047</v>
      </c>
      <c r="Q232" s="31"/>
      <c r="R232" s="17"/>
      <c r="S232" s="17"/>
      <c r="T232" s="27"/>
      <c r="U232" s="25" t="s">
        <v>105</v>
      </c>
    </row>
    <row r="233" spans="1:21" x14ac:dyDescent="0.35">
      <c r="A233" s="6" t="s">
        <v>104</v>
      </c>
      <c r="B233" s="29" t="s">
        <v>14</v>
      </c>
      <c r="C233" s="4" t="s">
        <v>2360</v>
      </c>
      <c r="D233" s="12">
        <v>5</v>
      </c>
      <c r="E233" s="49">
        <v>1.8929999999999999E-2</v>
      </c>
      <c r="F233">
        <v>48.938000000000002</v>
      </c>
      <c r="G233" s="12">
        <f t="shared" si="593"/>
        <v>9.4100000000000019</v>
      </c>
      <c r="H233" s="97">
        <v>2.4990000000000001</v>
      </c>
      <c r="I233" s="75">
        <v>763.524</v>
      </c>
      <c r="J233" s="17">
        <f t="shared" si="594"/>
        <v>29.9</v>
      </c>
      <c r="K233" s="34">
        <f t="shared" si="595"/>
        <v>74.154093000000003</v>
      </c>
      <c r="L233" s="17">
        <f t="shared" si="600"/>
        <v>1</v>
      </c>
      <c r="M233" s="17">
        <f t="shared" si="601"/>
        <v>1.33</v>
      </c>
      <c r="N233" s="17">
        <f t="shared" si="550"/>
        <v>5.5571620888000011</v>
      </c>
      <c r="O233" s="25">
        <f t="shared" ref="O233:O237" si="602">K233*N233</f>
        <v>412.08631434894954</v>
      </c>
      <c r="P233" s="25">
        <f t="shared" si="596"/>
        <v>412.25247349540456</v>
      </c>
      <c r="U233" s="25" t="e">
        <f t="shared" ref="U233:U237" si="603">(1+((Q233*S233/R233/100)*(1+0.01*K233)))*N233*(293/T233)</f>
        <v>#DIV/0!</v>
      </c>
    </row>
    <row r="234" spans="1:21" x14ac:dyDescent="0.35">
      <c r="A234" s="6" t="s">
        <v>104</v>
      </c>
      <c r="B234" s="29" t="s">
        <v>26</v>
      </c>
      <c r="C234" s="4" t="s">
        <v>2370</v>
      </c>
      <c r="D234" s="12">
        <v>14</v>
      </c>
      <c r="E234" s="49">
        <v>0</v>
      </c>
      <c r="F234">
        <v>49.914000000000001</v>
      </c>
      <c r="G234" s="12">
        <f t="shared" si="593"/>
        <v>9.9522222222222236</v>
      </c>
      <c r="H234" s="97" t="s">
        <v>105</v>
      </c>
      <c r="I234" s="75">
        <v>763.524</v>
      </c>
      <c r="J234" s="17">
        <f t="shared" si="594"/>
        <v>29.3</v>
      </c>
      <c r="K234" s="34" t="e">
        <f t="shared" si="595"/>
        <v>#VALUE!</v>
      </c>
      <c r="L234" s="17">
        <f t="shared" si="600"/>
        <v>0.5</v>
      </c>
      <c r="M234" s="17">
        <f t="shared" si="601"/>
        <v>0.78993999999999998</v>
      </c>
      <c r="N234" s="17">
        <f t="shared" si="550"/>
        <v>1.9603697555881312</v>
      </c>
      <c r="O234" s="25" t="s">
        <v>105</v>
      </c>
      <c r="P234" s="25">
        <f t="shared" si="596"/>
        <v>143.5970845968306</v>
      </c>
      <c r="U234" s="25" t="s">
        <v>105</v>
      </c>
    </row>
    <row r="235" spans="1:21" x14ac:dyDescent="0.35">
      <c r="A235" s="6" t="s">
        <v>104</v>
      </c>
      <c r="B235" s="29" t="s">
        <v>167</v>
      </c>
      <c r="C235" s="4" t="s">
        <v>2371</v>
      </c>
      <c r="D235" s="12">
        <v>3</v>
      </c>
      <c r="E235" s="49">
        <v>6.2269999999999999E-2</v>
      </c>
      <c r="F235">
        <v>50.841000000000001</v>
      </c>
      <c r="G235" s="12">
        <f t="shared" si="593"/>
        <v>10.467222222222222</v>
      </c>
      <c r="H235" s="97" t="s">
        <v>105</v>
      </c>
      <c r="I235" s="75">
        <v>763.524</v>
      </c>
      <c r="J235" s="17">
        <f t="shared" si="594"/>
        <v>29.9</v>
      </c>
      <c r="K235" s="34" t="e">
        <f t="shared" si="595"/>
        <v>#VALUE!</v>
      </c>
      <c r="L235" s="17">
        <f t="shared" si="600"/>
        <v>0.5</v>
      </c>
      <c r="M235" s="17">
        <f t="shared" si="601"/>
        <v>0.78993999999999998</v>
      </c>
      <c r="N235" s="17">
        <f t="shared" si="550"/>
        <v>1.9603697555881312</v>
      </c>
      <c r="O235" s="25" t="s">
        <v>105</v>
      </c>
      <c r="P235" s="25">
        <f t="shared" si="596"/>
        <v>142.88767971226667</v>
      </c>
      <c r="U235" s="25" t="s">
        <v>105</v>
      </c>
    </row>
    <row r="236" spans="1:21" x14ac:dyDescent="0.35">
      <c r="A236" s="6" t="s">
        <v>104</v>
      </c>
      <c r="B236" s="29" t="s">
        <v>25</v>
      </c>
      <c r="C236" s="4" t="s">
        <v>2379</v>
      </c>
      <c r="D236" s="12">
        <v>4</v>
      </c>
      <c r="E236" s="97" t="s">
        <v>105</v>
      </c>
      <c r="F236">
        <v>50</v>
      </c>
      <c r="G236" s="12">
        <f t="shared" si="593"/>
        <v>10</v>
      </c>
      <c r="H236" s="97" t="s">
        <v>105</v>
      </c>
      <c r="I236" s="75">
        <v>763.524</v>
      </c>
      <c r="J236" s="17">
        <f t="shared" si="594"/>
        <v>29.6</v>
      </c>
      <c r="K236" s="34" t="e">
        <f t="shared" si="595"/>
        <v>#VALUE!</v>
      </c>
      <c r="L236" s="17">
        <f t="shared" si="600"/>
        <v>0.5</v>
      </c>
      <c r="M236" s="17">
        <f t="shared" si="601"/>
        <v>0.78993999999999998</v>
      </c>
      <c r="N236" s="17">
        <f t="shared" si="550"/>
        <v>1.9603697555881312</v>
      </c>
      <c r="O236" s="25" t="s">
        <v>105</v>
      </c>
      <c r="P236" s="25" t="e">
        <f t="shared" si="596"/>
        <v>#VALUE!</v>
      </c>
      <c r="U236" s="25" t="s">
        <v>105</v>
      </c>
    </row>
    <row r="237" spans="1:21" x14ac:dyDescent="0.35">
      <c r="A237" s="6" t="s">
        <v>104</v>
      </c>
      <c r="B237" s="29" t="s">
        <v>60</v>
      </c>
      <c r="C237" s="4" t="s">
        <v>2362</v>
      </c>
      <c r="D237" s="12">
        <v>6</v>
      </c>
      <c r="E237" s="49">
        <v>5.9220000000000002E-2</v>
      </c>
      <c r="F237">
        <v>62.191000000000003</v>
      </c>
      <c r="G237" s="12">
        <f t="shared" si="593"/>
        <v>16.77277777777778</v>
      </c>
      <c r="H237" s="97">
        <v>2.4990000000000001</v>
      </c>
      <c r="I237" s="75">
        <v>762.76200000000006</v>
      </c>
      <c r="J237" s="17">
        <f t="shared" si="594"/>
        <v>30.2</v>
      </c>
      <c r="K237" s="34">
        <f t="shared" si="595"/>
        <v>73.681356000000008</v>
      </c>
      <c r="L237" s="17">
        <f t="shared" si="600"/>
        <v>0.5</v>
      </c>
      <c r="M237" s="17">
        <f t="shared" si="601"/>
        <v>0.78993999999999998</v>
      </c>
      <c r="N237" s="17">
        <f t="shared" si="550"/>
        <v>1.9603697555881312</v>
      </c>
      <c r="O237" s="25">
        <f t="shared" si="602"/>
        <v>144.44270185312209</v>
      </c>
      <c r="P237" s="25">
        <f t="shared" si="596"/>
        <v>144.50190501974086</v>
      </c>
      <c r="U237" s="25" t="e">
        <f t="shared" si="603"/>
        <v>#DIV/0!</v>
      </c>
    </row>
    <row r="238" spans="1:21" x14ac:dyDescent="0.35">
      <c r="A238" s="6" t="s">
        <v>104</v>
      </c>
      <c r="B238" s="29" t="s">
        <v>69</v>
      </c>
      <c r="C238" s="4" t="s">
        <v>2381</v>
      </c>
      <c r="D238" s="12">
        <v>19</v>
      </c>
      <c r="E238" s="49" t="s">
        <v>105</v>
      </c>
      <c r="F238">
        <v>62</v>
      </c>
      <c r="G238" s="12">
        <f t="shared" si="593"/>
        <v>16.666666666666668</v>
      </c>
      <c r="H238" s="49" t="s">
        <v>105</v>
      </c>
      <c r="I238" s="75">
        <v>762.76200000000006</v>
      </c>
      <c r="J238" s="17">
        <f t="shared" ref="J238" si="604">IF(D238=1, 32.2,IF(D238=2, 30.8, IF(D238=3, 29.9, IF(D238=4, 29.6, IF(D238=5, 29.9, IF(D238=6, 30.2, IF(D238=7, 30.4, IF(D238=8, 28, IF(D238=9, 32.2, IF(D238=10, 30.1, IF(D238=11, 30.1, IF(D238=12, 29.2, IF(D238=13, 30.8,IF(D238=14,29.3, IF(D238=15,30.2,IF(D238=16, 30.8,IF(D238=17,30.1,IF(D238=18,29.5,IF(D238=19,28.7,IF(D238=20,30.2,IF(D238=21,31.7, "NOT LISTED")))))))))))))))))))))</f>
        <v>28.7</v>
      </c>
      <c r="K238" s="34" t="e">
        <f t="shared" ref="K238" si="605">J238*(H238-E238)</f>
        <v>#VALUE!</v>
      </c>
      <c r="L238" s="17">
        <f t="shared" si="600"/>
        <v>0.5</v>
      </c>
      <c r="M238" s="17">
        <f t="shared" si="601"/>
        <v>0.78993999999999998</v>
      </c>
      <c r="N238" s="17">
        <f t="shared" si="550"/>
        <v>1.9603697555881312</v>
      </c>
      <c r="O238" s="25" t="e">
        <f t="shared" ref="O238" si="606">K238*N238</f>
        <v>#VALUE!</v>
      </c>
      <c r="P238" s="25" t="e">
        <f t="shared" ref="P238" si="607">(J238*(2.5-E238))*N238</f>
        <v>#VALUE!</v>
      </c>
      <c r="U238" s="25" t="e">
        <f t="shared" ref="U238" si="608">(1+((Q238*S238/R238/100)*(1+0.01*K238)))*N238*(293/T238)</f>
        <v>#DIV/0!</v>
      </c>
    </row>
  </sheetData>
  <dataValidations count="1">
    <dataValidation type="list" allowBlank="1" showInputMessage="1" showErrorMessage="1" promptTitle="circuitNumber" prompt="Select circuit number from dropdown list" sqref="D3:D1048576" xr:uid="{00000000-0002-0000-0100-000000000000}">
      <formula1>circuitNumbers</formula1>
    </dataValidation>
  </dataValidation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436"/>
  <sheetViews>
    <sheetView zoomScale="80" zoomScaleNormal="80" workbookViewId="0">
      <pane ySplit="1" topLeftCell="A2" activePane="bottomLeft" state="frozen"/>
      <selection pane="bottomLeft" activeCell="C16" sqref="C16"/>
    </sheetView>
  </sheetViews>
  <sheetFormatPr defaultRowHeight="14.5" x14ac:dyDescent="0.35"/>
  <cols>
    <col min="3" max="3" width="12.08984375" customWidth="1"/>
    <col min="4" max="4" width="18.1796875" customWidth="1"/>
    <col min="5" max="6" width="15.90625" customWidth="1"/>
    <col min="7" max="7" width="10.36328125" customWidth="1"/>
    <col min="10" max="10" width="11.08984375" customWidth="1"/>
    <col min="11" max="11" width="11.81640625" customWidth="1"/>
    <col min="12" max="12" width="33.08984375" customWidth="1"/>
    <col min="13" max="13" width="25.6328125" customWidth="1"/>
  </cols>
  <sheetData>
    <row r="1" spans="1:11" ht="29" x14ac:dyDescent="0.35">
      <c r="A1" s="1" t="s">
        <v>2</v>
      </c>
      <c r="B1" s="1" t="s">
        <v>1</v>
      </c>
      <c r="C1" s="3" t="s">
        <v>1071</v>
      </c>
      <c r="D1" s="106" t="s">
        <v>1075</v>
      </c>
      <c r="E1" s="25" t="s">
        <v>98</v>
      </c>
      <c r="F1" s="50" t="s">
        <v>115</v>
      </c>
      <c r="G1" s="24" t="s">
        <v>116</v>
      </c>
      <c r="H1" s="26" t="s">
        <v>99</v>
      </c>
      <c r="I1" s="24" t="s">
        <v>100</v>
      </c>
      <c r="J1" s="50" t="s">
        <v>101</v>
      </c>
      <c r="K1" s="50" t="s">
        <v>113</v>
      </c>
    </row>
    <row r="2" spans="1:11" x14ac:dyDescent="0.35">
      <c r="A2" s="51" t="s">
        <v>104</v>
      </c>
      <c r="B2" s="51" t="s">
        <v>26</v>
      </c>
      <c r="C2" s="4" t="s">
        <v>1072</v>
      </c>
      <c r="D2" s="44">
        <v>0.95</v>
      </c>
      <c r="E2" s="18">
        <v>25.72</v>
      </c>
      <c r="F2" s="44">
        <v>216.1</v>
      </c>
      <c r="G2" s="18">
        <v>17.61</v>
      </c>
      <c r="H2" s="27">
        <v>259</v>
      </c>
      <c r="I2" s="18">
        <v>6.66</v>
      </c>
      <c r="J2" s="44" t="s">
        <v>105</v>
      </c>
      <c r="K2" s="44">
        <v>21.1</v>
      </c>
    </row>
    <row r="3" spans="1:11" x14ac:dyDescent="0.35">
      <c r="A3" s="51" t="s">
        <v>104</v>
      </c>
      <c r="B3" s="51" t="s">
        <v>26</v>
      </c>
      <c r="C3" s="4" t="s">
        <v>1072</v>
      </c>
      <c r="D3" s="44">
        <v>37.11</v>
      </c>
      <c r="E3" s="18">
        <v>13.28</v>
      </c>
      <c r="F3" s="44">
        <v>3.8</v>
      </c>
      <c r="G3" s="18">
        <v>0.39</v>
      </c>
      <c r="H3" s="27">
        <v>275</v>
      </c>
      <c r="I3" s="18">
        <v>6.59</v>
      </c>
      <c r="J3" s="44" t="s">
        <v>105</v>
      </c>
      <c r="K3" s="44">
        <v>47</v>
      </c>
    </row>
    <row r="4" spans="1:11" x14ac:dyDescent="0.35">
      <c r="A4" s="51" t="s">
        <v>104</v>
      </c>
      <c r="B4" s="51" t="s">
        <v>9</v>
      </c>
      <c r="C4" s="4" t="s">
        <v>1072</v>
      </c>
      <c r="D4" s="44">
        <v>1.64</v>
      </c>
      <c r="E4" s="18">
        <v>25.7</v>
      </c>
      <c r="F4" s="44">
        <v>205.4</v>
      </c>
      <c r="G4" s="18">
        <v>16.09</v>
      </c>
      <c r="H4" s="27">
        <v>306</v>
      </c>
      <c r="I4" s="18">
        <v>11.36</v>
      </c>
      <c r="J4" s="44" t="s">
        <v>105</v>
      </c>
      <c r="K4" s="44">
        <v>43</v>
      </c>
    </row>
    <row r="5" spans="1:11" x14ac:dyDescent="0.35">
      <c r="A5" s="51" t="s">
        <v>104</v>
      </c>
      <c r="B5" s="51" t="s">
        <v>9</v>
      </c>
      <c r="C5" s="4" t="s">
        <v>1072</v>
      </c>
      <c r="D5" s="44">
        <v>7.2</v>
      </c>
      <c r="E5" s="18">
        <v>23.76</v>
      </c>
      <c r="F5" s="44">
        <v>57.1</v>
      </c>
      <c r="G5" s="18">
        <v>4.8</v>
      </c>
      <c r="H5" s="27">
        <v>318</v>
      </c>
      <c r="I5" s="18">
        <v>10.86</v>
      </c>
      <c r="J5" s="44" t="s">
        <v>105</v>
      </c>
      <c r="K5" s="44">
        <v>41.4</v>
      </c>
    </row>
    <row r="6" spans="1:11" x14ac:dyDescent="0.35">
      <c r="A6" s="51" t="s">
        <v>3</v>
      </c>
      <c r="B6" s="51" t="s">
        <v>119</v>
      </c>
      <c r="C6" s="4" t="s">
        <v>238</v>
      </c>
      <c r="D6" s="44">
        <v>5.82</v>
      </c>
      <c r="E6" s="18">
        <v>25.05</v>
      </c>
      <c r="F6" s="44">
        <v>146.19999999999999</v>
      </c>
      <c r="G6" s="18">
        <v>12.08</v>
      </c>
      <c r="H6" s="27">
        <v>438</v>
      </c>
      <c r="I6" s="18">
        <v>8.69</v>
      </c>
      <c r="J6" s="44" t="s">
        <v>105</v>
      </c>
      <c r="K6" s="44">
        <v>8.6999999999999993</v>
      </c>
    </row>
    <row r="7" spans="1:11" x14ac:dyDescent="0.35">
      <c r="A7" s="51" t="s">
        <v>3</v>
      </c>
      <c r="B7" s="51" t="s">
        <v>119</v>
      </c>
      <c r="C7" s="4" t="s">
        <v>238</v>
      </c>
      <c r="D7" s="44">
        <v>9.11</v>
      </c>
      <c r="E7" s="18">
        <v>24.89</v>
      </c>
      <c r="F7" s="44">
        <v>121.5</v>
      </c>
      <c r="G7" s="18">
        <v>10.039999999999999</v>
      </c>
      <c r="H7" s="27">
        <v>441</v>
      </c>
      <c r="I7" s="18">
        <v>8.5299999999999994</v>
      </c>
      <c r="J7" s="44" t="s">
        <v>105</v>
      </c>
      <c r="K7" s="44">
        <v>7.7</v>
      </c>
    </row>
    <row r="8" spans="1:11" x14ac:dyDescent="0.35">
      <c r="A8" s="51" t="s">
        <v>3</v>
      </c>
      <c r="B8" s="51" t="s">
        <v>119</v>
      </c>
      <c r="C8" s="4" t="s">
        <v>238</v>
      </c>
      <c r="D8" s="44">
        <v>12.42</v>
      </c>
      <c r="E8" s="18">
        <v>24.82</v>
      </c>
      <c r="F8" s="44">
        <v>107.3</v>
      </c>
      <c r="G8" s="18">
        <v>8.93</v>
      </c>
      <c r="H8" s="27">
        <v>443</v>
      </c>
      <c r="I8" s="18">
        <v>8.3800000000000008</v>
      </c>
      <c r="J8" s="44" t="s">
        <v>105</v>
      </c>
      <c r="K8" s="44">
        <v>8.1</v>
      </c>
    </row>
    <row r="9" spans="1:11" x14ac:dyDescent="0.35">
      <c r="A9" s="51" t="s">
        <v>3</v>
      </c>
      <c r="B9" s="51" t="s">
        <v>119</v>
      </c>
      <c r="C9" s="4" t="s">
        <v>238</v>
      </c>
      <c r="D9" s="44">
        <v>15.68</v>
      </c>
      <c r="E9" s="18">
        <v>23.69</v>
      </c>
      <c r="F9" s="44">
        <v>50.6</v>
      </c>
      <c r="G9" s="18">
        <v>4.28</v>
      </c>
      <c r="H9" s="27">
        <v>451</v>
      </c>
      <c r="I9" s="18">
        <v>7.97</v>
      </c>
      <c r="J9" s="44" t="s">
        <v>105</v>
      </c>
      <c r="K9" s="44">
        <v>6.7</v>
      </c>
    </row>
    <row r="10" spans="1:11" x14ac:dyDescent="0.35">
      <c r="A10" s="51" t="s">
        <v>3</v>
      </c>
      <c r="B10" s="51" t="s">
        <v>119</v>
      </c>
      <c r="C10" s="4" t="s">
        <v>238</v>
      </c>
      <c r="D10" s="44">
        <v>19.02</v>
      </c>
      <c r="E10" s="18">
        <v>23.19</v>
      </c>
      <c r="F10" s="44">
        <v>33.700000000000003</v>
      </c>
      <c r="G10" s="18">
        <v>2.88</v>
      </c>
      <c r="H10" s="27">
        <v>450</v>
      </c>
      <c r="I10" s="18">
        <v>7.79</v>
      </c>
      <c r="J10" s="44" t="s">
        <v>105</v>
      </c>
      <c r="K10" s="44">
        <v>6.6</v>
      </c>
    </row>
    <row r="11" spans="1:11" x14ac:dyDescent="0.35">
      <c r="A11" s="51" t="s">
        <v>3</v>
      </c>
      <c r="B11" s="51" t="s">
        <v>119</v>
      </c>
      <c r="C11" s="4" t="s">
        <v>238</v>
      </c>
      <c r="D11" s="44">
        <v>22.2</v>
      </c>
      <c r="E11" s="18">
        <v>21.75</v>
      </c>
      <c r="F11" s="44">
        <v>7.6</v>
      </c>
      <c r="G11" s="18">
        <v>0.68</v>
      </c>
      <c r="H11" s="27">
        <v>430</v>
      </c>
      <c r="I11" s="18">
        <v>7.66</v>
      </c>
      <c r="J11" s="44" t="s">
        <v>105</v>
      </c>
      <c r="K11" s="44">
        <v>7.4</v>
      </c>
    </row>
    <row r="12" spans="1:11" x14ac:dyDescent="0.35">
      <c r="A12" s="51" t="s">
        <v>3</v>
      </c>
      <c r="B12" s="51" t="s">
        <v>119</v>
      </c>
      <c r="C12" s="4" t="s">
        <v>238</v>
      </c>
      <c r="D12" s="44">
        <v>25.5</v>
      </c>
      <c r="E12" s="18">
        <v>20.04</v>
      </c>
      <c r="F12" s="44">
        <v>1.2</v>
      </c>
      <c r="G12" s="18">
        <v>0.11</v>
      </c>
      <c r="H12" s="27">
        <v>475</v>
      </c>
      <c r="I12" s="18">
        <v>7.63</v>
      </c>
      <c r="J12" s="44" t="s">
        <v>105</v>
      </c>
      <c r="K12" s="44">
        <v>7.4</v>
      </c>
    </row>
    <row r="13" spans="1:11" x14ac:dyDescent="0.35">
      <c r="A13" s="51" t="s">
        <v>3</v>
      </c>
      <c r="B13" s="51" t="s">
        <v>119</v>
      </c>
      <c r="C13" s="4" t="s">
        <v>238</v>
      </c>
      <c r="D13" s="44">
        <v>28.74</v>
      </c>
      <c r="E13" s="18">
        <v>18.71</v>
      </c>
      <c r="F13" s="44">
        <v>1.1000000000000001</v>
      </c>
      <c r="G13" s="18">
        <v>0.1</v>
      </c>
      <c r="H13" s="27">
        <v>500</v>
      </c>
      <c r="I13" s="18">
        <v>7.6</v>
      </c>
      <c r="J13" s="44" t="s">
        <v>105</v>
      </c>
      <c r="K13" s="44">
        <v>4.3</v>
      </c>
    </row>
    <row r="14" spans="1:11" x14ac:dyDescent="0.35">
      <c r="A14" s="51" t="s">
        <v>3</v>
      </c>
      <c r="B14" s="51" t="s">
        <v>119</v>
      </c>
      <c r="C14" s="4" t="s">
        <v>238</v>
      </c>
      <c r="D14" s="44">
        <v>31.97</v>
      </c>
      <c r="E14" s="18">
        <v>17.760000000000002</v>
      </c>
      <c r="F14" s="44">
        <v>1.2</v>
      </c>
      <c r="G14" s="18">
        <v>0.11</v>
      </c>
      <c r="H14" s="27">
        <v>508</v>
      </c>
      <c r="I14" s="18">
        <v>7.57</v>
      </c>
      <c r="J14" s="44" t="s">
        <v>105</v>
      </c>
      <c r="K14" s="44">
        <v>3.29</v>
      </c>
    </row>
    <row r="15" spans="1:11" x14ac:dyDescent="0.35">
      <c r="A15" s="51" t="s">
        <v>3</v>
      </c>
      <c r="B15" s="51" t="s">
        <v>119</v>
      </c>
      <c r="C15" s="4" t="s">
        <v>238</v>
      </c>
      <c r="D15" s="44">
        <v>35.4</v>
      </c>
      <c r="E15" s="18">
        <v>17.16</v>
      </c>
      <c r="F15" s="44">
        <v>1.4</v>
      </c>
      <c r="G15" s="18">
        <v>0.13</v>
      </c>
      <c r="H15" s="27">
        <v>513</v>
      </c>
      <c r="I15" s="18">
        <v>7.56</v>
      </c>
      <c r="J15" s="44" t="s">
        <v>105</v>
      </c>
      <c r="K15" s="44">
        <v>2.6</v>
      </c>
    </row>
    <row r="16" spans="1:11" x14ac:dyDescent="0.35">
      <c r="A16" s="51" t="s">
        <v>104</v>
      </c>
      <c r="B16" s="51" t="s">
        <v>25</v>
      </c>
      <c r="C16" s="4" t="s">
        <v>1073</v>
      </c>
      <c r="D16" s="44">
        <v>1.002</v>
      </c>
      <c r="E16" s="18">
        <v>24.78</v>
      </c>
      <c r="F16" s="44">
        <v>108.1</v>
      </c>
      <c r="G16" s="18">
        <v>8.9600000000000009</v>
      </c>
      <c r="H16" s="27">
        <v>269</v>
      </c>
      <c r="I16" s="18">
        <v>8.64</v>
      </c>
      <c r="J16" s="44" t="s">
        <v>105</v>
      </c>
      <c r="K16" s="44">
        <v>8.8000000000000007</v>
      </c>
    </row>
    <row r="17" spans="1:11" x14ac:dyDescent="0.35">
      <c r="A17" s="51" t="s">
        <v>104</v>
      </c>
      <c r="B17" s="51" t="s">
        <v>25</v>
      </c>
      <c r="C17" s="4" t="s">
        <v>1073</v>
      </c>
      <c r="D17" s="44">
        <v>33.103999999999999</v>
      </c>
      <c r="E17" s="18">
        <v>19.98</v>
      </c>
      <c r="F17" s="44">
        <v>38.299999999999997</v>
      </c>
      <c r="G17" s="18">
        <v>3.42</v>
      </c>
      <c r="H17" s="27">
        <v>222</v>
      </c>
      <c r="I17" s="18">
        <v>8.08</v>
      </c>
      <c r="J17" s="44" t="s">
        <v>105</v>
      </c>
      <c r="K17" s="44">
        <v>59</v>
      </c>
    </row>
    <row r="18" spans="1:11" x14ac:dyDescent="0.35">
      <c r="A18" s="51" t="s">
        <v>104</v>
      </c>
      <c r="B18" s="51" t="s">
        <v>26</v>
      </c>
      <c r="C18" s="4" t="s">
        <v>1073</v>
      </c>
      <c r="D18" s="44">
        <v>1.1160000000000001</v>
      </c>
      <c r="E18" s="18">
        <v>26.17</v>
      </c>
      <c r="F18" s="44">
        <v>113.2</v>
      </c>
      <c r="G18" s="18">
        <v>9.0190000000000001</v>
      </c>
      <c r="H18" s="27">
        <v>259</v>
      </c>
      <c r="I18" s="18">
        <v>8.76</v>
      </c>
      <c r="J18" s="44" t="s">
        <v>105</v>
      </c>
      <c r="K18" s="44">
        <v>6.7</v>
      </c>
    </row>
    <row r="19" spans="1:11" x14ac:dyDescent="0.35">
      <c r="A19" s="51" t="s">
        <v>104</v>
      </c>
      <c r="B19" s="51" t="s">
        <v>26</v>
      </c>
      <c r="C19" s="4" t="s">
        <v>1073</v>
      </c>
      <c r="D19" s="44">
        <v>41.03</v>
      </c>
      <c r="E19" s="18">
        <v>17.920000000000002</v>
      </c>
      <c r="F19" s="44">
        <v>7.6</v>
      </c>
      <c r="G19" s="18">
        <v>0.61</v>
      </c>
      <c r="H19" s="27">
        <v>253</v>
      </c>
      <c r="I19" s="18">
        <v>7.84</v>
      </c>
      <c r="J19" s="44" t="s">
        <v>105</v>
      </c>
      <c r="K19" s="44">
        <v>36.299999999999997</v>
      </c>
    </row>
    <row r="20" spans="1:11" x14ac:dyDescent="0.35">
      <c r="A20" s="51" t="s">
        <v>104</v>
      </c>
      <c r="B20" s="51" t="s">
        <v>167</v>
      </c>
      <c r="C20" s="4" t="s">
        <v>1073</v>
      </c>
      <c r="D20" s="44">
        <v>1.03</v>
      </c>
      <c r="E20" s="18">
        <v>26.03</v>
      </c>
      <c r="F20" s="44">
        <v>132.9</v>
      </c>
      <c r="G20" s="18">
        <v>10.76</v>
      </c>
      <c r="H20" s="27">
        <v>264</v>
      </c>
      <c r="I20" s="18">
        <v>8.81</v>
      </c>
      <c r="J20" s="44" t="s">
        <v>105</v>
      </c>
      <c r="K20" s="44">
        <v>10.4</v>
      </c>
    </row>
    <row r="21" spans="1:11" x14ac:dyDescent="0.35">
      <c r="A21" s="51" t="s">
        <v>104</v>
      </c>
      <c r="B21" s="51" t="s">
        <v>167</v>
      </c>
      <c r="C21" s="4" t="s">
        <v>1073</v>
      </c>
      <c r="D21" s="44">
        <v>31.04</v>
      </c>
      <c r="E21" s="18">
        <v>20.07</v>
      </c>
      <c r="F21" s="44">
        <v>44.9</v>
      </c>
      <c r="G21" s="18">
        <v>4.0599999999999996</v>
      </c>
      <c r="H21" s="27">
        <v>224</v>
      </c>
      <c r="I21" s="18">
        <v>7.92</v>
      </c>
      <c r="J21" s="44" t="s">
        <v>105</v>
      </c>
      <c r="K21" s="44">
        <v>76.2</v>
      </c>
    </row>
    <row r="22" spans="1:11" x14ac:dyDescent="0.35">
      <c r="A22" s="51" t="s">
        <v>104</v>
      </c>
      <c r="B22" s="51" t="s">
        <v>153</v>
      </c>
      <c r="C22" s="4" t="s">
        <v>1073</v>
      </c>
      <c r="D22" s="44">
        <v>0.93799999999999994</v>
      </c>
      <c r="E22" s="18">
        <v>22.01</v>
      </c>
      <c r="F22" s="44">
        <v>83.6</v>
      </c>
      <c r="G22" s="18">
        <v>7.38</v>
      </c>
      <c r="H22" s="27">
        <v>194</v>
      </c>
      <c r="I22" s="18">
        <v>7.92</v>
      </c>
      <c r="J22" s="44" t="s">
        <v>105</v>
      </c>
      <c r="K22" s="44">
        <v>106.7</v>
      </c>
    </row>
    <row r="23" spans="1:11" x14ac:dyDescent="0.35">
      <c r="A23" s="51" t="s">
        <v>104</v>
      </c>
      <c r="B23" s="51" t="s">
        <v>153</v>
      </c>
      <c r="C23" s="4" t="s">
        <v>1073</v>
      </c>
      <c r="D23" s="44">
        <v>11.090999999999999</v>
      </c>
      <c r="E23" s="18">
        <v>19.8</v>
      </c>
      <c r="F23" s="44">
        <v>82.3</v>
      </c>
      <c r="G23" s="18">
        <v>7.5</v>
      </c>
      <c r="H23" s="27">
        <v>176</v>
      </c>
      <c r="I23" s="18">
        <v>7.96</v>
      </c>
      <c r="J23" s="44" t="s">
        <v>105</v>
      </c>
      <c r="K23" s="44">
        <v>121.2</v>
      </c>
    </row>
    <row r="24" spans="1:11" x14ac:dyDescent="0.35">
      <c r="A24" s="51" t="s">
        <v>104</v>
      </c>
      <c r="B24" s="51" t="s">
        <v>18</v>
      </c>
      <c r="C24" s="4" t="s">
        <v>1073</v>
      </c>
      <c r="D24" s="44">
        <v>0.91200000000000003</v>
      </c>
      <c r="E24" s="18">
        <v>25.56</v>
      </c>
      <c r="F24" s="44">
        <v>112.3</v>
      </c>
      <c r="G24" s="18">
        <v>9.2100000000000009</v>
      </c>
      <c r="H24" s="27">
        <v>268</v>
      </c>
      <c r="I24" s="18">
        <v>8.5500000000000007</v>
      </c>
      <c r="J24" s="44" t="s">
        <v>105</v>
      </c>
      <c r="K24" s="44">
        <v>15</v>
      </c>
    </row>
    <row r="25" spans="1:11" x14ac:dyDescent="0.35">
      <c r="A25" s="51" t="s">
        <v>104</v>
      </c>
      <c r="B25" s="51" t="s">
        <v>18</v>
      </c>
      <c r="C25" s="4" t="s">
        <v>1073</v>
      </c>
      <c r="D25" s="44">
        <v>11.94</v>
      </c>
      <c r="E25" s="18">
        <v>19.87</v>
      </c>
      <c r="F25" s="44">
        <v>82.4</v>
      </c>
      <c r="G25" s="18">
        <v>7.47</v>
      </c>
      <c r="H25" s="27">
        <v>186</v>
      </c>
      <c r="I25" s="18">
        <v>8.27</v>
      </c>
      <c r="J25" s="44" t="s">
        <v>105</v>
      </c>
      <c r="K25" s="44">
        <v>118.7</v>
      </c>
    </row>
    <row r="26" spans="1:11" x14ac:dyDescent="0.35">
      <c r="A26" s="51" t="s">
        <v>104</v>
      </c>
      <c r="B26" s="51" t="s">
        <v>9</v>
      </c>
      <c r="C26" s="4" t="s">
        <v>1073</v>
      </c>
      <c r="D26" s="44">
        <v>0.93500000000000005</v>
      </c>
      <c r="E26" s="18">
        <v>20.05</v>
      </c>
      <c r="F26" s="44">
        <v>83.4</v>
      </c>
      <c r="G26" s="18">
        <v>7.59</v>
      </c>
      <c r="H26" s="27">
        <v>180</v>
      </c>
      <c r="I26" s="18">
        <v>8.06</v>
      </c>
      <c r="J26" s="44" t="s">
        <v>105</v>
      </c>
      <c r="K26" s="44">
        <v>116.9</v>
      </c>
    </row>
    <row r="27" spans="1:11" x14ac:dyDescent="0.35">
      <c r="A27" s="51" t="s">
        <v>104</v>
      </c>
      <c r="B27" s="51" t="s">
        <v>9</v>
      </c>
      <c r="C27" s="4" t="s">
        <v>1073</v>
      </c>
      <c r="D27" s="44">
        <v>12.2</v>
      </c>
      <c r="E27" s="18">
        <v>19.760000000000002</v>
      </c>
      <c r="F27" s="44">
        <v>82.3</v>
      </c>
      <c r="G27" s="18">
        <v>7.51</v>
      </c>
      <c r="H27" s="27">
        <v>177</v>
      </c>
      <c r="I27" s="18">
        <v>8.34</v>
      </c>
      <c r="J27" s="44" t="s">
        <v>105</v>
      </c>
      <c r="K27" s="44">
        <v>123.1</v>
      </c>
    </row>
    <row r="28" spans="1:11" x14ac:dyDescent="0.35">
      <c r="A28" s="51" t="s">
        <v>104</v>
      </c>
      <c r="B28" s="51" t="s">
        <v>64</v>
      </c>
      <c r="C28" s="4" t="s">
        <v>296</v>
      </c>
      <c r="D28" s="44">
        <v>1.1870000000000001</v>
      </c>
      <c r="E28" s="18">
        <v>26.62</v>
      </c>
      <c r="F28" s="44">
        <v>24.5</v>
      </c>
      <c r="G28" s="18">
        <v>18.079999999999998</v>
      </c>
      <c r="H28" s="27">
        <v>234</v>
      </c>
      <c r="I28" s="18">
        <v>9.68</v>
      </c>
      <c r="J28" s="44" t="s">
        <v>105</v>
      </c>
      <c r="K28" s="44">
        <v>15.8</v>
      </c>
    </row>
    <row r="29" spans="1:11" x14ac:dyDescent="0.35">
      <c r="A29" s="51" t="s">
        <v>104</v>
      </c>
      <c r="B29" s="51" t="s">
        <v>64</v>
      </c>
      <c r="C29" s="4" t="s">
        <v>296</v>
      </c>
      <c r="D29" s="44">
        <v>43.917000000000002</v>
      </c>
      <c r="E29" s="18">
        <v>19.2</v>
      </c>
      <c r="F29" s="44">
        <v>4.2</v>
      </c>
      <c r="G29" s="18">
        <v>0.38</v>
      </c>
      <c r="H29" s="27">
        <v>245</v>
      </c>
      <c r="I29" s="18">
        <v>7.99</v>
      </c>
      <c r="J29" s="44" t="s">
        <v>105</v>
      </c>
      <c r="K29" s="44">
        <v>36</v>
      </c>
    </row>
    <row r="30" spans="1:11" x14ac:dyDescent="0.35">
      <c r="A30" s="51" t="s">
        <v>104</v>
      </c>
      <c r="B30" s="51" t="s">
        <v>69</v>
      </c>
      <c r="C30" s="4" t="s">
        <v>296</v>
      </c>
      <c r="D30" s="44">
        <v>0.56299999999999994</v>
      </c>
      <c r="E30" s="18">
        <v>26.99</v>
      </c>
      <c r="F30" s="44">
        <v>243.2</v>
      </c>
      <c r="G30" s="18">
        <v>19.37</v>
      </c>
      <c r="H30" s="27">
        <v>234</v>
      </c>
      <c r="I30" s="18">
        <v>9.83</v>
      </c>
      <c r="J30" s="44" t="s">
        <v>105</v>
      </c>
      <c r="K30" s="44">
        <v>19.899999999999999</v>
      </c>
    </row>
    <row r="31" spans="1:11" x14ac:dyDescent="0.35">
      <c r="A31" s="51" t="s">
        <v>104</v>
      </c>
      <c r="B31" s="51" t="s">
        <v>69</v>
      </c>
      <c r="C31" s="4" t="s">
        <v>296</v>
      </c>
      <c r="D31" s="44">
        <v>21.25</v>
      </c>
      <c r="E31" s="18">
        <v>13.22</v>
      </c>
      <c r="F31" s="44">
        <v>18.5</v>
      </c>
      <c r="G31" s="18">
        <v>1.94</v>
      </c>
      <c r="H31" s="27">
        <v>266</v>
      </c>
      <c r="I31" s="18">
        <v>8.18</v>
      </c>
      <c r="J31" s="44" t="s">
        <v>105</v>
      </c>
      <c r="K31" s="44">
        <v>12.5</v>
      </c>
    </row>
    <row r="32" spans="1:11" x14ac:dyDescent="0.35">
      <c r="A32" s="51" t="s">
        <v>104</v>
      </c>
      <c r="B32" s="51" t="s">
        <v>60</v>
      </c>
      <c r="C32" s="4" t="s">
        <v>296</v>
      </c>
      <c r="D32" s="44">
        <v>0.3</v>
      </c>
      <c r="E32" s="18">
        <v>25.47</v>
      </c>
      <c r="F32" s="44" t="s">
        <v>105</v>
      </c>
      <c r="G32" s="44" t="s">
        <v>105</v>
      </c>
      <c r="H32" s="44" t="s">
        <v>105</v>
      </c>
      <c r="I32" s="44" t="s">
        <v>105</v>
      </c>
      <c r="J32" s="44" t="s">
        <v>105</v>
      </c>
      <c r="K32" s="44" t="s">
        <v>105</v>
      </c>
    </row>
    <row r="33" spans="1:11" x14ac:dyDescent="0.35">
      <c r="A33" s="51" t="s">
        <v>104</v>
      </c>
      <c r="B33" s="51" t="s">
        <v>60</v>
      </c>
      <c r="C33" s="4" t="s">
        <v>296</v>
      </c>
      <c r="D33" s="44">
        <v>3.28</v>
      </c>
      <c r="E33" s="18">
        <v>25.47</v>
      </c>
      <c r="F33" s="44">
        <v>207.4</v>
      </c>
      <c r="G33" s="18">
        <v>16.98</v>
      </c>
      <c r="H33" s="27">
        <v>232</v>
      </c>
      <c r="I33" s="18">
        <v>9.6</v>
      </c>
      <c r="J33" s="44" t="s">
        <v>105</v>
      </c>
      <c r="K33" s="44">
        <v>17.3</v>
      </c>
    </row>
    <row r="34" spans="1:11" x14ac:dyDescent="0.35">
      <c r="A34" s="51" t="s">
        <v>104</v>
      </c>
      <c r="B34" s="51" t="s">
        <v>60</v>
      </c>
      <c r="C34" s="4" t="s">
        <v>296</v>
      </c>
      <c r="D34" s="44">
        <v>14.11</v>
      </c>
      <c r="E34" s="18">
        <v>23.72</v>
      </c>
      <c r="F34" s="44">
        <v>15.8</v>
      </c>
      <c r="G34" s="18">
        <v>1.34</v>
      </c>
      <c r="H34" s="27">
        <v>249</v>
      </c>
      <c r="I34" s="18">
        <v>7.78</v>
      </c>
      <c r="J34" s="44" t="s">
        <v>105</v>
      </c>
      <c r="K34" s="44">
        <v>3.1</v>
      </c>
    </row>
    <row r="35" spans="1:11" x14ac:dyDescent="0.35">
      <c r="A35" s="51" t="s">
        <v>104</v>
      </c>
      <c r="B35" s="51" t="s">
        <v>60</v>
      </c>
      <c r="C35" s="4" t="s">
        <v>296</v>
      </c>
      <c r="D35" s="44">
        <v>24.93</v>
      </c>
      <c r="E35" s="18">
        <v>22.21</v>
      </c>
      <c r="F35" s="44">
        <v>1.7</v>
      </c>
      <c r="G35" s="18">
        <v>0.15</v>
      </c>
      <c r="H35" s="27">
        <v>249</v>
      </c>
      <c r="I35" s="18">
        <v>7.65</v>
      </c>
      <c r="J35" s="44" t="s">
        <v>105</v>
      </c>
      <c r="K35" s="44">
        <v>5</v>
      </c>
    </row>
    <row r="36" spans="1:11" x14ac:dyDescent="0.35">
      <c r="A36" s="51" t="s">
        <v>104</v>
      </c>
      <c r="B36" s="51" t="s">
        <v>60</v>
      </c>
      <c r="C36" s="4" t="s">
        <v>296</v>
      </c>
      <c r="D36" s="44">
        <v>35.76</v>
      </c>
      <c r="E36" s="18">
        <v>20.68</v>
      </c>
      <c r="F36" s="44">
        <v>1.7</v>
      </c>
      <c r="G36" s="18">
        <v>0.16</v>
      </c>
      <c r="H36" s="27">
        <v>244</v>
      </c>
      <c r="I36" s="18">
        <v>7.67</v>
      </c>
      <c r="J36" s="44" t="s">
        <v>105</v>
      </c>
      <c r="K36" s="44">
        <v>6.4</v>
      </c>
    </row>
    <row r="37" spans="1:11" x14ac:dyDescent="0.35">
      <c r="A37" s="51" t="s">
        <v>104</v>
      </c>
      <c r="B37" s="51" t="s">
        <v>60</v>
      </c>
      <c r="C37" s="4" t="s">
        <v>296</v>
      </c>
      <c r="D37" s="44">
        <v>46.59</v>
      </c>
      <c r="E37" s="18">
        <v>17.54</v>
      </c>
      <c r="F37" s="44">
        <v>1.6</v>
      </c>
      <c r="G37" s="18">
        <v>0.15</v>
      </c>
      <c r="H37" s="27">
        <v>235</v>
      </c>
      <c r="I37" s="18">
        <v>7.72</v>
      </c>
      <c r="J37" s="44" t="s">
        <v>105</v>
      </c>
      <c r="K37" s="44">
        <v>13.1</v>
      </c>
    </row>
    <row r="38" spans="1:11" x14ac:dyDescent="0.35">
      <c r="A38" s="51" t="s">
        <v>104</v>
      </c>
      <c r="B38" s="51" t="s">
        <v>60</v>
      </c>
      <c r="C38" s="4" t="s">
        <v>296</v>
      </c>
      <c r="D38" s="44">
        <v>57.41</v>
      </c>
      <c r="E38" s="18">
        <v>14.53</v>
      </c>
      <c r="F38" s="44">
        <v>1.4</v>
      </c>
      <c r="G38" s="18">
        <v>0.14000000000000001</v>
      </c>
      <c r="H38" s="27">
        <v>225</v>
      </c>
      <c r="I38" s="18">
        <v>7.75</v>
      </c>
      <c r="J38" s="44" t="s">
        <v>105</v>
      </c>
      <c r="K38" s="44">
        <v>13.4</v>
      </c>
    </row>
    <row r="39" spans="1:11" x14ac:dyDescent="0.35">
      <c r="A39" s="51" t="s">
        <v>104</v>
      </c>
      <c r="B39" s="51" t="s">
        <v>60</v>
      </c>
      <c r="C39" s="4" t="s">
        <v>296</v>
      </c>
      <c r="D39" s="44">
        <v>68.239999999999995</v>
      </c>
      <c r="E39" s="18">
        <v>13.36</v>
      </c>
      <c r="F39" s="44">
        <v>1.8</v>
      </c>
      <c r="G39" s="18">
        <v>0.19</v>
      </c>
      <c r="H39" s="27">
        <v>234</v>
      </c>
      <c r="I39" s="18">
        <v>7.8</v>
      </c>
      <c r="J39" s="44" t="s">
        <v>105</v>
      </c>
      <c r="K39" s="44">
        <v>11.6</v>
      </c>
    </row>
    <row r="40" spans="1:11" x14ac:dyDescent="0.35">
      <c r="A40" s="51" t="s">
        <v>104</v>
      </c>
      <c r="B40" s="51" t="s">
        <v>60</v>
      </c>
      <c r="C40" s="4" t="s">
        <v>296</v>
      </c>
      <c r="D40" s="44">
        <v>79</v>
      </c>
      <c r="E40" s="18">
        <v>12.54</v>
      </c>
      <c r="F40" s="44">
        <v>2.2000000000000002</v>
      </c>
      <c r="G40" s="18">
        <v>0.23</v>
      </c>
      <c r="H40" s="27">
        <v>239</v>
      </c>
      <c r="I40" s="18">
        <v>7.86</v>
      </c>
      <c r="J40" s="44" t="s">
        <v>105</v>
      </c>
      <c r="K40" s="44">
        <v>11.4</v>
      </c>
    </row>
    <row r="41" spans="1:11" x14ac:dyDescent="0.35">
      <c r="A41" s="51" t="s">
        <v>104</v>
      </c>
      <c r="B41" s="51" t="s">
        <v>60</v>
      </c>
      <c r="C41" s="4" t="s">
        <v>296</v>
      </c>
      <c r="D41" s="44">
        <v>89.9</v>
      </c>
      <c r="E41" s="18">
        <v>11.38</v>
      </c>
      <c r="F41" s="44">
        <v>3.7</v>
      </c>
      <c r="G41" s="18">
        <v>0.4</v>
      </c>
      <c r="H41" s="27">
        <v>239</v>
      </c>
      <c r="I41" s="18">
        <v>7.96</v>
      </c>
      <c r="J41" s="44" t="s">
        <v>105</v>
      </c>
      <c r="K41" s="44">
        <v>13.9</v>
      </c>
    </row>
    <row r="42" spans="1:11" x14ac:dyDescent="0.35">
      <c r="A42" s="51" t="s">
        <v>104</v>
      </c>
      <c r="B42" s="51" t="s">
        <v>60</v>
      </c>
      <c r="C42" s="4" t="s">
        <v>296</v>
      </c>
      <c r="D42" s="44">
        <v>100.72</v>
      </c>
      <c r="E42" s="18">
        <v>10.119999999999999</v>
      </c>
      <c r="F42" s="44">
        <v>7.7</v>
      </c>
      <c r="G42" s="18">
        <v>0.87</v>
      </c>
      <c r="H42" s="27">
        <v>252</v>
      </c>
      <c r="I42" s="18">
        <v>8.0500000000000007</v>
      </c>
      <c r="J42" s="44" t="s">
        <v>105</v>
      </c>
      <c r="K42" s="44">
        <v>28.9</v>
      </c>
    </row>
    <row r="43" spans="1:11" x14ac:dyDescent="0.35">
      <c r="A43" s="51" t="s">
        <v>3</v>
      </c>
      <c r="B43" s="51" t="s">
        <v>119</v>
      </c>
      <c r="C43" s="4" t="s">
        <v>1074</v>
      </c>
      <c r="D43" s="44">
        <v>0.11799999999999999</v>
      </c>
      <c r="E43" s="18">
        <v>23.48</v>
      </c>
      <c r="F43" s="44">
        <v>91</v>
      </c>
      <c r="G43" s="18">
        <v>7.72</v>
      </c>
      <c r="H43" s="27">
        <v>441</v>
      </c>
      <c r="I43" s="18">
        <v>8.51</v>
      </c>
      <c r="J43" s="44" t="s">
        <v>105</v>
      </c>
      <c r="K43" s="44">
        <v>2.9</v>
      </c>
    </row>
    <row r="44" spans="1:11" x14ac:dyDescent="0.35">
      <c r="A44" s="51" t="s">
        <v>3</v>
      </c>
      <c r="B44" s="51" t="s">
        <v>119</v>
      </c>
      <c r="C44" s="4" t="s">
        <v>1074</v>
      </c>
      <c r="D44" s="44">
        <v>29.95</v>
      </c>
      <c r="E44" s="18">
        <v>20.350000000000001</v>
      </c>
      <c r="F44" s="44">
        <v>4.8</v>
      </c>
      <c r="G44" s="18">
        <v>0.42</v>
      </c>
      <c r="H44" s="27">
        <v>491</v>
      </c>
      <c r="I44" s="18">
        <v>7.73</v>
      </c>
      <c r="J44" s="44" t="s">
        <v>105</v>
      </c>
      <c r="K44" s="44">
        <v>4.7</v>
      </c>
    </row>
    <row r="45" spans="1:11" x14ac:dyDescent="0.35">
      <c r="A45" s="51" t="s">
        <v>3</v>
      </c>
      <c r="B45" s="51" t="s">
        <v>4</v>
      </c>
      <c r="C45" s="4" t="s">
        <v>1074</v>
      </c>
      <c r="D45" s="44">
        <v>0.09</v>
      </c>
      <c r="E45" s="18">
        <v>23.41</v>
      </c>
      <c r="F45" s="44">
        <v>100.1</v>
      </c>
      <c r="G45" s="18">
        <v>8.58</v>
      </c>
      <c r="H45" s="27">
        <v>434</v>
      </c>
      <c r="I45" s="18">
        <v>8.5</v>
      </c>
      <c r="J45" s="44" t="s">
        <v>105</v>
      </c>
      <c r="K45" s="44">
        <v>2.7</v>
      </c>
    </row>
    <row r="46" spans="1:11" x14ac:dyDescent="0.35">
      <c r="A46" s="51" t="s">
        <v>3</v>
      </c>
      <c r="B46" s="51" t="s">
        <v>4</v>
      </c>
      <c r="C46" s="4" t="s">
        <v>1074</v>
      </c>
      <c r="D46" s="44">
        <v>13.141999999999999</v>
      </c>
      <c r="E46" s="18">
        <v>22.65</v>
      </c>
      <c r="F46" s="44">
        <v>41.9</v>
      </c>
      <c r="G46" s="18">
        <v>3.62</v>
      </c>
      <c r="H46" s="27">
        <v>448</v>
      </c>
      <c r="I46" s="18">
        <v>8.16</v>
      </c>
      <c r="J46" s="44" t="s">
        <v>105</v>
      </c>
      <c r="K46" s="44">
        <v>7.2</v>
      </c>
    </row>
    <row r="47" spans="1:11" x14ac:dyDescent="0.35">
      <c r="A47" s="51" t="s">
        <v>3</v>
      </c>
      <c r="B47" s="51" t="s">
        <v>5</v>
      </c>
      <c r="C47" s="4" t="s">
        <v>1074</v>
      </c>
      <c r="D47" s="44">
        <v>9.9000000000000005E-2</v>
      </c>
      <c r="E47" s="18">
        <v>23.79</v>
      </c>
      <c r="F47" s="44">
        <v>102</v>
      </c>
      <c r="G47" s="18">
        <v>8.61</v>
      </c>
      <c r="H47" s="27">
        <v>442</v>
      </c>
      <c r="I47" s="18">
        <v>8.57</v>
      </c>
      <c r="J47" s="44" t="s">
        <v>105</v>
      </c>
      <c r="K47" s="44">
        <v>4.9000000000000004</v>
      </c>
    </row>
    <row r="48" spans="1:11" x14ac:dyDescent="0.35">
      <c r="A48" s="51" t="s">
        <v>3</v>
      </c>
      <c r="B48" s="51" t="s">
        <v>5</v>
      </c>
      <c r="C48" s="4" t="s">
        <v>1074</v>
      </c>
      <c r="D48" s="44">
        <v>19.977</v>
      </c>
      <c r="E48" s="18">
        <v>21.54</v>
      </c>
      <c r="F48" s="44">
        <v>12.6</v>
      </c>
      <c r="G48" s="18">
        <v>1.02</v>
      </c>
      <c r="H48" s="27">
        <v>467</v>
      </c>
      <c r="I48" s="18">
        <v>8.1300000000000008</v>
      </c>
      <c r="J48" s="44" t="s">
        <v>105</v>
      </c>
      <c r="K48" s="44">
        <v>4.4000000000000004</v>
      </c>
    </row>
    <row r="49" spans="1:11" x14ac:dyDescent="0.35">
      <c r="A49" s="51" t="s">
        <v>104</v>
      </c>
      <c r="B49" t="s">
        <v>25</v>
      </c>
      <c r="C49" s="4" t="s">
        <v>1076</v>
      </c>
      <c r="D49" s="44">
        <v>0.93799999999999994</v>
      </c>
      <c r="E49" s="18">
        <v>25.16</v>
      </c>
      <c r="F49" s="44">
        <v>108.1</v>
      </c>
      <c r="G49" s="18">
        <v>8.9</v>
      </c>
      <c r="H49" s="27">
        <v>235</v>
      </c>
      <c r="I49" s="18">
        <v>8.81</v>
      </c>
      <c r="J49" s="44" t="s">
        <v>105</v>
      </c>
      <c r="K49" s="44">
        <v>20.7</v>
      </c>
    </row>
    <row r="50" spans="1:11" x14ac:dyDescent="0.35">
      <c r="A50" s="51" t="s">
        <v>104</v>
      </c>
      <c r="B50" t="s">
        <v>25</v>
      </c>
      <c r="C50" s="4" t="s">
        <v>1076</v>
      </c>
      <c r="D50" s="44">
        <v>39.11</v>
      </c>
      <c r="E50" s="18">
        <v>22.3</v>
      </c>
      <c r="F50" s="44">
        <v>43</v>
      </c>
      <c r="G50" s="18">
        <v>3.71</v>
      </c>
      <c r="H50" s="27">
        <v>196</v>
      </c>
      <c r="I50" s="18">
        <v>8.01</v>
      </c>
      <c r="J50" s="44" t="s">
        <v>105</v>
      </c>
      <c r="K50" s="44">
        <v>57.5</v>
      </c>
    </row>
    <row r="51" spans="1:11" x14ac:dyDescent="0.35">
      <c r="A51" s="51" t="s">
        <v>104</v>
      </c>
      <c r="B51" s="51" t="s">
        <v>69</v>
      </c>
      <c r="C51" s="4" t="s">
        <v>1076</v>
      </c>
      <c r="D51" s="44">
        <v>0.82699999999999996</v>
      </c>
      <c r="E51" s="18">
        <v>25.81</v>
      </c>
      <c r="F51" s="44">
        <v>140</v>
      </c>
      <c r="G51" s="18">
        <v>11.39</v>
      </c>
      <c r="H51" s="27">
        <v>236</v>
      </c>
      <c r="I51" s="18">
        <v>9.32</v>
      </c>
      <c r="J51" s="44" t="s">
        <v>105</v>
      </c>
      <c r="K51" s="44">
        <v>15</v>
      </c>
    </row>
    <row r="52" spans="1:11" x14ac:dyDescent="0.35">
      <c r="A52" s="51" t="s">
        <v>104</v>
      </c>
      <c r="B52" s="51" t="s">
        <v>69</v>
      </c>
      <c r="C52" s="4" t="s">
        <v>1076</v>
      </c>
      <c r="D52" s="44">
        <v>42.1</v>
      </c>
      <c r="E52" s="18">
        <v>22.23</v>
      </c>
      <c r="F52" s="44">
        <v>46.8</v>
      </c>
      <c r="G52" s="18">
        <v>4.8</v>
      </c>
      <c r="H52" s="27">
        <v>185</v>
      </c>
      <c r="I52" s="18">
        <v>8.19</v>
      </c>
      <c r="J52" s="44" t="s">
        <v>105</v>
      </c>
      <c r="K52" s="44">
        <v>62.2</v>
      </c>
    </row>
    <row r="53" spans="1:11" x14ac:dyDescent="0.35">
      <c r="A53" s="51" t="s">
        <v>104</v>
      </c>
      <c r="B53" t="s">
        <v>167</v>
      </c>
      <c r="C53" s="4" t="s">
        <v>1076</v>
      </c>
      <c r="D53" s="44">
        <v>0.76800000000000002</v>
      </c>
      <c r="E53" s="18">
        <v>25.04</v>
      </c>
      <c r="F53" s="44">
        <v>104.3</v>
      </c>
      <c r="G53" s="18">
        <v>8.6300000000000008</v>
      </c>
      <c r="H53" s="27">
        <v>233</v>
      </c>
      <c r="I53" s="18">
        <v>8.57</v>
      </c>
      <c r="J53" s="44" t="s">
        <v>105</v>
      </c>
      <c r="K53" s="44">
        <v>24.3</v>
      </c>
    </row>
    <row r="54" spans="1:11" x14ac:dyDescent="0.35">
      <c r="A54" s="51" t="s">
        <v>104</v>
      </c>
      <c r="B54" t="s">
        <v>167</v>
      </c>
      <c r="C54" s="4" t="s">
        <v>1076</v>
      </c>
      <c r="D54" s="44">
        <v>35.450000000000003</v>
      </c>
      <c r="E54" s="18">
        <v>22.69</v>
      </c>
      <c r="F54" s="44">
        <v>71.3</v>
      </c>
      <c r="G54" s="18">
        <v>6.15</v>
      </c>
      <c r="H54" s="27">
        <v>173</v>
      </c>
      <c r="I54" s="18">
        <v>7.78</v>
      </c>
      <c r="J54" s="44" t="s">
        <v>105</v>
      </c>
      <c r="K54" s="44">
        <v>102.2</v>
      </c>
    </row>
    <row r="55" spans="1:11" x14ac:dyDescent="0.35">
      <c r="A55" s="51" t="s">
        <v>104</v>
      </c>
      <c r="B55" s="51" t="s">
        <v>14</v>
      </c>
      <c r="C55" s="4" t="s">
        <v>1076</v>
      </c>
      <c r="D55" s="44">
        <v>0.98099999999999998</v>
      </c>
      <c r="E55" s="18">
        <v>22.75</v>
      </c>
      <c r="F55" s="44">
        <v>79.5</v>
      </c>
      <c r="G55" s="18">
        <v>6.83</v>
      </c>
      <c r="H55" s="27">
        <v>167</v>
      </c>
      <c r="I55" s="18">
        <v>7.77</v>
      </c>
      <c r="J55" s="44" t="s">
        <v>105</v>
      </c>
      <c r="K55" s="44">
        <v>125.8</v>
      </c>
    </row>
    <row r="56" spans="1:11" x14ac:dyDescent="0.35">
      <c r="A56" s="51" t="s">
        <v>104</v>
      </c>
      <c r="B56" s="51" t="s">
        <v>14</v>
      </c>
      <c r="C56" s="4" t="s">
        <v>1076</v>
      </c>
      <c r="D56" s="44">
        <v>15.118</v>
      </c>
      <c r="E56" s="18">
        <v>22.73</v>
      </c>
      <c r="F56" s="44">
        <v>79.3</v>
      </c>
      <c r="G56" s="18">
        <v>6.83</v>
      </c>
      <c r="H56" s="27">
        <v>168</v>
      </c>
      <c r="I56" s="18">
        <v>7.97</v>
      </c>
      <c r="J56" s="44" t="s">
        <v>105</v>
      </c>
      <c r="K56" s="44">
        <v>132.80000000000001</v>
      </c>
    </row>
    <row r="57" spans="1:11" x14ac:dyDescent="0.35">
      <c r="A57" s="51" t="s">
        <v>104</v>
      </c>
      <c r="B57" t="s">
        <v>64</v>
      </c>
      <c r="C57" s="4" t="s">
        <v>1077</v>
      </c>
      <c r="D57" s="44">
        <v>0.1</v>
      </c>
      <c r="E57" s="18">
        <v>26.2</v>
      </c>
      <c r="F57" s="44">
        <v>208</v>
      </c>
      <c r="G57" s="18">
        <v>16.100000000000001</v>
      </c>
      <c r="H57" s="27">
        <v>260</v>
      </c>
      <c r="I57" s="18">
        <v>9.73</v>
      </c>
      <c r="J57" s="44">
        <v>-991.3</v>
      </c>
      <c r="K57" s="44">
        <v>17.2</v>
      </c>
    </row>
    <row r="58" spans="1:11" x14ac:dyDescent="0.35">
      <c r="A58" s="51" t="s">
        <v>104</v>
      </c>
      <c r="B58" t="s">
        <v>64</v>
      </c>
      <c r="C58" s="4" t="s">
        <v>1077</v>
      </c>
      <c r="D58" s="44">
        <v>50</v>
      </c>
      <c r="E58" s="18">
        <v>22.1</v>
      </c>
      <c r="F58" s="44">
        <v>5.8</v>
      </c>
      <c r="G58" s="18">
        <v>0.5</v>
      </c>
      <c r="H58" s="27">
        <v>235</v>
      </c>
      <c r="I58" s="18">
        <v>8.51</v>
      </c>
      <c r="J58" s="44">
        <v>-964</v>
      </c>
      <c r="K58" s="44">
        <v>11.7</v>
      </c>
    </row>
    <row r="59" spans="1:11" x14ac:dyDescent="0.35">
      <c r="A59" s="51" t="s">
        <v>104</v>
      </c>
      <c r="B59" s="51" t="s">
        <v>60</v>
      </c>
      <c r="C59" s="4" t="s">
        <v>1077</v>
      </c>
      <c r="D59" s="44">
        <v>0.1</v>
      </c>
      <c r="E59" s="18">
        <v>28.6</v>
      </c>
      <c r="F59" s="44">
        <v>252.9</v>
      </c>
      <c r="G59" s="18">
        <v>19.690000000000001</v>
      </c>
      <c r="H59" s="27">
        <v>236</v>
      </c>
      <c r="I59" s="18">
        <v>9.85</v>
      </c>
      <c r="J59" s="44">
        <v>-1000</v>
      </c>
      <c r="K59" s="44">
        <v>23.6</v>
      </c>
    </row>
    <row r="60" spans="1:11" x14ac:dyDescent="0.35">
      <c r="A60" s="51" t="s">
        <v>104</v>
      </c>
      <c r="B60" s="51" t="s">
        <v>60</v>
      </c>
      <c r="C60" s="4" t="s">
        <v>1077</v>
      </c>
      <c r="D60" s="44">
        <f>CONVERT(33,"m","ft")</f>
        <v>108.26771653543307</v>
      </c>
      <c r="E60" s="18">
        <v>12.81</v>
      </c>
      <c r="F60" s="44">
        <v>5</v>
      </c>
      <c r="G60" s="18">
        <v>0.53</v>
      </c>
      <c r="H60" s="27">
        <v>253</v>
      </c>
      <c r="I60" s="18">
        <v>7.88</v>
      </c>
      <c r="J60" s="44">
        <v>-990.7</v>
      </c>
      <c r="K60" s="44">
        <v>21.1</v>
      </c>
    </row>
    <row r="61" spans="1:11" x14ac:dyDescent="0.35">
      <c r="A61" s="51" t="s">
        <v>104</v>
      </c>
      <c r="B61" t="s">
        <v>18</v>
      </c>
      <c r="C61" s="4" t="s">
        <v>1077</v>
      </c>
      <c r="D61" s="44">
        <v>0.1</v>
      </c>
      <c r="E61" s="18">
        <v>25.37</v>
      </c>
      <c r="F61" s="44">
        <v>110.5</v>
      </c>
      <c r="G61" s="18">
        <v>9.0299999999999994</v>
      </c>
      <c r="H61" s="27">
        <v>226</v>
      </c>
      <c r="I61" s="18">
        <v>8.83</v>
      </c>
      <c r="J61" s="44" t="s">
        <v>105</v>
      </c>
      <c r="K61" s="44">
        <v>19.3</v>
      </c>
    </row>
    <row r="62" spans="1:11" x14ac:dyDescent="0.35">
      <c r="A62" s="51" t="s">
        <v>104</v>
      </c>
      <c r="B62" t="s">
        <v>18</v>
      </c>
      <c r="C62" s="4" t="s">
        <v>1077</v>
      </c>
      <c r="D62" s="44">
        <v>13.3</v>
      </c>
      <c r="E62" s="18">
        <v>22.66</v>
      </c>
      <c r="F62" s="44">
        <v>71.2</v>
      </c>
      <c r="G62" s="18">
        <v>6.15</v>
      </c>
      <c r="H62" s="27">
        <v>165</v>
      </c>
      <c r="I62" s="18">
        <v>8.06</v>
      </c>
      <c r="J62" s="44">
        <v>-970</v>
      </c>
      <c r="K62" s="44">
        <v>91.4</v>
      </c>
    </row>
    <row r="63" spans="1:11" x14ac:dyDescent="0.35">
      <c r="A63" s="51" t="s">
        <v>104</v>
      </c>
      <c r="B63" s="51" t="s">
        <v>25</v>
      </c>
      <c r="C63" s="52" t="s">
        <v>1078</v>
      </c>
      <c r="D63" s="44">
        <v>1.03</v>
      </c>
      <c r="E63" s="18">
        <v>28.64</v>
      </c>
      <c r="F63" s="44">
        <v>175.5</v>
      </c>
      <c r="G63" s="18">
        <v>13.56</v>
      </c>
      <c r="H63" s="27">
        <v>210</v>
      </c>
      <c r="I63" s="18">
        <v>9.18</v>
      </c>
      <c r="J63" s="44">
        <v>-997.8</v>
      </c>
      <c r="K63" s="44">
        <v>17.100000000000001</v>
      </c>
    </row>
    <row r="64" spans="1:11" x14ac:dyDescent="0.35">
      <c r="A64" s="51" t="s">
        <v>104</v>
      </c>
      <c r="B64" s="51" t="s">
        <v>25</v>
      </c>
      <c r="C64" s="52" t="s">
        <v>1078</v>
      </c>
      <c r="D64" s="44">
        <v>37.158000000000001</v>
      </c>
      <c r="E64" s="18">
        <v>23.47</v>
      </c>
      <c r="F64" s="44">
        <v>40.6</v>
      </c>
      <c r="G64" s="18">
        <v>3.42</v>
      </c>
      <c r="H64" s="27">
        <v>160</v>
      </c>
      <c r="I64" s="18">
        <v>8.02</v>
      </c>
      <c r="J64" s="44">
        <v>-970.7</v>
      </c>
      <c r="K64" s="44">
        <v>51.5</v>
      </c>
    </row>
    <row r="65" spans="1:11" x14ac:dyDescent="0.35">
      <c r="A65" s="51" t="s">
        <v>104</v>
      </c>
      <c r="B65" s="51" t="s">
        <v>26</v>
      </c>
      <c r="C65" s="52" t="s">
        <v>1078</v>
      </c>
      <c r="D65" s="44">
        <v>1.087</v>
      </c>
      <c r="E65" s="18">
        <v>27.54</v>
      </c>
      <c r="F65" s="44">
        <v>177.5</v>
      </c>
      <c r="G65" s="18">
        <v>13.97</v>
      </c>
      <c r="H65" s="27">
        <v>209</v>
      </c>
      <c r="I65" s="18">
        <v>9.1199999999999992</v>
      </c>
      <c r="J65" s="44">
        <v>-987.5</v>
      </c>
      <c r="K65" s="44">
        <v>19.100000000000001</v>
      </c>
    </row>
    <row r="66" spans="1:11" x14ac:dyDescent="0.35">
      <c r="A66" s="51" t="s">
        <v>104</v>
      </c>
      <c r="B66" s="51" t="s">
        <v>26</v>
      </c>
      <c r="C66" s="52" t="s">
        <v>1078</v>
      </c>
      <c r="D66" s="44">
        <v>43.182000000000002</v>
      </c>
      <c r="E66" s="18">
        <v>23.2</v>
      </c>
      <c r="F66" s="44">
        <v>21.9</v>
      </c>
      <c r="G66" s="18">
        <v>1.87</v>
      </c>
      <c r="H66" s="27">
        <v>159</v>
      </c>
      <c r="I66" s="18">
        <v>7.68</v>
      </c>
      <c r="J66" s="44">
        <v>-967.6</v>
      </c>
      <c r="K66" s="44">
        <v>30.9</v>
      </c>
    </row>
    <row r="67" spans="1:11" x14ac:dyDescent="0.35">
      <c r="A67" s="51" t="s">
        <v>104</v>
      </c>
      <c r="B67" s="51" t="s">
        <v>167</v>
      </c>
      <c r="C67" s="52" t="s">
        <v>1078</v>
      </c>
      <c r="D67" s="44">
        <v>1.0069999999999999</v>
      </c>
      <c r="E67" s="18">
        <v>28.53</v>
      </c>
      <c r="F67" s="44">
        <v>164.7</v>
      </c>
      <c r="G67" s="18">
        <v>13.12</v>
      </c>
      <c r="H67" s="27">
        <v>209</v>
      </c>
      <c r="I67" s="18">
        <v>9.16</v>
      </c>
      <c r="J67" s="44">
        <v>-1007.1</v>
      </c>
      <c r="K67" s="44">
        <v>19.100000000000001</v>
      </c>
    </row>
    <row r="68" spans="1:11" x14ac:dyDescent="0.35">
      <c r="A68" s="51" t="s">
        <v>104</v>
      </c>
      <c r="B68" s="51" t="s">
        <v>167</v>
      </c>
      <c r="C68" s="52" t="s">
        <v>1078</v>
      </c>
      <c r="D68" s="44">
        <v>31.931000000000001</v>
      </c>
      <c r="E68" s="18">
        <v>23.76</v>
      </c>
      <c r="F68" s="44">
        <v>39.1</v>
      </c>
      <c r="G68" s="18">
        <v>3.31</v>
      </c>
      <c r="H68" s="27">
        <v>167</v>
      </c>
      <c r="I68" s="18">
        <v>8.1</v>
      </c>
      <c r="J68" s="44">
        <v>-973.9</v>
      </c>
      <c r="K68" s="44">
        <v>47.2</v>
      </c>
    </row>
    <row r="69" spans="1:11" x14ac:dyDescent="0.35">
      <c r="A69" s="51" t="s">
        <v>104</v>
      </c>
      <c r="B69" t="s">
        <v>14</v>
      </c>
      <c r="C69" s="52" t="s">
        <v>1078</v>
      </c>
      <c r="D69" s="44">
        <v>0.95399999999999996</v>
      </c>
      <c r="E69" s="18">
        <v>27.86</v>
      </c>
      <c r="F69" s="44">
        <v>182.3</v>
      </c>
      <c r="G69" s="18">
        <v>11.26</v>
      </c>
      <c r="H69" s="27">
        <v>211</v>
      </c>
      <c r="I69" s="18">
        <v>8.5</v>
      </c>
      <c r="J69" s="44">
        <v>-936.5</v>
      </c>
      <c r="K69" s="44">
        <v>26.4</v>
      </c>
    </row>
    <row r="70" spans="1:11" x14ac:dyDescent="0.35">
      <c r="A70" s="51" t="s">
        <v>104</v>
      </c>
      <c r="B70" t="s">
        <v>14</v>
      </c>
      <c r="C70" s="52" t="s">
        <v>1078</v>
      </c>
      <c r="D70" s="44">
        <v>13.975</v>
      </c>
      <c r="E70" s="18">
        <v>24.81</v>
      </c>
      <c r="F70" s="44">
        <v>76.5</v>
      </c>
      <c r="G70" s="18">
        <v>6.29</v>
      </c>
      <c r="H70" s="27">
        <v>261</v>
      </c>
      <c r="I70" s="18">
        <v>7.95</v>
      </c>
      <c r="J70" s="44">
        <v>-953.9</v>
      </c>
      <c r="K70" s="44">
        <v>56.9</v>
      </c>
    </row>
    <row r="71" spans="1:11" x14ac:dyDescent="0.35">
      <c r="A71" s="51" t="s">
        <v>104</v>
      </c>
      <c r="B71" s="51" t="s">
        <v>18</v>
      </c>
      <c r="C71" s="52" t="s">
        <v>1078</v>
      </c>
      <c r="D71" s="44">
        <v>1.0349999999999999</v>
      </c>
      <c r="E71" s="18">
        <v>28.74</v>
      </c>
      <c r="F71" s="44">
        <v>176.4</v>
      </c>
      <c r="G71" s="18">
        <v>13.61</v>
      </c>
      <c r="H71" s="27">
        <v>209</v>
      </c>
      <c r="I71" s="18">
        <v>8.98</v>
      </c>
      <c r="J71" s="44">
        <v>-998.6</v>
      </c>
      <c r="K71" s="44">
        <v>24.9</v>
      </c>
    </row>
    <row r="72" spans="1:11" x14ac:dyDescent="0.35">
      <c r="A72" s="51" t="s">
        <v>104</v>
      </c>
      <c r="B72" s="51" t="s">
        <v>18</v>
      </c>
      <c r="C72" s="52" t="s">
        <v>1078</v>
      </c>
      <c r="D72" s="44">
        <v>13.128</v>
      </c>
      <c r="E72" s="18">
        <v>24.88</v>
      </c>
      <c r="F72" s="44">
        <v>78.099999999999994</v>
      </c>
      <c r="G72" s="18">
        <v>6.41</v>
      </c>
      <c r="H72" s="27">
        <v>200</v>
      </c>
      <c r="I72" s="18">
        <v>8.1300000000000008</v>
      </c>
      <c r="J72" s="44">
        <v>-978.2</v>
      </c>
      <c r="K72" s="44">
        <v>56.3</v>
      </c>
    </row>
    <row r="73" spans="1:11" x14ac:dyDescent="0.35">
      <c r="A73" s="51" t="s">
        <v>104</v>
      </c>
      <c r="B73" s="51" t="s">
        <v>9</v>
      </c>
      <c r="C73" s="52" t="s">
        <v>1078</v>
      </c>
      <c r="D73" s="44">
        <v>1.0249999999999999</v>
      </c>
      <c r="E73" s="18">
        <v>28</v>
      </c>
      <c r="F73" s="44">
        <v>175.2</v>
      </c>
      <c r="G73" s="18">
        <v>13.7</v>
      </c>
      <c r="H73" s="27">
        <v>211</v>
      </c>
      <c r="I73" s="18">
        <v>8.81</v>
      </c>
      <c r="J73" s="44">
        <v>-1037.3</v>
      </c>
      <c r="K73" s="44">
        <v>27.2</v>
      </c>
    </row>
    <row r="74" spans="1:11" x14ac:dyDescent="0.35">
      <c r="A74" s="51" t="s">
        <v>104</v>
      </c>
      <c r="B74" s="51" t="s">
        <v>9</v>
      </c>
      <c r="C74" s="52" t="s">
        <v>1078</v>
      </c>
      <c r="D74" s="44">
        <v>14.156000000000001</v>
      </c>
      <c r="E74" s="18">
        <v>24.7</v>
      </c>
      <c r="F74" s="44">
        <v>75.099999999999994</v>
      </c>
      <c r="G74" s="18">
        <v>6.21</v>
      </c>
      <c r="H74" s="27">
        <v>264</v>
      </c>
      <c r="I74" s="18">
        <v>7.92</v>
      </c>
      <c r="J74" s="44">
        <v>-984.2</v>
      </c>
      <c r="K74" s="44">
        <v>86.8</v>
      </c>
    </row>
    <row r="75" spans="1:11" x14ac:dyDescent="0.35">
      <c r="A75" s="51" t="s">
        <v>104</v>
      </c>
      <c r="B75" s="51" t="s">
        <v>64</v>
      </c>
      <c r="C75" s="52" t="s">
        <v>1079</v>
      </c>
      <c r="D75" s="44">
        <v>1.01</v>
      </c>
      <c r="E75" s="18">
        <v>27.56</v>
      </c>
      <c r="F75" s="44">
        <v>162.1</v>
      </c>
      <c r="G75" s="18">
        <v>12.78</v>
      </c>
      <c r="H75" s="27">
        <v>224</v>
      </c>
      <c r="I75" s="18">
        <v>9.23</v>
      </c>
      <c r="J75" s="44">
        <v>-976.7</v>
      </c>
      <c r="K75" s="44">
        <v>14.4</v>
      </c>
    </row>
    <row r="76" spans="1:11" x14ac:dyDescent="0.35">
      <c r="A76" s="51" t="s">
        <v>104</v>
      </c>
      <c r="B76" s="51" t="s">
        <v>64</v>
      </c>
      <c r="C76" s="52" t="s">
        <v>1079</v>
      </c>
      <c r="D76" s="44">
        <v>47.055</v>
      </c>
      <c r="E76" s="18">
        <v>23.46</v>
      </c>
      <c r="F76" s="44">
        <v>5.6</v>
      </c>
      <c r="G76" s="18">
        <v>0.47</v>
      </c>
      <c r="H76" s="27">
        <v>213</v>
      </c>
      <c r="I76" s="18">
        <v>7.74</v>
      </c>
      <c r="J76" s="44">
        <v>-966.2</v>
      </c>
      <c r="K76" s="44">
        <v>14</v>
      </c>
    </row>
    <row r="77" spans="1:11" x14ac:dyDescent="0.35">
      <c r="A77" s="51" t="s">
        <v>104</v>
      </c>
      <c r="B77" t="s">
        <v>69</v>
      </c>
      <c r="C77" s="4" t="s">
        <v>1079</v>
      </c>
      <c r="D77" s="44">
        <v>1.05</v>
      </c>
      <c r="E77" s="18">
        <v>28.2</v>
      </c>
      <c r="F77" s="44">
        <v>187.9</v>
      </c>
      <c r="G77" s="18">
        <v>14.63</v>
      </c>
      <c r="H77" s="27">
        <v>221</v>
      </c>
      <c r="I77" s="18">
        <v>9.4</v>
      </c>
      <c r="J77" s="44">
        <v>-1029.0999999999999</v>
      </c>
      <c r="K77" s="44">
        <v>16.8</v>
      </c>
    </row>
    <row r="78" spans="1:11" x14ac:dyDescent="0.35">
      <c r="A78" s="51" t="s">
        <v>104</v>
      </c>
      <c r="B78" t="s">
        <v>69</v>
      </c>
      <c r="C78" s="52" t="s">
        <v>1079</v>
      </c>
      <c r="D78" s="44">
        <v>47.05</v>
      </c>
      <c r="E78" s="18">
        <v>23.31</v>
      </c>
      <c r="F78" s="44">
        <v>13.4</v>
      </c>
      <c r="G78" s="18">
        <v>1.1399999999999999</v>
      </c>
      <c r="H78" s="27">
        <v>164</v>
      </c>
      <c r="I78" s="18">
        <v>7.78</v>
      </c>
      <c r="J78" s="44">
        <v>-976.9</v>
      </c>
      <c r="K78" s="44">
        <v>15.5</v>
      </c>
    </row>
    <row r="79" spans="1:11" x14ac:dyDescent="0.35">
      <c r="A79" s="51" t="s">
        <v>104</v>
      </c>
      <c r="B79" s="51" t="s">
        <v>60</v>
      </c>
      <c r="C79" s="4" t="s">
        <v>1079</v>
      </c>
      <c r="D79" s="44">
        <f>CONVERT(0.1,"m","ft")</f>
        <v>0.32808398950131235</v>
      </c>
      <c r="E79" s="18">
        <v>28.68</v>
      </c>
      <c r="F79" s="44">
        <v>187.5</v>
      </c>
      <c r="G79" s="18">
        <v>14.49</v>
      </c>
      <c r="H79" s="27">
        <v>226</v>
      </c>
      <c r="I79" s="18">
        <v>9.35</v>
      </c>
      <c r="J79" s="44">
        <v>-945</v>
      </c>
      <c r="K79" s="44">
        <v>17.8</v>
      </c>
    </row>
    <row r="80" spans="1:11" x14ac:dyDescent="0.35">
      <c r="A80" s="51" t="s">
        <v>104</v>
      </c>
      <c r="B80" s="51" t="s">
        <v>60</v>
      </c>
      <c r="C80" s="4" t="s">
        <v>1079</v>
      </c>
      <c r="D80" s="44">
        <f>CONVERT(33, "m","ft")</f>
        <v>108.26771653543307</v>
      </c>
      <c r="E80" s="18">
        <v>19.41</v>
      </c>
      <c r="F80" s="44">
        <v>5.2</v>
      </c>
      <c r="G80" s="18">
        <v>0.48</v>
      </c>
      <c r="H80" s="27">
        <v>234</v>
      </c>
      <c r="I80" s="18">
        <v>7.41</v>
      </c>
      <c r="J80" s="44">
        <v>-925.9</v>
      </c>
      <c r="K80" s="44">
        <v>26.5</v>
      </c>
    </row>
    <row r="81" spans="1:11" x14ac:dyDescent="0.35">
      <c r="A81" s="51" t="s">
        <v>104</v>
      </c>
      <c r="B81" s="51" t="s">
        <v>25</v>
      </c>
      <c r="C81" s="4" t="s">
        <v>1080</v>
      </c>
      <c r="D81" s="44">
        <v>0.90800000000000003</v>
      </c>
      <c r="E81" s="18">
        <v>29.13</v>
      </c>
      <c r="F81" s="44">
        <v>159.6</v>
      </c>
      <c r="G81" s="18">
        <v>12.29</v>
      </c>
      <c r="H81" s="27">
        <v>213</v>
      </c>
      <c r="I81" s="18">
        <v>9.11</v>
      </c>
      <c r="J81" s="44">
        <v>-1013.1</v>
      </c>
      <c r="K81" s="44">
        <v>10.5</v>
      </c>
    </row>
    <row r="82" spans="1:11" x14ac:dyDescent="0.35">
      <c r="A82" s="51" t="s">
        <v>104</v>
      </c>
      <c r="B82" s="51" t="s">
        <v>25</v>
      </c>
      <c r="C82" s="4" t="s">
        <v>1080</v>
      </c>
      <c r="D82" s="44">
        <v>30.71</v>
      </c>
      <c r="E82" s="18">
        <v>23.94</v>
      </c>
      <c r="F82" s="44">
        <v>10.199999999999999</v>
      </c>
      <c r="G82" s="18">
        <v>0.84</v>
      </c>
      <c r="H82" s="27">
        <v>172</v>
      </c>
      <c r="I82" s="18">
        <v>7.91</v>
      </c>
      <c r="J82" s="44">
        <v>-984.1</v>
      </c>
      <c r="K82" s="44">
        <v>16.7</v>
      </c>
    </row>
    <row r="83" spans="1:11" x14ac:dyDescent="0.35">
      <c r="A83" s="51" t="s">
        <v>104</v>
      </c>
      <c r="B83" s="51" t="s">
        <v>26</v>
      </c>
      <c r="C83" s="4" t="s">
        <v>1080</v>
      </c>
      <c r="D83" s="44">
        <v>0.85299999999999998</v>
      </c>
      <c r="E83" s="18">
        <v>28.93</v>
      </c>
      <c r="F83" s="44">
        <v>153.19999999999999</v>
      </c>
      <c r="G83" s="18">
        <v>11.8</v>
      </c>
      <c r="H83" s="27">
        <v>227</v>
      </c>
      <c r="I83" s="18">
        <v>9.06</v>
      </c>
      <c r="J83" s="44">
        <v>-1003</v>
      </c>
      <c r="K83" s="44">
        <v>11.1</v>
      </c>
    </row>
    <row r="84" spans="1:11" x14ac:dyDescent="0.35">
      <c r="A84" s="51" t="s">
        <v>104</v>
      </c>
      <c r="B84" s="51" t="s">
        <v>26</v>
      </c>
      <c r="C84" s="4" t="s">
        <v>1080</v>
      </c>
      <c r="D84" s="44">
        <v>38.048999999999999</v>
      </c>
      <c r="E84" s="18">
        <v>23.66</v>
      </c>
      <c r="F84" s="44">
        <v>8.1</v>
      </c>
      <c r="G84" s="18">
        <v>0.66</v>
      </c>
      <c r="H84" s="27">
        <v>181</v>
      </c>
      <c r="I84" s="18">
        <v>7.88</v>
      </c>
      <c r="J84" s="44">
        <v>-976.9</v>
      </c>
      <c r="K84" s="44">
        <v>20.100000000000001</v>
      </c>
    </row>
    <row r="85" spans="1:11" x14ac:dyDescent="0.35">
      <c r="A85" s="51" t="s">
        <v>104</v>
      </c>
      <c r="B85" t="s">
        <v>167</v>
      </c>
      <c r="C85" s="4" t="s">
        <v>1080</v>
      </c>
      <c r="D85" s="44">
        <v>0.97099999999999997</v>
      </c>
      <c r="E85" s="18">
        <v>28.9</v>
      </c>
      <c r="F85" s="44">
        <v>150.19999999999999</v>
      </c>
      <c r="G85" s="18">
        <v>11.57</v>
      </c>
      <c r="H85" s="27">
        <v>239</v>
      </c>
      <c r="I85" s="18">
        <v>8.92</v>
      </c>
      <c r="J85" s="44">
        <v>-1006.8</v>
      </c>
      <c r="K85" s="44">
        <v>13.7</v>
      </c>
    </row>
    <row r="86" spans="1:11" x14ac:dyDescent="0.35">
      <c r="A86" s="51" t="s">
        <v>104</v>
      </c>
      <c r="B86" t="s">
        <v>167</v>
      </c>
      <c r="C86" s="4" t="s">
        <v>1080</v>
      </c>
      <c r="D86" s="44">
        <v>28.082000000000001</v>
      </c>
      <c r="E86" s="18">
        <v>24.12</v>
      </c>
      <c r="F86" s="44">
        <v>6.9</v>
      </c>
      <c r="G86" s="18">
        <v>0.56999999999999995</v>
      </c>
      <c r="H86" s="27">
        <v>210</v>
      </c>
      <c r="I86" s="18">
        <v>7.63</v>
      </c>
      <c r="J86" s="44">
        <v>-968.9</v>
      </c>
      <c r="K86" s="44">
        <v>16.899999999999999</v>
      </c>
    </row>
    <row r="87" spans="1:11" x14ac:dyDescent="0.35">
      <c r="A87" s="51" t="s">
        <v>104</v>
      </c>
      <c r="B87" s="51" t="s">
        <v>14</v>
      </c>
      <c r="C87" s="4" t="s">
        <v>1080</v>
      </c>
      <c r="D87" s="44">
        <v>0.86499999999999999</v>
      </c>
      <c r="E87" s="18">
        <v>28.65</v>
      </c>
      <c r="F87" s="44">
        <v>102.9</v>
      </c>
      <c r="G87" s="18">
        <v>7.98</v>
      </c>
      <c r="H87" s="27">
        <v>264</v>
      </c>
      <c r="I87" s="18">
        <v>8.1300000000000008</v>
      </c>
      <c r="J87" s="44">
        <v>-992.8</v>
      </c>
      <c r="K87" s="44">
        <v>45.7</v>
      </c>
    </row>
    <row r="88" spans="1:11" x14ac:dyDescent="0.35">
      <c r="A88" s="51" t="s">
        <v>104</v>
      </c>
      <c r="B88" s="51" t="s">
        <v>14</v>
      </c>
      <c r="C88" s="4" t="s">
        <v>1080</v>
      </c>
      <c r="D88" s="44">
        <v>9.0719999999999992</v>
      </c>
      <c r="E88" s="18">
        <v>26.58</v>
      </c>
      <c r="F88" s="44">
        <v>70.599999999999994</v>
      </c>
      <c r="G88" s="18">
        <v>5.65</v>
      </c>
      <c r="H88" s="27">
        <v>429</v>
      </c>
      <c r="I88" s="18">
        <v>7.72</v>
      </c>
      <c r="J88" s="44">
        <v>-988.4</v>
      </c>
      <c r="K88" s="44">
        <v>49.9</v>
      </c>
    </row>
    <row r="89" spans="1:11" x14ac:dyDescent="0.35">
      <c r="A89" s="51" t="s">
        <v>104</v>
      </c>
      <c r="B89" s="51" t="s">
        <v>18</v>
      </c>
      <c r="C89" s="4" t="s">
        <v>1080</v>
      </c>
      <c r="D89" s="44">
        <v>0.76900000000000002</v>
      </c>
      <c r="E89" s="18">
        <v>28.57</v>
      </c>
      <c r="F89" s="44">
        <v>96.7</v>
      </c>
      <c r="G89" s="18">
        <v>7.55</v>
      </c>
      <c r="H89" s="27">
        <v>274</v>
      </c>
      <c r="I89" s="18">
        <v>8.11</v>
      </c>
      <c r="J89" s="44">
        <v>-982.9</v>
      </c>
      <c r="K89" s="44">
        <v>26.5</v>
      </c>
    </row>
    <row r="90" spans="1:11" x14ac:dyDescent="0.35">
      <c r="A90" s="51" t="s">
        <v>104</v>
      </c>
      <c r="B90" s="51" t="s">
        <v>18</v>
      </c>
      <c r="C90" s="4" t="s">
        <v>1080</v>
      </c>
      <c r="D90" s="44">
        <v>9.1289999999999996</v>
      </c>
      <c r="E90" s="18">
        <v>26.58</v>
      </c>
      <c r="F90" s="44">
        <v>61.2</v>
      </c>
      <c r="G90" s="18">
        <v>4.92</v>
      </c>
      <c r="H90" s="27">
        <v>410</v>
      </c>
      <c r="I90" s="18">
        <v>7.71</v>
      </c>
      <c r="J90" s="44">
        <v>-976.5</v>
      </c>
      <c r="K90" s="44">
        <v>21.9</v>
      </c>
    </row>
    <row r="91" spans="1:11" x14ac:dyDescent="0.35">
      <c r="A91" s="51" t="s">
        <v>104</v>
      </c>
      <c r="B91" s="51" t="s">
        <v>9</v>
      </c>
      <c r="C91" s="4" t="s">
        <v>1080</v>
      </c>
      <c r="D91" s="44">
        <v>0.94699999999999995</v>
      </c>
      <c r="E91" s="18">
        <v>28.33</v>
      </c>
      <c r="F91" s="44">
        <v>86.1</v>
      </c>
      <c r="G91" s="18">
        <v>6.75</v>
      </c>
      <c r="H91" s="27">
        <v>279</v>
      </c>
      <c r="I91" s="18">
        <v>7.86</v>
      </c>
      <c r="J91" s="44">
        <v>-977.3</v>
      </c>
      <c r="K91" s="44">
        <v>39.700000000000003</v>
      </c>
    </row>
    <row r="92" spans="1:11" x14ac:dyDescent="0.35">
      <c r="A92" s="51" t="s">
        <v>104</v>
      </c>
      <c r="B92" s="51" t="s">
        <v>9</v>
      </c>
      <c r="C92" s="4" t="s">
        <v>1080</v>
      </c>
      <c r="D92" s="44">
        <v>9.5419999999999998</v>
      </c>
      <c r="E92" s="18">
        <v>26.13</v>
      </c>
      <c r="F92" s="44">
        <v>75.7</v>
      </c>
      <c r="G92" s="18">
        <v>6.12</v>
      </c>
      <c r="H92" s="27">
        <v>458</v>
      </c>
      <c r="I92" s="18">
        <v>7.53</v>
      </c>
      <c r="J92" s="44">
        <v>-973.1</v>
      </c>
      <c r="K92" s="44">
        <v>28.9</v>
      </c>
    </row>
    <row r="93" spans="1:11" x14ac:dyDescent="0.35">
      <c r="A93" s="51" t="s">
        <v>104</v>
      </c>
      <c r="B93" t="s">
        <v>64</v>
      </c>
      <c r="C93" s="4" t="s">
        <v>1081</v>
      </c>
      <c r="D93" s="44">
        <v>1.02</v>
      </c>
      <c r="E93" s="18">
        <v>31.64</v>
      </c>
      <c r="F93" s="44">
        <v>169.9</v>
      </c>
      <c r="G93" s="18">
        <v>12.77</v>
      </c>
      <c r="H93" s="27">
        <v>221</v>
      </c>
      <c r="I93" s="18">
        <v>9.33</v>
      </c>
      <c r="J93" s="44">
        <v>-1024.3</v>
      </c>
      <c r="K93" s="44">
        <v>11.6</v>
      </c>
    </row>
    <row r="94" spans="1:11" x14ac:dyDescent="0.35">
      <c r="A94" s="51" t="s">
        <v>104</v>
      </c>
      <c r="B94" t="s">
        <v>64</v>
      </c>
      <c r="C94" s="4" t="s">
        <v>1081</v>
      </c>
      <c r="D94" s="44">
        <v>41.174999999999997</v>
      </c>
      <c r="E94" s="18">
        <v>23.62</v>
      </c>
      <c r="F94" s="44">
        <v>10.1</v>
      </c>
      <c r="G94" s="18">
        <v>0.79</v>
      </c>
      <c r="H94" s="27">
        <v>213</v>
      </c>
      <c r="I94" s="18">
        <v>8.18</v>
      </c>
      <c r="J94" s="44">
        <v>-998.1</v>
      </c>
      <c r="K94" s="44">
        <v>23.7</v>
      </c>
    </row>
    <row r="95" spans="1:11" x14ac:dyDescent="0.35">
      <c r="A95" s="51" t="s">
        <v>104</v>
      </c>
      <c r="B95" s="51" t="s">
        <v>69</v>
      </c>
      <c r="C95" s="4" t="s">
        <v>1081</v>
      </c>
      <c r="D95" s="44">
        <v>1</v>
      </c>
      <c r="E95" s="18">
        <v>30.05</v>
      </c>
      <c r="F95" s="44">
        <v>192.2</v>
      </c>
      <c r="G95" s="18">
        <v>14.5</v>
      </c>
      <c r="H95" s="27">
        <v>222</v>
      </c>
      <c r="I95" s="18">
        <v>9.4700000000000006</v>
      </c>
      <c r="J95" s="44">
        <v>-1027.5</v>
      </c>
      <c r="K95" s="44">
        <v>13.1</v>
      </c>
    </row>
    <row r="96" spans="1:11" x14ac:dyDescent="0.35">
      <c r="A96" s="51" t="s">
        <v>104</v>
      </c>
      <c r="B96" s="51" t="s">
        <v>69</v>
      </c>
      <c r="C96" s="4" t="s">
        <v>1081</v>
      </c>
      <c r="D96" s="44">
        <v>68.8</v>
      </c>
      <c r="E96" s="18">
        <v>22.93</v>
      </c>
      <c r="F96" s="44">
        <v>5.2</v>
      </c>
      <c r="G96" s="18">
        <v>0.44</v>
      </c>
      <c r="H96" s="27">
        <v>187</v>
      </c>
      <c r="I96" s="18">
        <v>7.5</v>
      </c>
      <c r="J96" s="44">
        <v>-991.4</v>
      </c>
      <c r="K96" s="44">
        <v>10.3</v>
      </c>
    </row>
    <row r="97" spans="1:11" x14ac:dyDescent="0.35">
      <c r="A97" s="51" t="s">
        <v>104</v>
      </c>
      <c r="B97" s="51" t="s">
        <v>60</v>
      </c>
      <c r="C97" s="4" t="s">
        <v>1081</v>
      </c>
      <c r="D97" s="44">
        <v>1</v>
      </c>
      <c r="E97" s="18">
        <v>31</v>
      </c>
      <c r="F97" s="44">
        <v>174.2</v>
      </c>
      <c r="G97" s="18">
        <v>12.93</v>
      </c>
      <c r="H97" s="27">
        <v>223</v>
      </c>
      <c r="I97" s="18">
        <v>9.2100000000000009</v>
      </c>
      <c r="J97" s="44">
        <v>-953.1</v>
      </c>
      <c r="K97" s="44">
        <v>12.6</v>
      </c>
    </row>
    <row r="98" spans="1:11" x14ac:dyDescent="0.35">
      <c r="A98" s="51" t="s">
        <v>104</v>
      </c>
      <c r="B98" s="51" t="s">
        <v>60</v>
      </c>
      <c r="C98" s="4" t="s">
        <v>1081</v>
      </c>
      <c r="D98" s="44">
        <v>108</v>
      </c>
      <c r="E98" s="18">
        <v>18.09</v>
      </c>
      <c r="F98" s="44">
        <v>6.7</v>
      </c>
      <c r="G98" s="18">
        <v>0.63</v>
      </c>
      <c r="H98" s="27">
        <v>263</v>
      </c>
      <c r="I98" s="18">
        <v>6.95</v>
      </c>
      <c r="J98" s="44">
        <v>-940</v>
      </c>
      <c r="K98" s="44">
        <v>-1.3</v>
      </c>
    </row>
    <row r="99" spans="1:11" x14ac:dyDescent="0.35">
      <c r="A99" s="51" t="s">
        <v>104</v>
      </c>
      <c r="B99" s="51" t="s">
        <v>25</v>
      </c>
      <c r="C99" s="52" t="s">
        <v>1082</v>
      </c>
      <c r="D99" s="44">
        <v>0.95299999999999996</v>
      </c>
      <c r="E99" s="18">
        <v>28.37</v>
      </c>
      <c r="F99" s="44">
        <v>91.1</v>
      </c>
      <c r="G99" s="18">
        <v>7.11</v>
      </c>
      <c r="H99" s="27">
        <v>238</v>
      </c>
      <c r="I99" s="18">
        <v>8.3000000000000007</v>
      </c>
      <c r="J99" s="44">
        <v>-999.6</v>
      </c>
      <c r="K99" s="44">
        <v>7</v>
      </c>
    </row>
    <row r="100" spans="1:11" x14ac:dyDescent="0.35">
      <c r="A100" s="51" t="s">
        <v>104</v>
      </c>
      <c r="B100" s="51" t="s">
        <v>25</v>
      </c>
      <c r="C100" s="52" t="s">
        <v>1082</v>
      </c>
      <c r="D100" s="44">
        <v>29.15</v>
      </c>
      <c r="E100" s="18">
        <v>24</v>
      </c>
      <c r="F100" s="44">
        <v>5.4</v>
      </c>
      <c r="G100" s="18">
        <v>0.45</v>
      </c>
      <c r="H100" s="27">
        <v>196</v>
      </c>
      <c r="I100" s="18">
        <v>7.53</v>
      </c>
      <c r="J100" s="44">
        <v>-967.6</v>
      </c>
      <c r="K100" s="44">
        <v>19.3</v>
      </c>
    </row>
    <row r="101" spans="1:11" x14ac:dyDescent="0.35">
      <c r="A101" s="51" t="s">
        <v>104</v>
      </c>
      <c r="B101" t="s">
        <v>26</v>
      </c>
      <c r="C101" s="52" t="s">
        <v>1082</v>
      </c>
      <c r="D101" s="44">
        <v>0.95499999999999996</v>
      </c>
      <c r="E101" s="18">
        <v>28.41</v>
      </c>
      <c r="F101" s="44">
        <v>107.2</v>
      </c>
      <c r="G101" s="18">
        <v>8.32</v>
      </c>
      <c r="H101" s="27">
        <v>258</v>
      </c>
      <c r="I101" s="18">
        <v>8.7100000000000009</v>
      </c>
      <c r="J101" s="44">
        <v>-1022.8</v>
      </c>
      <c r="K101" s="44">
        <v>8.8000000000000007</v>
      </c>
    </row>
    <row r="102" spans="1:11" x14ac:dyDescent="0.35">
      <c r="A102" s="51" t="s">
        <v>104</v>
      </c>
      <c r="B102" t="s">
        <v>26</v>
      </c>
      <c r="C102" s="52" t="s">
        <v>1082</v>
      </c>
      <c r="D102" s="44">
        <v>38.188000000000002</v>
      </c>
      <c r="E102" s="18">
        <v>23.64</v>
      </c>
      <c r="F102" s="44">
        <v>4.9000000000000004</v>
      </c>
      <c r="G102" s="18">
        <v>0.41</v>
      </c>
      <c r="H102" s="27">
        <v>203</v>
      </c>
      <c r="I102" s="18">
        <v>7.44</v>
      </c>
      <c r="J102" s="44">
        <v>-990.4</v>
      </c>
      <c r="K102" s="44">
        <v>49.7</v>
      </c>
    </row>
    <row r="103" spans="1:11" x14ac:dyDescent="0.35">
      <c r="A103" s="51" t="s">
        <v>104</v>
      </c>
      <c r="B103" s="51" t="s">
        <v>167</v>
      </c>
      <c r="C103" s="52" t="s">
        <v>1082</v>
      </c>
      <c r="D103" s="44">
        <v>0.47499999999999998</v>
      </c>
      <c r="E103" s="18">
        <v>28.53</v>
      </c>
      <c r="F103" s="44">
        <v>115.7</v>
      </c>
      <c r="G103" s="18">
        <v>9</v>
      </c>
      <c r="H103" s="27">
        <v>259</v>
      </c>
      <c r="I103" s="18">
        <v>8.77</v>
      </c>
      <c r="J103" s="44">
        <v>-108.6</v>
      </c>
      <c r="K103" s="44">
        <v>8</v>
      </c>
    </row>
    <row r="104" spans="1:11" x14ac:dyDescent="0.35">
      <c r="A104" s="51" t="s">
        <v>104</v>
      </c>
      <c r="B104" s="51" t="s">
        <v>167</v>
      </c>
      <c r="C104" s="52" t="s">
        <v>1082</v>
      </c>
      <c r="D104" s="44">
        <v>26.105</v>
      </c>
      <c r="E104" s="18">
        <v>24.11</v>
      </c>
      <c r="F104" s="44">
        <v>13.2</v>
      </c>
      <c r="G104" s="18">
        <v>1.06</v>
      </c>
      <c r="H104" s="27">
        <v>216</v>
      </c>
      <c r="I104" s="18">
        <v>8.0299999999999994</v>
      </c>
      <c r="J104" s="44">
        <v>-1001.7</v>
      </c>
      <c r="K104" s="44">
        <v>36.5</v>
      </c>
    </row>
    <row r="105" spans="1:11" x14ac:dyDescent="0.35">
      <c r="A105" s="51" t="s">
        <v>104</v>
      </c>
      <c r="B105" s="51" t="s">
        <v>14</v>
      </c>
      <c r="C105" s="52" t="s">
        <v>1082</v>
      </c>
      <c r="D105" s="44">
        <v>0.878</v>
      </c>
      <c r="E105" s="18">
        <v>28.79</v>
      </c>
      <c r="F105" s="44">
        <v>101.3</v>
      </c>
      <c r="G105" s="18">
        <v>7.8</v>
      </c>
      <c r="H105" s="27">
        <v>328</v>
      </c>
      <c r="I105" s="18">
        <v>8.14</v>
      </c>
      <c r="J105" s="44">
        <v>-985.7</v>
      </c>
      <c r="K105" s="44">
        <v>35</v>
      </c>
    </row>
    <row r="106" spans="1:11" x14ac:dyDescent="0.35">
      <c r="A106" s="51" t="s">
        <v>104</v>
      </c>
      <c r="B106" s="51" t="s">
        <v>14</v>
      </c>
      <c r="C106" s="52" t="s">
        <v>1082</v>
      </c>
      <c r="D106" s="44">
        <v>5.423</v>
      </c>
      <c r="E106" s="18">
        <v>27.92</v>
      </c>
      <c r="F106" s="44">
        <v>73.400000000000006</v>
      </c>
      <c r="G106" s="18">
        <v>5.75</v>
      </c>
      <c r="H106" s="27">
        <v>307</v>
      </c>
      <c r="I106" s="18">
        <v>7.87</v>
      </c>
      <c r="J106" s="44">
        <v>-975.6</v>
      </c>
      <c r="K106" s="44">
        <v>39.9</v>
      </c>
    </row>
    <row r="107" spans="1:11" x14ac:dyDescent="0.35">
      <c r="A107" s="51" t="s">
        <v>104</v>
      </c>
      <c r="B107" s="51" t="s">
        <v>18</v>
      </c>
      <c r="C107" s="52" t="s">
        <v>1082</v>
      </c>
      <c r="D107" s="44">
        <v>0.81200000000000006</v>
      </c>
      <c r="E107" s="18">
        <v>28.44</v>
      </c>
      <c r="F107" s="44">
        <v>85.7</v>
      </c>
      <c r="G107" s="18">
        <v>6.65</v>
      </c>
      <c r="H107" s="27">
        <v>298</v>
      </c>
      <c r="I107" s="18">
        <v>7.96</v>
      </c>
      <c r="J107" s="44">
        <v>-997.3</v>
      </c>
      <c r="K107" s="44">
        <v>30.1</v>
      </c>
    </row>
    <row r="108" spans="1:11" x14ac:dyDescent="0.35">
      <c r="A108" s="51" t="s">
        <v>104</v>
      </c>
      <c r="B108" s="51" t="s">
        <v>18</v>
      </c>
      <c r="C108" s="52" t="s">
        <v>1082</v>
      </c>
      <c r="D108" s="44">
        <v>9.2769999999999992</v>
      </c>
      <c r="E108" s="18">
        <v>26.1</v>
      </c>
      <c r="F108" s="44">
        <v>30.9</v>
      </c>
      <c r="G108" s="18">
        <v>2.5099999999999998</v>
      </c>
      <c r="H108" s="27">
        <v>314</v>
      </c>
      <c r="I108" s="18">
        <v>7.53</v>
      </c>
      <c r="J108" s="44">
        <v>-983.5</v>
      </c>
      <c r="K108" s="44">
        <v>39.1</v>
      </c>
    </row>
    <row r="109" spans="1:11" x14ac:dyDescent="0.35">
      <c r="A109" s="51" t="s">
        <v>104</v>
      </c>
      <c r="B109" t="s">
        <v>9</v>
      </c>
      <c r="C109" s="52" t="s">
        <v>1082</v>
      </c>
      <c r="D109" s="44">
        <v>0.9</v>
      </c>
      <c r="E109" s="18">
        <v>28.58</v>
      </c>
      <c r="F109" s="44">
        <v>104.8</v>
      </c>
      <c r="G109" s="18">
        <v>8.14</v>
      </c>
      <c r="H109" s="27">
        <v>289</v>
      </c>
      <c r="I109" s="18">
        <v>8.93</v>
      </c>
      <c r="J109" s="44">
        <v>-1005.9</v>
      </c>
      <c r="K109" s="44">
        <v>31.1</v>
      </c>
    </row>
    <row r="110" spans="1:11" x14ac:dyDescent="0.35">
      <c r="A110" s="51" t="s">
        <v>104</v>
      </c>
      <c r="B110" t="s">
        <v>9</v>
      </c>
      <c r="C110" s="52" t="s">
        <v>1082</v>
      </c>
      <c r="D110" s="44">
        <v>10.138999999999999</v>
      </c>
      <c r="E110" s="18">
        <v>26.16</v>
      </c>
      <c r="F110" s="44">
        <v>55.2</v>
      </c>
      <c r="G110" s="18">
        <v>4.46</v>
      </c>
      <c r="H110" s="27">
        <v>381</v>
      </c>
      <c r="I110" s="18">
        <v>7.52</v>
      </c>
      <c r="J110" s="44">
        <v>-989.7</v>
      </c>
      <c r="K110" s="44">
        <v>47</v>
      </c>
    </row>
    <row r="111" spans="1:11" x14ac:dyDescent="0.35">
      <c r="A111" s="51" t="s">
        <v>104</v>
      </c>
      <c r="B111" s="51" t="s">
        <v>64</v>
      </c>
      <c r="C111" s="52" t="s">
        <v>1083</v>
      </c>
      <c r="D111" s="44">
        <v>1.1120000000000001</v>
      </c>
      <c r="E111" s="18">
        <v>29.59</v>
      </c>
      <c r="F111" s="44">
        <v>130.6</v>
      </c>
      <c r="G111" s="18">
        <v>10.31</v>
      </c>
      <c r="H111" s="27">
        <v>224</v>
      </c>
      <c r="I111" s="18">
        <v>8.8699999999999992</v>
      </c>
      <c r="J111" s="44">
        <v>-1018.6</v>
      </c>
      <c r="K111" s="44">
        <v>7.3</v>
      </c>
    </row>
    <row r="112" spans="1:11" x14ac:dyDescent="0.35">
      <c r="A112" s="51" t="s">
        <v>104</v>
      </c>
      <c r="B112" s="51" t="s">
        <v>64</v>
      </c>
      <c r="C112" s="52" t="s">
        <v>1083</v>
      </c>
      <c r="D112" s="44">
        <v>40.965000000000003</v>
      </c>
      <c r="E112" s="18">
        <v>23.57</v>
      </c>
      <c r="F112" s="44">
        <v>7.5</v>
      </c>
      <c r="G112" s="18">
        <v>0.61</v>
      </c>
      <c r="H112" s="27">
        <v>200</v>
      </c>
      <c r="I112" s="18">
        <v>8.15</v>
      </c>
      <c r="J112" s="44">
        <v>-1004.7</v>
      </c>
      <c r="K112" s="44">
        <v>19.600000000000001</v>
      </c>
    </row>
    <row r="113" spans="1:11" x14ac:dyDescent="0.35">
      <c r="A113" s="51" t="s">
        <v>104</v>
      </c>
      <c r="B113" s="51" t="s">
        <v>69</v>
      </c>
      <c r="C113" s="52" t="s">
        <v>1083</v>
      </c>
      <c r="D113" s="44">
        <v>1</v>
      </c>
      <c r="E113" s="18">
        <v>29.03533935546875</v>
      </c>
      <c r="F113" s="44">
        <v>141.26688639322916</v>
      </c>
      <c r="G113" s="18">
        <v>10.853132247924805</v>
      </c>
      <c r="H113" s="27">
        <v>230.68697611490884</v>
      </c>
      <c r="I113" s="18">
        <v>9.140716552734375</v>
      </c>
      <c r="J113" s="44">
        <v>-1032.8776041666667</v>
      </c>
      <c r="K113" s="44">
        <v>10.853132247924805</v>
      </c>
    </row>
    <row r="114" spans="1:11" x14ac:dyDescent="0.35">
      <c r="A114" s="51" t="s">
        <v>104</v>
      </c>
      <c r="B114" s="51" t="s">
        <v>69</v>
      </c>
      <c r="C114" s="52" t="s">
        <v>1083</v>
      </c>
      <c r="D114" s="44">
        <v>68.900000000000006</v>
      </c>
      <c r="E114" s="18">
        <v>22.98</v>
      </c>
      <c r="F114" s="44">
        <v>4.3</v>
      </c>
      <c r="G114" s="18">
        <v>0.37</v>
      </c>
      <c r="H114" s="27">
        <v>200</v>
      </c>
      <c r="I114" s="18">
        <v>7.17</v>
      </c>
      <c r="J114" s="44">
        <v>-1002.3</v>
      </c>
      <c r="K114" s="44">
        <v>26.6</v>
      </c>
    </row>
    <row r="115" spans="1:11" x14ac:dyDescent="0.35">
      <c r="A115" s="51" t="s">
        <v>104</v>
      </c>
      <c r="B115" s="51" t="s">
        <v>60</v>
      </c>
      <c r="C115" s="52" t="s">
        <v>1083</v>
      </c>
      <c r="D115" s="44">
        <v>1</v>
      </c>
      <c r="E115" s="18">
        <v>28.09</v>
      </c>
      <c r="F115" s="44">
        <v>111.5</v>
      </c>
      <c r="G115" s="18">
        <v>7.93</v>
      </c>
      <c r="H115" s="44">
        <v>222.6</v>
      </c>
      <c r="I115" s="18">
        <v>9.08</v>
      </c>
      <c r="J115" s="44">
        <v>-994.55</v>
      </c>
      <c r="K115" s="44">
        <v>7.32</v>
      </c>
    </row>
    <row r="116" spans="1:11" x14ac:dyDescent="0.35">
      <c r="A116" s="51" t="s">
        <v>104</v>
      </c>
      <c r="B116" s="51" t="s">
        <v>60</v>
      </c>
      <c r="C116" s="52" t="s">
        <v>1083</v>
      </c>
      <c r="D116" s="44">
        <v>96.8</v>
      </c>
      <c r="E116" s="18">
        <v>21.17</v>
      </c>
      <c r="F116" s="44">
        <v>4.3</v>
      </c>
      <c r="G116" s="18">
        <v>0.38</v>
      </c>
      <c r="H116" s="27">
        <v>218</v>
      </c>
      <c r="I116" s="18">
        <v>7.03</v>
      </c>
      <c r="J116" s="44">
        <v>-952.1</v>
      </c>
      <c r="K116" s="44">
        <v>14.4</v>
      </c>
    </row>
    <row r="117" spans="1:11" x14ac:dyDescent="0.35">
      <c r="A117" s="51" t="s">
        <v>104</v>
      </c>
      <c r="B117" s="51" t="s">
        <v>25</v>
      </c>
      <c r="C117" s="52" t="s">
        <v>1084</v>
      </c>
      <c r="D117" s="44">
        <v>1.042</v>
      </c>
      <c r="E117" s="18">
        <v>27.53</v>
      </c>
      <c r="F117" s="44">
        <v>112.2</v>
      </c>
      <c r="G117" s="18">
        <v>8.86</v>
      </c>
      <c r="H117" s="27">
        <v>241</v>
      </c>
      <c r="I117" s="18">
        <v>8.81</v>
      </c>
      <c r="J117" s="44">
        <v>199.2</v>
      </c>
      <c r="K117" s="44">
        <v>5.4</v>
      </c>
    </row>
    <row r="118" spans="1:11" x14ac:dyDescent="0.35">
      <c r="A118" s="51" t="s">
        <v>104</v>
      </c>
      <c r="B118" s="51" t="s">
        <v>25</v>
      </c>
      <c r="C118" s="52" t="s">
        <v>1084</v>
      </c>
      <c r="D118" s="44">
        <v>34.097999999999999</v>
      </c>
      <c r="E118" s="18">
        <v>23.84</v>
      </c>
      <c r="F118" s="44">
        <v>12.1</v>
      </c>
      <c r="G118" s="18">
        <v>0.82</v>
      </c>
      <c r="H118" s="27">
        <v>217</v>
      </c>
      <c r="I118" s="18">
        <v>7.9</v>
      </c>
      <c r="J118" s="44">
        <v>-88.1</v>
      </c>
      <c r="K118" s="44">
        <v>64.599999999999994</v>
      </c>
    </row>
    <row r="119" spans="1:11" x14ac:dyDescent="0.35">
      <c r="A119" s="51" t="s">
        <v>104</v>
      </c>
      <c r="B119" t="s">
        <v>26</v>
      </c>
      <c r="C119" s="52" t="s">
        <v>1084</v>
      </c>
      <c r="D119" s="44">
        <v>1.17</v>
      </c>
      <c r="E119" s="18">
        <v>27.85</v>
      </c>
      <c r="F119" s="44">
        <v>120.8</v>
      </c>
      <c r="G119" s="18">
        <v>9.48</v>
      </c>
      <c r="H119" s="27">
        <v>243</v>
      </c>
      <c r="I119" s="18">
        <v>8.57</v>
      </c>
      <c r="J119" s="44">
        <v>187.3</v>
      </c>
      <c r="K119" s="44">
        <v>6.3</v>
      </c>
    </row>
    <row r="120" spans="1:11" x14ac:dyDescent="0.35">
      <c r="A120" s="51" t="s">
        <v>104</v>
      </c>
      <c r="B120" t="s">
        <v>26</v>
      </c>
      <c r="C120" s="52" t="s">
        <v>1084</v>
      </c>
      <c r="D120" s="44">
        <v>38.061</v>
      </c>
      <c r="E120" s="18">
        <v>23.55</v>
      </c>
      <c r="F120" s="44">
        <v>5.4</v>
      </c>
      <c r="G120" s="18">
        <v>0.46</v>
      </c>
      <c r="H120" s="27">
        <v>213</v>
      </c>
      <c r="I120" s="18">
        <v>7.43</v>
      </c>
      <c r="J120" s="44">
        <v>-126.4</v>
      </c>
      <c r="K120" s="44">
        <v>61</v>
      </c>
    </row>
    <row r="121" spans="1:11" x14ac:dyDescent="0.35">
      <c r="A121" s="51" t="s">
        <v>104</v>
      </c>
      <c r="B121" s="51" t="s">
        <v>167</v>
      </c>
      <c r="C121" s="52" t="s">
        <v>1084</v>
      </c>
      <c r="D121" s="44">
        <v>1.0649999999999999</v>
      </c>
      <c r="E121" s="18">
        <v>27.49</v>
      </c>
      <c r="F121" s="44">
        <v>103.9</v>
      </c>
      <c r="G121" s="18">
        <v>8.1199999999999992</v>
      </c>
      <c r="H121" s="27">
        <v>246</v>
      </c>
      <c r="I121" s="18">
        <v>8.7200000000000006</v>
      </c>
      <c r="J121" s="44">
        <v>143.5</v>
      </c>
      <c r="K121" s="44">
        <v>7.2</v>
      </c>
    </row>
    <row r="122" spans="1:11" x14ac:dyDescent="0.35">
      <c r="A122" s="51" t="s">
        <v>104</v>
      </c>
      <c r="B122" s="51" t="s">
        <v>167</v>
      </c>
      <c r="C122" s="52" t="s">
        <v>1084</v>
      </c>
      <c r="D122" s="44">
        <v>28.05</v>
      </c>
      <c r="E122" s="18">
        <v>24.3</v>
      </c>
      <c r="F122" s="44">
        <v>10.3</v>
      </c>
      <c r="G122" s="18">
        <v>0.8</v>
      </c>
      <c r="H122" s="27">
        <v>247</v>
      </c>
      <c r="I122" s="18">
        <v>8.0399999999999991</v>
      </c>
      <c r="J122" s="44">
        <v>-8.6</v>
      </c>
      <c r="K122" s="44">
        <v>29.6</v>
      </c>
    </row>
    <row r="123" spans="1:11" x14ac:dyDescent="0.35">
      <c r="A123" s="51" t="s">
        <v>104</v>
      </c>
      <c r="B123" s="51" t="s">
        <v>14</v>
      </c>
      <c r="C123" s="52" t="s">
        <v>1084</v>
      </c>
      <c r="D123" s="44">
        <v>0.95199999999999996</v>
      </c>
      <c r="E123" s="18">
        <v>28.25</v>
      </c>
      <c r="F123" s="44">
        <v>124.1</v>
      </c>
      <c r="G123" s="18">
        <v>9.73</v>
      </c>
      <c r="H123" s="27">
        <v>257</v>
      </c>
      <c r="I123" s="18">
        <v>8.42</v>
      </c>
      <c r="J123" s="44">
        <v>202.3</v>
      </c>
      <c r="K123" s="44">
        <v>28.7</v>
      </c>
    </row>
    <row r="124" spans="1:11" x14ac:dyDescent="0.35">
      <c r="A124" s="51" t="s">
        <v>104</v>
      </c>
      <c r="B124" s="51" t="s">
        <v>14</v>
      </c>
      <c r="C124" s="52" t="s">
        <v>1084</v>
      </c>
      <c r="D124" s="44">
        <v>7.0049999999999999</v>
      </c>
      <c r="E124" s="18">
        <v>27.27</v>
      </c>
      <c r="F124" s="44">
        <v>76.5</v>
      </c>
      <c r="G124" s="18">
        <v>6.05</v>
      </c>
      <c r="H124" s="27">
        <v>277</v>
      </c>
      <c r="I124" s="18">
        <v>7.94</v>
      </c>
      <c r="J124" s="44">
        <v>223.7</v>
      </c>
      <c r="K124" s="44">
        <v>44.5</v>
      </c>
    </row>
    <row r="125" spans="1:11" x14ac:dyDescent="0.35">
      <c r="A125" s="51" t="s">
        <v>104</v>
      </c>
      <c r="B125" s="51" t="s">
        <v>18</v>
      </c>
      <c r="C125" s="52" t="s">
        <v>1084</v>
      </c>
      <c r="D125" s="44">
        <v>1.1599999999999999</v>
      </c>
      <c r="E125" s="18">
        <v>28.17</v>
      </c>
      <c r="F125" s="44">
        <v>121.4</v>
      </c>
      <c r="G125" s="18">
        <v>9.48</v>
      </c>
      <c r="H125" s="27">
        <v>265</v>
      </c>
      <c r="I125" s="18">
        <v>8.61</v>
      </c>
      <c r="J125" s="44">
        <v>191.4</v>
      </c>
      <c r="K125" s="44">
        <v>25.7</v>
      </c>
    </row>
    <row r="126" spans="1:11" x14ac:dyDescent="0.35">
      <c r="A126" s="51" t="s">
        <v>104</v>
      </c>
      <c r="B126" s="51" t="s">
        <v>18</v>
      </c>
      <c r="C126" s="52" t="s">
        <v>1084</v>
      </c>
      <c r="D126" s="44">
        <v>9.1959999999999997</v>
      </c>
      <c r="E126" s="18">
        <v>26.83</v>
      </c>
      <c r="F126" s="44">
        <v>70.400000000000006</v>
      </c>
      <c r="G126" s="18">
        <v>5.62</v>
      </c>
      <c r="H126" s="27">
        <v>344</v>
      </c>
      <c r="I126" s="18">
        <v>8.1199999999999992</v>
      </c>
      <c r="J126" s="44">
        <v>217.3</v>
      </c>
      <c r="K126" s="44">
        <v>29.1</v>
      </c>
    </row>
    <row r="127" spans="1:11" x14ac:dyDescent="0.35">
      <c r="A127" s="51" t="s">
        <v>104</v>
      </c>
      <c r="B127" t="s">
        <v>9</v>
      </c>
      <c r="C127" s="52" t="s">
        <v>1084</v>
      </c>
      <c r="D127" s="44">
        <v>0.98499999999999999</v>
      </c>
      <c r="E127" s="18">
        <v>27.82</v>
      </c>
      <c r="F127" s="44">
        <v>111</v>
      </c>
      <c r="G127" s="18">
        <v>8.69</v>
      </c>
      <c r="H127" s="27">
        <v>278</v>
      </c>
      <c r="I127" s="18">
        <v>7.61</v>
      </c>
      <c r="J127" s="44">
        <v>191.2</v>
      </c>
      <c r="K127" s="44">
        <v>35.4</v>
      </c>
    </row>
    <row r="128" spans="1:11" x14ac:dyDescent="0.35">
      <c r="A128" s="51" t="s">
        <v>104</v>
      </c>
      <c r="B128" t="s">
        <v>9</v>
      </c>
      <c r="C128" s="52" t="s">
        <v>1084</v>
      </c>
      <c r="D128" s="44">
        <v>10.146000000000001</v>
      </c>
      <c r="E128" s="18">
        <v>27.11</v>
      </c>
      <c r="F128" s="44">
        <v>73.900000000000006</v>
      </c>
      <c r="G128" s="18">
        <v>5.89</v>
      </c>
      <c r="H128" s="27">
        <v>292</v>
      </c>
      <c r="I128" s="18">
        <v>7.71</v>
      </c>
      <c r="J128" s="44">
        <v>202.1</v>
      </c>
      <c r="K128" s="44">
        <v>85.1</v>
      </c>
    </row>
    <row r="129" spans="1:11" x14ac:dyDescent="0.35">
      <c r="A129" s="51" t="s">
        <v>104</v>
      </c>
      <c r="B129" t="s">
        <v>64</v>
      </c>
      <c r="C129" s="52" t="s">
        <v>1085</v>
      </c>
      <c r="D129" s="44">
        <v>0.60399999999999998</v>
      </c>
      <c r="E129" s="18">
        <v>26.94</v>
      </c>
      <c r="F129" s="44">
        <v>84</v>
      </c>
      <c r="G129" s="18">
        <v>6.71</v>
      </c>
      <c r="H129" s="27">
        <v>228</v>
      </c>
      <c r="I129" s="18">
        <v>8.58</v>
      </c>
      <c r="J129" s="44">
        <v>68.5</v>
      </c>
      <c r="K129" s="44">
        <v>4.0999999999999996</v>
      </c>
    </row>
    <row r="130" spans="1:11" x14ac:dyDescent="0.35">
      <c r="A130" s="51" t="s">
        <v>104</v>
      </c>
      <c r="B130" t="s">
        <v>64</v>
      </c>
      <c r="C130" s="52" t="s">
        <v>1085</v>
      </c>
      <c r="D130" s="44">
        <v>46.116</v>
      </c>
      <c r="E130" s="18">
        <v>23.23</v>
      </c>
      <c r="F130" s="44">
        <v>9.1</v>
      </c>
      <c r="G130" s="18">
        <v>0.75</v>
      </c>
      <c r="H130" s="27">
        <v>197</v>
      </c>
      <c r="I130" s="18">
        <v>7.8</v>
      </c>
      <c r="J130" s="44">
        <v>40.5</v>
      </c>
      <c r="K130" s="44">
        <v>20.3</v>
      </c>
    </row>
    <row r="131" spans="1:11" x14ac:dyDescent="0.35">
      <c r="A131" s="51" t="s">
        <v>104</v>
      </c>
      <c r="B131" s="51" t="s">
        <v>69</v>
      </c>
      <c r="C131" s="52" t="s">
        <v>1085</v>
      </c>
      <c r="D131" s="44">
        <v>0.76700000000000002</v>
      </c>
      <c r="E131" s="18">
        <v>27.32</v>
      </c>
      <c r="F131" s="44">
        <v>109.8</v>
      </c>
      <c r="G131" s="18">
        <v>8.6999999999999993</v>
      </c>
      <c r="H131" s="27">
        <v>226</v>
      </c>
      <c r="I131" s="18">
        <v>8.9600000000000009</v>
      </c>
      <c r="J131" s="44">
        <v>25.6</v>
      </c>
      <c r="K131" s="44">
        <v>4.4000000000000004</v>
      </c>
    </row>
    <row r="132" spans="1:11" x14ac:dyDescent="0.35">
      <c r="A132" s="51" t="s">
        <v>104</v>
      </c>
      <c r="B132" s="51" t="s">
        <v>69</v>
      </c>
      <c r="C132" s="52" t="s">
        <v>1085</v>
      </c>
      <c r="D132" s="44">
        <v>69</v>
      </c>
      <c r="E132" s="18">
        <v>22.38</v>
      </c>
      <c r="F132" s="44">
        <v>5.8</v>
      </c>
      <c r="G132" s="18">
        <v>0.5</v>
      </c>
      <c r="H132" s="27">
        <v>223</v>
      </c>
      <c r="I132" s="18">
        <v>7.19</v>
      </c>
      <c r="J132" s="44">
        <v>-141.1</v>
      </c>
      <c r="K132" s="44">
        <v>54.7</v>
      </c>
    </row>
    <row r="133" spans="1:11" x14ac:dyDescent="0.35">
      <c r="A133" s="51" t="s">
        <v>104</v>
      </c>
      <c r="B133" s="51" t="s">
        <v>60</v>
      </c>
      <c r="C133" s="52" t="s">
        <v>1085</v>
      </c>
      <c r="D133" s="44">
        <v>0.73499999999999999</v>
      </c>
      <c r="E133" s="18">
        <v>27.82</v>
      </c>
      <c r="F133" s="44">
        <v>122.3</v>
      </c>
      <c r="G133" s="18">
        <v>9.6</v>
      </c>
      <c r="H133" s="27">
        <v>226</v>
      </c>
      <c r="I133" s="18">
        <v>9.09</v>
      </c>
      <c r="J133" s="44">
        <v>-2.1</v>
      </c>
      <c r="K133" s="44">
        <v>3.9</v>
      </c>
    </row>
    <row r="134" spans="1:11" x14ac:dyDescent="0.35">
      <c r="A134" s="51" t="s">
        <v>104</v>
      </c>
      <c r="B134" s="51" t="s">
        <v>60</v>
      </c>
      <c r="C134" s="52" t="s">
        <v>1085</v>
      </c>
      <c r="D134" s="44">
        <v>100</v>
      </c>
      <c r="E134" s="18">
        <v>19.2</v>
      </c>
      <c r="F134" s="44">
        <v>6.3</v>
      </c>
      <c r="G134" s="18">
        <v>0.57999999999999996</v>
      </c>
      <c r="H134" s="27">
        <v>249</v>
      </c>
      <c r="I134" s="18">
        <v>7.5</v>
      </c>
      <c r="J134" s="44">
        <v>-150.30000000000001</v>
      </c>
      <c r="K134" s="44">
        <v>38.200000000000003</v>
      </c>
    </row>
    <row r="135" spans="1:11" x14ac:dyDescent="0.35">
      <c r="A135" s="51" t="s">
        <v>104</v>
      </c>
      <c r="B135" s="51" t="s">
        <v>25</v>
      </c>
      <c r="C135" s="52" t="s">
        <v>1086</v>
      </c>
      <c r="D135" s="44">
        <v>1.0509999999999999</v>
      </c>
      <c r="E135" s="18">
        <v>28.9</v>
      </c>
      <c r="F135" s="44">
        <v>172.5</v>
      </c>
      <c r="G135" s="18">
        <v>13.32</v>
      </c>
      <c r="H135" s="27">
        <v>239</v>
      </c>
      <c r="I135" s="18">
        <v>8.98</v>
      </c>
      <c r="J135" s="44">
        <v>164.7</v>
      </c>
      <c r="K135" s="44">
        <v>7.2</v>
      </c>
    </row>
    <row r="136" spans="1:11" x14ac:dyDescent="0.35">
      <c r="A136" s="51" t="s">
        <v>104</v>
      </c>
      <c r="B136" s="51" t="s">
        <v>25</v>
      </c>
      <c r="C136" s="52" t="s">
        <v>1086</v>
      </c>
      <c r="D136" s="44">
        <v>29.004000000000001</v>
      </c>
      <c r="E136" s="18">
        <v>23.89</v>
      </c>
      <c r="F136" s="44">
        <v>6.7</v>
      </c>
      <c r="G136" s="18">
        <v>0.55000000000000004</v>
      </c>
      <c r="H136" s="27">
        <v>211</v>
      </c>
      <c r="I136" s="18">
        <v>7.44</v>
      </c>
      <c r="J136" s="44">
        <v>-91.4</v>
      </c>
      <c r="K136" s="44">
        <v>24</v>
      </c>
    </row>
    <row r="137" spans="1:11" x14ac:dyDescent="0.35">
      <c r="A137" s="51" t="s">
        <v>104</v>
      </c>
      <c r="B137" t="s">
        <v>26</v>
      </c>
      <c r="C137" s="52" t="s">
        <v>1086</v>
      </c>
      <c r="D137" s="44">
        <v>1.0369999999999999</v>
      </c>
      <c r="E137" s="18">
        <v>28.78</v>
      </c>
      <c r="F137" s="44">
        <v>176.1</v>
      </c>
      <c r="G137" s="18">
        <v>13.6</v>
      </c>
      <c r="H137" s="27">
        <v>213</v>
      </c>
      <c r="I137" s="18">
        <v>9.0399999999999991</v>
      </c>
      <c r="J137" s="44">
        <v>143.30000000000001</v>
      </c>
      <c r="K137" s="44">
        <v>7.4</v>
      </c>
    </row>
    <row r="138" spans="1:11" x14ac:dyDescent="0.35">
      <c r="A138" s="51" t="s">
        <v>104</v>
      </c>
      <c r="B138" t="s">
        <v>26</v>
      </c>
      <c r="C138" s="52" t="s">
        <v>1086</v>
      </c>
      <c r="D138" s="44">
        <v>37.015999999999998</v>
      </c>
      <c r="E138" s="18">
        <v>23.58</v>
      </c>
      <c r="F138" s="44">
        <v>7.1</v>
      </c>
      <c r="G138" s="18">
        <v>0.59</v>
      </c>
      <c r="H138" s="27">
        <v>240</v>
      </c>
      <c r="I138" s="18">
        <v>7.6</v>
      </c>
      <c r="J138" s="44">
        <v>-113.9</v>
      </c>
      <c r="K138" s="44">
        <v>46.6</v>
      </c>
    </row>
    <row r="139" spans="1:11" x14ac:dyDescent="0.35">
      <c r="A139" s="51" t="s">
        <v>104</v>
      </c>
      <c r="B139" t="s">
        <v>167</v>
      </c>
      <c r="C139" s="52" t="s">
        <v>1086</v>
      </c>
      <c r="D139" s="44">
        <v>1.0189999999999999</v>
      </c>
      <c r="E139" s="18">
        <v>28.94</v>
      </c>
      <c r="F139" s="44">
        <v>179.2</v>
      </c>
      <c r="G139" s="18">
        <v>13.81</v>
      </c>
      <c r="H139" s="27">
        <v>241</v>
      </c>
      <c r="I139" s="18">
        <v>8.9700000000000006</v>
      </c>
      <c r="J139" s="44">
        <v>180.9</v>
      </c>
      <c r="K139" s="44">
        <v>7.4</v>
      </c>
    </row>
    <row r="140" spans="1:11" x14ac:dyDescent="0.35">
      <c r="A140" s="51" t="s">
        <v>104</v>
      </c>
      <c r="B140" t="s">
        <v>167</v>
      </c>
      <c r="C140" s="52" t="s">
        <v>1086</v>
      </c>
      <c r="D140" s="44">
        <v>27.062000000000001</v>
      </c>
      <c r="E140" s="18">
        <v>24.16</v>
      </c>
      <c r="F140" s="44">
        <v>9.6999999999999993</v>
      </c>
      <c r="G140" s="18">
        <v>0.79</v>
      </c>
      <c r="H140" s="27">
        <v>225</v>
      </c>
      <c r="I140" s="18">
        <v>7.89</v>
      </c>
      <c r="J140" s="44">
        <v>-67.900000000000006</v>
      </c>
      <c r="K140" s="44">
        <v>20.9</v>
      </c>
    </row>
    <row r="141" spans="1:11" x14ac:dyDescent="0.35">
      <c r="A141" s="51" t="s">
        <v>104</v>
      </c>
      <c r="B141" t="s">
        <v>14</v>
      </c>
      <c r="C141" s="52" t="s">
        <v>1086</v>
      </c>
      <c r="D141" s="44">
        <v>1.0720000000000001</v>
      </c>
      <c r="E141" s="18">
        <v>28.53</v>
      </c>
      <c r="F141" s="44">
        <v>119.5</v>
      </c>
      <c r="G141" s="18">
        <v>9.25</v>
      </c>
      <c r="H141" s="27">
        <v>278</v>
      </c>
      <c r="I141" s="18">
        <v>8.0399999999999991</v>
      </c>
      <c r="J141" s="44">
        <v>183.1</v>
      </c>
      <c r="K141" s="44">
        <v>19.2</v>
      </c>
    </row>
    <row r="142" spans="1:11" x14ac:dyDescent="0.35">
      <c r="A142" s="51" t="s">
        <v>104</v>
      </c>
      <c r="B142" t="s">
        <v>14</v>
      </c>
      <c r="C142" s="52" t="s">
        <v>1086</v>
      </c>
      <c r="D142" s="44">
        <v>8.0980000000000008</v>
      </c>
      <c r="E142" s="18">
        <v>27.26</v>
      </c>
      <c r="F142" s="44">
        <v>57.5</v>
      </c>
      <c r="G142" s="18">
        <v>4.55</v>
      </c>
      <c r="H142" s="27">
        <v>345</v>
      </c>
      <c r="I142" s="18">
        <v>7.46</v>
      </c>
      <c r="J142" s="44">
        <v>227.9</v>
      </c>
      <c r="K142" s="44">
        <v>20</v>
      </c>
    </row>
    <row r="143" spans="1:11" x14ac:dyDescent="0.35">
      <c r="A143" s="51" t="s">
        <v>104</v>
      </c>
      <c r="B143" s="51" t="s">
        <v>157</v>
      </c>
      <c r="C143" s="52" t="s">
        <v>1086</v>
      </c>
      <c r="D143" s="44">
        <v>1.008</v>
      </c>
      <c r="E143" s="18">
        <v>28.68</v>
      </c>
      <c r="F143" s="44">
        <v>151.30000000000001</v>
      </c>
      <c r="G143" s="18">
        <v>11.7</v>
      </c>
      <c r="H143" s="27">
        <v>271</v>
      </c>
      <c r="I143" s="18">
        <v>8.44</v>
      </c>
      <c r="J143" s="44">
        <v>189.9</v>
      </c>
      <c r="K143" s="44">
        <v>13.1</v>
      </c>
    </row>
    <row r="144" spans="1:11" x14ac:dyDescent="0.35">
      <c r="A144" s="51" t="s">
        <v>104</v>
      </c>
      <c r="B144" s="51" t="s">
        <v>157</v>
      </c>
      <c r="C144" s="52" t="s">
        <v>1086</v>
      </c>
      <c r="D144" s="44">
        <v>9.0640000000000001</v>
      </c>
      <c r="E144" s="18">
        <v>27.08</v>
      </c>
      <c r="F144" s="44">
        <v>47.5</v>
      </c>
      <c r="G144" s="18">
        <v>3.77</v>
      </c>
      <c r="H144" s="27">
        <v>347</v>
      </c>
      <c r="I144" s="18">
        <v>7.57</v>
      </c>
      <c r="J144" s="44">
        <v>237.9</v>
      </c>
      <c r="K144" s="44">
        <v>23.1</v>
      </c>
    </row>
    <row r="145" spans="1:11" x14ac:dyDescent="0.35">
      <c r="A145" s="51" t="s">
        <v>104</v>
      </c>
      <c r="B145" s="51" t="s">
        <v>135</v>
      </c>
      <c r="C145" s="52" t="s">
        <v>1086</v>
      </c>
      <c r="D145" s="44">
        <v>1.1120000000000001</v>
      </c>
      <c r="E145" s="18">
        <v>28.68</v>
      </c>
      <c r="F145" s="44">
        <v>115.6</v>
      </c>
      <c r="G145" s="18">
        <v>8.9499999999999993</v>
      </c>
      <c r="H145" s="27">
        <v>286</v>
      </c>
      <c r="I145" s="18">
        <v>7.48</v>
      </c>
      <c r="J145" s="44">
        <v>181.2</v>
      </c>
      <c r="K145" s="44">
        <v>44.8</v>
      </c>
    </row>
    <row r="146" spans="1:11" x14ac:dyDescent="0.35">
      <c r="A146" s="51" t="s">
        <v>104</v>
      </c>
      <c r="B146" s="51" t="s">
        <v>135</v>
      </c>
      <c r="C146" s="52" t="s">
        <v>1086</v>
      </c>
      <c r="D146" s="44">
        <v>10.071999999999999</v>
      </c>
      <c r="E146" s="18">
        <v>26.8</v>
      </c>
      <c r="F146" s="44">
        <v>60.9</v>
      </c>
      <c r="G146" s="18">
        <v>4.7</v>
      </c>
      <c r="H146" s="27">
        <v>405</v>
      </c>
      <c r="I146" s="18">
        <v>7.39</v>
      </c>
      <c r="J146" s="44">
        <v>194.9</v>
      </c>
      <c r="K146" s="44">
        <v>23.4</v>
      </c>
    </row>
    <row r="147" spans="1:11" x14ac:dyDescent="0.35">
      <c r="A147" s="51" t="s">
        <v>104</v>
      </c>
      <c r="B147" s="51" t="s">
        <v>64</v>
      </c>
      <c r="C147" s="52" t="s">
        <v>719</v>
      </c>
      <c r="D147" s="44">
        <v>1</v>
      </c>
      <c r="E147" s="18">
        <v>27.91</v>
      </c>
      <c r="F147" s="44">
        <v>101.7</v>
      </c>
      <c r="G147" s="18">
        <v>8.0399999999999991</v>
      </c>
      <c r="H147" s="27">
        <v>226</v>
      </c>
      <c r="I147" s="18">
        <v>8.1999999999999993</v>
      </c>
      <c r="J147" s="44">
        <v>-33.200000000000003</v>
      </c>
      <c r="K147" s="44">
        <v>6.2</v>
      </c>
    </row>
    <row r="148" spans="1:11" x14ac:dyDescent="0.35">
      <c r="A148" s="51" t="s">
        <v>104</v>
      </c>
      <c r="B148" s="51" t="s">
        <v>64</v>
      </c>
      <c r="C148" s="52" t="s">
        <v>719</v>
      </c>
      <c r="D148" s="44">
        <v>45</v>
      </c>
      <c r="E148" s="18">
        <v>23.24</v>
      </c>
      <c r="F148" s="44">
        <v>4.5</v>
      </c>
      <c r="G148" s="18">
        <v>0.4</v>
      </c>
      <c r="H148" s="27">
        <v>201</v>
      </c>
      <c r="I148" s="18">
        <v>6.93</v>
      </c>
      <c r="J148" s="44">
        <v>-136.1</v>
      </c>
      <c r="K148" s="44">
        <v>18.100000000000001</v>
      </c>
    </row>
    <row r="149" spans="1:11" x14ac:dyDescent="0.35">
      <c r="A149" s="51" t="s">
        <v>104</v>
      </c>
      <c r="B149" s="51" t="s">
        <v>69</v>
      </c>
      <c r="C149" s="52" t="s">
        <v>719</v>
      </c>
      <c r="D149" s="44">
        <v>1</v>
      </c>
      <c r="E149" s="18">
        <v>26.93</v>
      </c>
      <c r="F149" s="44">
        <v>87.8</v>
      </c>
      <c r="G149" s="18">
        <v>7</v>
      </c>
      <c r="H149" s="27">
        <v>227</v>
      </c>
      <c r="I149" s="18">
        <v>8.39</v>
      </c>
      <c r="J149" s="44">
        <v>-46.6</v>
      </c>
      <c r="K149" s="44">
        <v>1.7</v>
      </c>
    </row>
    <row r="150" spans="1:11" x14ac:dyDescent="0.35">
      <c r="A150" s="51" t="s">
        <v>104</v>
      </c>
      <c r="B150" s="51" t="s">
        <v>69</v>
      </c>
      <c r="C150" s="52" t="s">
        <v>719</v>
      </c>
      <c r="D150" s="44">
        <v>70</v>
      </c>
      <c r="E150" s="18">
        <v>22.86</v>
      </c>
      <c r="F150" s="44">
        <v>11.7</v>
      </c>
      <c r="G150" s="18">
        <v>1.01</v>
      </c>
      <c r="H150" s="27">
        <v>217</v>
      </c>
      <c r="I150" s="18">
        <v>7.43</v>
      </c>
      <c r="J150" s="44">
        <v>-163.69999999999999</v>
      </c>
      <c r="K150" s="44">
        <v>44.1</v>
      </c>
    </row>
    <row r="151" spans="1:11" x14ac:dyDescent="0.35">
      <c r="A151" s="51" t="s">
        <v>104</v>
      </c>
      <c r="B151" s="51" t="s">
        <v>60</v>
      </c>
      <c r="C151" s="52" t="s">
        <v>719</v>
      </c>
      <c r="D151" s="44">
        <v>1</v>
      </c>
      <c r="E151" s="18">
        <v>27.28</v>
      </c>
      <c r="F151" s="44">
        <v>99.7</v>
      </c>
      <c r="G151" s="18">
        <v>7.9</v>
      </c>
      <c r="H151" s="27">
        <v>226</v>
      </c>
      <c r="I151" s="18">
        <v>8.6</v>
      </c>
      <c r="J151" s="44">
        <v>70.599999999999994</v>
      </c>
      <c r="K151" s="44">
        <v>-0.1</v>
      </c>
    </row>
    <row r="152" spans="1:11" x14ac:dyDescent="0.35">
      <c r="A152" s="51" t="s">
        <v>104</v>
      </c>
      <c r="B152" s="51" t="s">
        <v>60</v>
      </c>
      <c r="C152" s="52" t="s">
        <v>719</v>
      </c>
      <c r="D152" s="44">
        <v>99</v>
      </c>
      <c r="E152" s="18">
        <v>19.510000000000002</v>
      </c>
      <c r="F152" s="44">
        <v>6.8</v>
      </c>
      <c r="G152" s="18">
        <v>0.63</v>
      </c>
      <c r="H152" s="27">
        <v>245</v>
      </c>
      <c r="I152" s="18">
        <v>7.39</v>
      </c>
      <c r="J152" s="44">
        <v>-147.30000000000001</v>
      </c>
      <c r="K152" s="44">
        <v>19.8</v>
      </c>
    </row>
    <row r="153" spans="1:11" x14ac:dyDescent="0.35">
      <c r="A153" s="51" t="s">
        <v>104</v>
      </c>
      <c r="B153" s="51" t="s">
        <v>26</v>
      </c>
      <c r="C153" s="4" t="s">
        <v>1446</v>
      </c>
      <c r="D153" s="44">
        <v>0.308</v>
      </c>
      <c r="E153" s="18">
        <v>26.64</v>
      </c>
      <c r="F153" s="44">
        <v>91.1</v>
      </c>
      <c r="G153" s="18">
        <v>7.39</v>
      </c>
      <c r="H153" s="27">
        <v>245</v>
      </c>
      <c r="I153" s="18">
        <v>8.06</v>
      </c>
      <c r="J153" s="44">
        <v>-16.5</v>
      </c>
      <c r="K153" s="44">
        <v>1.1000000000000001</v>
      </c>
    </row>
    <row r="154" spans="1:11" x14ac:dyDescent="0.35">
      <c r="A154" s="51" t="s">
        <v>104</v>
      </c>
      <c r="B154" s="51" t="s">
        <v>26</v>
      </c>
      <c r="C154" s="4" t="s">
        <v>1446</v>
      </c>
      <c r="D154" s="44">
        <v>38.921999999999997</v>
      </c>
      <c r="E154" s="18">
        <v>23.69</v>
      </c>
      <c r="F154" s="44">
        <v>6.7</v>
      </c>
      <c r="G154" s="18">
        <v>0.56999999999999995</v>
      </c>
      <c r="H154" s="27">
        <v>235</v>
      </c>
      <c r="I154" s="18">
        <v>7.14</v>
      </c>
      <c r="J154" s="44">
        <v>-122.2</v>
      </c>
      <c r="K154" s="44">
        <v>22.2</v>
      </c>
    </row>
    <row r="155" spans="1:11" x14ac:dyDescent="0.35">
      <c r="A155" s="51" t="s">
        <v>104</v>
      </c>
      <c r="B155" s="51" t="s">
        <v>25</v>
      </c>
      <c r="C155" s="4" t="s">
        <v>1446</v>
      </c>
      <c r="D155" s="44">
        <v>0.28299999999999997</v>
      </c>
      <c r="E155" s="18">
        <v>26.72</v>
      </c>
      <c r="F155" s="44">
        <v>102.1</v>
      </c>
      <c r="G155" s="18">
        <v>8.17</v>
      </c>
      <c r="H155" s="27">
        <v>240</v>
      </c>
      <c r="I155" s="18">
        <v>8.4600000000000009</v>
      </c>
      <c r="J155" s="44">
        <v>79.900000000000006</v>
      </c>
      <c r="K155" s="44">
        <v>0.7</v>
      </c>
    </row>
    <row r="156" spans="1:11" x14ac:dyDescent="0.35">
      <c r="A156" s="51" t="s">
        <v>104</v>
      </c>
      <c r="B156" s="51" t="s">
        <v>25</v>
      </c>
      <c r="C156" s="4" t="s">
        <v>1446</v>
      </c>
      <c r="D156" s="44">
        <v>30.36</v>
      </c>
      <c r="E156" s="18">
        <v>24.11</v>
      </c>
      <c r="F156" s="44">
        <v>14.5</v>
      </c>
      <c r="G156" s="18">
        <v>1.17</v>
      </c>
      <c r="H156" s="27">
        <v>226</v>
      </c>
      <c r="I156" s="18">
        <v>7.71</v>
      </c>
      <c r="J156" s="44">
        <v>-86.4</v>
      </c>
      <c r="K156" s="44">
        <v>29.9</v>
      </c>
    </row>
    <row r="157" spans="1:11" x14ac:dyDescent="0.35">
      <c r="A157" s="51" t="s">
        <v>104</v>
      </c>
      <c r="B157" s="51" t="s">
        <v>167</v>
      </c>
      <c r="C157" s="4" t="s">
        <v>1446</v>
      </c>
      <c r="D157" s="44">
        <v>0.3</v>
      </c>
      <c r="E157" s="18">
        <v>26.84</v>
      </c>
      <c r="F157" s="44">
        <v>112.8</v>
      </c>
      <c r="G157" s="18">
        <v>9.01</v>
      </c>
      <c r="H157" s="27">
        <v>251</v>
      </c>
      <c r="I157" s="18">
        <v>8.5399999999999991</v>
      </c>
      <c r="J157" s="44">
        <v>188.8</v>
      </c>
      <c r="K157" s="44">
        <v>1.3</v>
      </c>
    </row>
    <row r="158" spans="1:11" x14ac:dyDescent="0.35">
      <c r="A158" s="51" t="s">
        <v>104</v>
      </c>
      <c r="B158" s="51" t="s">
        <v>167</v>
      </c>
      <c r="C158" s="4" t="s">
        <v>1446</v>
      </c>
      <c r="D158" s="44">
        <v>27.998000000000001</v>
      </c>
      <c r="E158" s="18">
        <v>24.45</v>
      </c>
      <c r="F158" s="44">
        <v>11.4</v>
      </c>
      <c r="G158" s="18">
        <v>0.93</v>
      </c>
      <c r="H158" s="27">
        <v>258</v>
      </c>
      <c r="I158" s="18">
        <v>7.38</v>
      </c>
      <c r="J158" s="44">
        <v>207</v>
      </c>
      <c r="K158" s="44">
        <v>8.6</v>
      </c>
    </row>
    <row r="159" spans="1:11" x14ac:dyDescent="0.35">
      <c r="A159" s="51" t="s">
        <v>104</v>
      </c>
      <c r="B159" s="51" t="s">
        <v>9</v>
      </c>
      <c r="C159" s="4" t="s">
        <v>1446</v>
      </c>
      <c r="D159" s="44">
        <v>0.17399999999999999</v>
      </c>
      <c r="E159" s="18">
        <v>27.77</v>
      </c>
      <c r="F159" s="44">
        <v>142.19999999999999</v>
      </c>
      <c r="G159" s="18">
        <v>10.97</v>
      </c>
      <c r="H159" s="27">
        <v>254</v>
      </c>
      <c r="I159" s="18">
        <v>8.52</v>
      </c>
      <c r="J159" s="44">
        <v>203.4</v>
      </c>
      <c r="K159" s="44">
        <v>14</v>
      </c>
    </row>
    <row r="160" spans="1:11" x14ac:dyDescent="0.35">
      <c r="A160" s="51" t="s">
        <v>104</v>
      </c>
      <c r="B160" s="51" t="s">
        <v>9</v>
      </c>
      <c r="C160" s="4" t="s">
        <v>1446</v>
      </c>
      <c r="D160" s="44">
        <v>9.9190000000000005</v>
      </c>
      <c r="E160" s="18">
        <v>24.33</v>
      </c>
      <c r="F160" s="44">
        <v>69.7</v>
      </c>
      <c r="G160" s="18">
        <v>5.8</v>
      </c>
      <c r="H160" s="27">
        <v>262</v>
      </c>
      <c r="I160" s="18">
        <v>7.84</v>
      </c>
      <c r="J160" s="44">
        <v>210.5</v>
      </c>
      <c r="K160" s="44">
        <v>35.6</v>
      </c>
    </row>
    <row r="161" spans="1:11" x14ac:dyDescent="0.35">
      <c r="A161" s="51" t="s">
        <v>104</v>
      </c>
      <c r="B161" s="51" t="s">
        <v>14</v>
      </c>
      <c r="C161" s="4" t="s">
        <v>1446</v>
      </c>
      <c r="D161" s="44">
        <v>0.154</v>
      </c>
      <c r="E161" s="18">
        <v>28.59</v>
      </c>
      <c r="F161" s="44">
        <v>131.19999999999999</v>
      </c>
      <c r="G161" s="18">
        <v>10.18</v>
      </c>
      <c r="H161" s="27">
        <v>255</v>
      </c>
      <c r="I161" s="18">
        <v>8.4499999999999993</v>
      </c>
      <c r="J161" s="44">
        <v>216.3</v>
      </c>
      <c r="K161" s="44">
        <v>12.6</v>
      </c>
    </row>
    <row r="162" spans="1:11" x14ac:dyDescent="0.35">
      <c r="A162" s="51" t="s">
        <v>104</v>
      </c>
      <c r="B162" s="51" t="s">
        <v>14</v>
      </c>
      <c r="C162" s="4" t="s">
        <v>1446</v>
      </c>
      <c r="D162" s="44">
        <v>6.1660000000000004</v>
      </c>
      <c r="E162" s="18">
        <v>26.6</v>
      </c>
      <c r="F162" s="44">
        <v>67.599999999999994</v>
      </c>
      <c r="G162" s="18">
        <v>5.49</v>
      </c>
      <c r="H162" s="27">
        <v>263</v>
      </c>
      <c r="I162" s="18">
        <v>7.82</v>
      </c>
      <c r="J162" s="44">
        <v>233.2</v>
      </c>
      <c r="K162" s="44">
        <v>19.899999999999999</v>
      </c>
    </row>
    <row r="163" spans="1:11" x14ac:dyDescent="0.35">
      <c r="A163" s="51" t="s">
        <v>104</v>
      </c>
      <c r="B163" s="51" t="s">
        <v>18</v>
      </c>
      <c r="C163" s="4" t="s">
        <v>1446</v>
      </c>
      <c r="D163" s="44">
        <v>0.02</v>
      </c>
      <c r="E163" s="18">
        <v>27.51</v>
      </c>
      <c r="F163" s="44">
        <v>125.8</v>
      </c>
      <c r="G163" s="18">
        <v>10.050000000000001</v>
      </c>
      <c r="H163" s="27">
        <v>253</v>
      </c>
      <c r="I163" s="18">
        <v>8.4</v>
      </c>
      <c r="J163" s="44">
        <v>215.7</v>
      </c>
      <c r="K163" s="44">
        <v>7.8</v>
      </c>
    </row>
    <row r="164" spans="1:11" x14ac:dyDescent="0.35">
      <c r="A164" s="51" t="s">
        <v>104</v>
      </c>
      <c r="B164" s="51" t="s">
        <v>18</v>
      </c>
      <c r="C164" s="4" t="s">
        <v>1446</v>
      </c>
      <c r="D164" s="44">
        <v>9.0410000000000004</v>
      </c>
      <c r="E164" s="18">
        <v>25.95</v>
      </c>
      <c r="F164" s="44">
        <v>73.400000000000006</v>
      </c>
      <c r="G164" s="18">
        <v>5.96</v>
      </c>
      <c r="H164" s="27">
        <v>262</v>
      </c>
      <c r="I164" s="18">
        <v>7.82</v>
      </c>
      <c r="J164" s="44">
        <v>233.1</v>
      </c>
      <c r="K164" s="44">
        <v>25.1</v>
      </c>
    </row>
    <row r="165" spans="1:11" x14ac:dyDescent="0.35">
      <c r="A165" s="51" t="s">
        <v>104</v>
      </c>
      <c r="B165" s="51" t="s">
        <v>64</v>
      </c>
      <c r="C165" s="4" t="s">
        <v>1447</v>
      </c>
      <c r="D165" s="44">
        <v>0.98699999999999999</v>
      </c>
      <c r="E165" s="18">
        <v>25.57</v>
      </c>
      <c r="F165" s="44">
        <v>59</v>
      </c>
      <c r="G165" s="18">
        <v>4.8</v>
      </c>
      <c r="H165" s="27">
        <v>236</v>
      </c>
      <c r="I165" s="18">
        <v>8.06</v>
      </c>
      <c r="J165" s="44">
        <v>77.099999999999994</v>
      </c>
      <c r="K165" s="44">
        <v>3</v>
      </c>
    </row>
    <row r="166" spans="1:11" x14ac:dyDescent="0.35">
      <c r="A166" s="51" t="s">
        <v>104</v>
      </c>
      <c r="B166" s="51" t="s">
        <v>64</v>
      </c>
      <c r="C166" s="4" t="s">
        <v>1447</v>
      </c>
      <c r="D166" s="44">
        <v>41.8</v>
      </c>
      <c r="E166" s="18">
        <v>23.34</v>
      </c>
      <c r="F166" s="44">
        <v>6.1</v>
      </c>
      <c r="G166" s="18">
        <v>0.5</v>
      </c>
      <c r="H166" s="27">
        <v>206</v>
      </c>
      <c r="I166" s="18">
        <v>6.69</v>
      </c>
      <c r="J166" s="44">
        <v>-109.9</v>
      </c>
      <c r="K166" s="44">
        <v>18.5</v>
      </c>
    </row>
    <row r="167" spans="1:11" x14ac:dyDescent="0.35">
      <c r="A167" s="51" t="s">
        <v>104</v>
      </c>
      <c r="B167" s="51" t="s">
        <v>69</v>
      </c>
      <c r="C167" s="4" t="s">
        <v>1447</v>
      </c>
      <c r="D167" s="44">
        <v>59.055</v>
      </c>
      <c r="E167" s="18">
        <v>22.88</v>
      </c>
      <c r="F167" s="44">
        <v>8</v>
      </c>
      <c r="G167" s="18">
        <v>0.69</v>
      </c>
      <c r="H167" s="27">
        <v>221</v>
      </c>
      <c r="I167" s="18">
        <v>7.06</v>
      </c>
      <c r="J167" s="44">
        <v>-123.5</v>
      </c>
      <c r="K167" s="44">
        <v>30.2</v>
      </c>
    </row>
    <row r="168" spans="1:11" x14ac:dyDescent="0.35">
      <c r="A168" s="51" t="s">
        <v>104</v>
      </c>
      <c r="B168" s="51" t="s">
        <v>69</v>
      </c>
      <c r="C168" s="4" t="s">
        <v>1447</v>
      </c>
      <c r="D168" s="44">
        <v>1</v>
      </c>
      <c r="E168" s="18">
        <v>25.96</v>
      </c>
      <c r="F168" s="44">
        <v>85.5</v>
      </c>
      <c r="G168" s="18">
        <v>6.94</v>
      </c>
      <c r="H168" s="27">
        <v>237</v>
      </c>
      <c r="I168" s="18">
        <v>8.1300000000000008</v>
      </c>
      <c r="J168" s="44">
        <v>-7.7</v>
      </c>
      <c r="K168" s="44">
        <v>4.0999999999999996</v>
      </c>
    </row>
    <row r="169" spans="1:11" x14ac:dyDescent="0.35">
      <c r="A169" s="51" t="s">
        <v>104</v>
      </c>
      <c r="B169" s="51" t="s">
        <v>60</v>
      </c>
      <c r="C169" s="4" t="s">
        <v>1447</v>
      </c>
      <c r="D169" s="44">
        <v>0.3</v>
      </c>
      <c r="E169" s="18">
        <v>26.3</v>
      </c>
      <c r="F169" s="44">
        <v>89.3</v>
      </c>
      <c r="G169" s="18">
        <v>7.22</v>
      </c>
      <c r="H169" s="27">
        <v>234</v>
      </c>
      <c r="I169" s="18">
        <v>8.44</v>
      </c>
      <c r="J169" s="44">
        <v>177.4</v>
      </c>
      <c r="K169" s="44">
        <v>2.7</v>
      </c>
    </row>
    <row r="170" spans="1:11" x14ac:dyDescent="0.35">
      <c r="A170" s="51" t="s">
        <v>104</v>
      </c>
      <c r="B170" s="51" t="s">
        <v>60</v>
      </c>
      <c r="C170" s="4" t="s">
        <v>1447</v>
      </c>
      <c r="D170" s="44">
        <v>95.144000000000005</v>
      </c>
      <c r="E170" s="18">
        <v>20</v>
      </c>
      <c r="F170" s="44">
        <v>5.2</v>
      </c>
      <c r="G170" s="18">
        <v>0.47</v>
      </c>
      <c r="H170" s="27">
        <v>244</v>
      </c>
      <c r="I170" s="18">
        <v>7.05</v>
      </c>
      <c r="J170" s="44">
        <v>-146.69999999999999</v>
      </c>
      <c r="K170" s="44">
        <v>14.7</v>
      </c>
    </row>
    <row r="171" spans="1:11" x14ac:dyDescent="0.35">
      <c r="A171" s="51" t="s">
        <v>104</v>
      </c>
      <c r="B171" s="51" t="s">
        <v>60</v>
      </c>
      <c r="C171" s="4" t="s">
        <v>1447</v>
      </c>
      <c r="D171" s="44">
        <v>94.16</v>
      </c>
      <c r="E171" s="18">
        <v>20.52</v>
      </c>
      <c r="F171" s="44">
        <v>3.4</v>
      </c>
      <c r="G171" s="18">
        <v>0.31</v>
      </c>
      <c r="H171" s="27">
        <v>234</v>
      </c>
      <c r="I171" s="18">
        <v>6.78</v>
      </c>
      <c r="J171" s="44">
        <v>-175.4</v>
      </c>
      <c r="K171" s="44">
        <v>11</v>
      </c>
    </row>
    <row r="172" spans="1:11" x14ac:dyDescent="0.35">
      <c r="A172" s="51" t="s">
        <v>104</v>
      </c>
      <c r="B172" s="51" t="s">
        <v>60</v>
      </c>
      <c r="C172" s="4" t="s">
        <v>1447</v>
      </c>
      <c r="D172" s="44">
        <v>84.744</v>
      </c>
      <c r="E172" s="18">
        <v>21.5</v>
      </c>
      <c r="F172" s="44">
        <v>3.4</v>
      </c>
      <c r="G172" s="18">
        <v>0.3</v>
      </c>
      <c r="H172" s="27">
        <v>221</v>
      </c>
      <c r="I172" s="18">
        <v>6.86</v>
      </c>
      <c r="J172" s="44">
        <v>-175</v>
      </c>
      <c r="K172" s="44">
        <v>6.4</v>
      </c>
    </row>
    <row r="173" spans="1:11" x14ac:dyDescent="0.35">
      <c r="A173" s="51" t="s">
        <v>104</v>
      </c>
      <c r="B173" s="51" t="s">
        <v>60</v>
      </c>
      <c r="C173" s="4" t="s">
        <v>1447</v>
      </c>
      <c r="D173" s="44">
        <v>75.328000000000003</v>
      </c>
      <c r="E173" s="18">
        <v>21.96</v>
      </c>
      <c r="F173" s="44">
        <v>3.4</v>
      </c>
      <c r="G173" s="18">
        <v>0.3</v>
      </c>
      <c r="H173" s="27">
        <v>217</v>
      </c>
      <c r="I173" s="18">
        <v>6.91</v>
      </c>
      <c r="J173" s="44">
        <v>-171.8</v>
      </c>
      <c r="K173" s="44">
        <v>5.9</v>
      </c>
    </row>
    <row r="174" spans="1:11" x14ac:dyDescent="0.35">
      <c r="A174" s="51" t="s">
        <v>104</v>
      </c>
      <c r="B174" s="51" t="s">
        <v>60</v>
      </c>
      <c r="C174" s="4" t="s">
        <v>1447</v>
      </c>
      <c r="D174" s="44">
        <v>65.900000000000006</v>
      </c>
      <c r="E174" s="18">
        <v>22.24</v>
      </c>
      <c r="F174" s="44">
        <v>3.4</v>
      </c>
      <c r="G174" s="18">
        <v>0.3</v>
      </c>
      <c r="H174" s="27">
        <v>216</v>
      </c>
      <c r="I174" s="18">
        <v>6.98</v>
      </c>
      <c r="J174" s="44">
        <v>155.9</v>
      </c>
      <c r="K174" s="44">
        <v>5.4</v>
      </c>
    </row>
    <row r="175" spans="1:11" x14ac:dyDescent="0.35">
      <c r="A175" s="51" t="s">
        <v>104</v>
      </c>
      <c r="B175" s="51" t="s">
        <v>60</v>
      </c>
      <c r="C175" s="4" t="s">
        <v>1447</v>
      </c>
      <c r="D175" s="44">
        <v>56.496000000000002</v>
      </c>
      <c r="E175" s="18">
        <v>22.92</v>
      </c>
      <c r="F175" s="44">
        <v>3.4</v>
      </c>
      <c r="G175" s="18">
        <v>0.3</v>
      </c>
      <c r="H175" s="27">
        <v>210</v>
      </c>
      <c r="I175" s="18">
        <v>7.05</v>
      </c>
      <c r="J175" s="44">
        <v>-139.6</v>
      </c>
      <c r="K175" s="44">
        <v>6.5</v>
      </c>
    </row>
    <row r="176" spans="1:11" x14ac:dyDescent="0.35">
      <c r="A176" s="51" t="s">
        <v>104</v>
      </c>
      <c r="B176" s="51" t="s">
        <v>60</v>
      </c>
      <c r="C176" s="4" t="s">
        <v>1447</v>
      </c>
      <c r="D176" s="44">
        <v>47.1</v>
      </c>
      <c r="E176" s="18">
        <v>23.47</v>
      </c>
      <c r="F176" s="44">
        <v>3.4</v>
      </c>
      <c r="G176" s="18">
        <v>0.3</v>
      </c>
      <c r="H176" s="27">
        <v>208</v>
      </c>
      <c r="I176" s="18">
        <v>7.14</v>
      </c>
      <c r="J176" s="44">
        <v>-116</v>
      </c>
      <c r="K176" s="44">
        <v>2.2999999999999998</v>
      </c>
    </row>
    <row r="177" spans="1:11" x14ac:dyDescent="0.35">
      <c r="A177" s="51" t="s">
        <v>104</v>
      </c>
      <c r="B177" s="51" t="s">
        <v>60</v>
      </c>
      <c r="C177" s="4" t="s">
        <v>1447</v>
      </c>
      <c r="D177" s="44">
        <v>37.664000000000001</v>
      </c>
      <c r="E177" s="18">
        <v>23.62</v>
      </c>
      <c r="F177" s="44">
        <v>3.4</v>
      </c>
      <c r="G177" s="18">
        <v>0.3</v>
      </c>
      <c r="H177" s="27">
        <v>209</v>
      </c>
      <c r="I177" s="18">
        <v>7.19</v>
      </c>
      <c r="J177" s="44">
        <v>-93.5</v>
      </c>
      <c r="K177" s="44">
        <v>2.4</v>
      </c>
    </row>
    <row r="178" spans="1:11" x14ac:dyDescent="0.35">
      <c r="A178" s="51" t="s">
        <v>104</v>
      </c>
      <c r="B178" s="51" t="s">
        <v>60</v>
      </c>
      <c r="C178" s="4" t="s">
        <v>1447</v>
      </c>
      <c r="D178" s="44">
        <v>28.215</v>
      </c>
      <c r="E178" s="18">
        <v>24.59</v>
      </c>
      <c r="F178" s="44">
        <v>3.4</v>
      </c>
      <c r="G178" s="18">
        <v>0.3</v>
      </c>
      <c r="H178" s="27">
        <v>225</v>
      </c>
      <c r="I178" s="18">
        <v>7.22</v>
      </c>
      <c r="J178" s="44">
        <v>-99.1</v>
      </c>
      <c r="K178" s="44">
        <v>3.2</v>
      </c>
    </row>
    <row r="179" spans="1:11" x14ac:dyDescent="0.35">
      <c r="A179" s="51" t="s">
        <v>104</v>
      </c>
      <c r="B179" s="51" t="s">
        <v>60</v>
      </c>
      <c r="C179" s="4" t="s">
        <v>1447</v>
      </c>
      <c r="D179" s="44">
        <v>18.7</v>
      </c>
      <c r="E179" s="18">
        <v>25.45</v>
      </c>
      <c r="F179" s="44">
        <v>15.6</v>
      </c>
      <c r="G179" s="18">
        <v>1.28</v>
      </c>
      <c r="H179" s="27">
        <v>236</v>
      </c>
      <c r="I179" s="18">
        <v>7.48</v>
      </c>
      <c r="J179" s="44">
        <v>-92.5</v>
      </c>
      <c r="K179" s="44">
        <v>2.1</v>
      </c>
    </row>
    <row r="180" spans="1:11" x14ac:dyDescent="0.35">
      <c r="A180" s="51" t="s">
        <v>104</v>
      </c>
      <c r="B180" s="51" t="s">
        <v>60</v>
      </c>
      <c r="C180" s="4" t="s">
        <v>1447</v>
      </c>
      <c r="D180" s="44">
        <v>9.4160000000000004</v>
      </c>
      <c r="E180" s="18">
        <v>25.56</v>
      </c>
      <c r="F180" s="44">
        <v>50.7</v>
      </c>
      <c r="G180" s="18">
        <v>4.1500000000000004</v>
      </c>
      <c r="H180" s="27">
        <v>236</v>
      </c>
      <c r="I180" s="18">
        <v>7.88</v>
      </c>
      <c r="J180" s="44">
        <v>-11</v>
      </c>
      <c r="K180" s="44">
        <v>2.5</v>
      </c>
    </row>
    <row r="181" spans="1:11" x14ac:dyDescent="0.35">
      <c r="A181" s="51" t="s">
        <v>104</v>
      </c>
      <c r="B181" s="51" t="s">
        <v>26</v>
      </c>
      <c r="C181" s="4" t="s">
        <v>1448</v>
      </c>
      <c r="D181" s="44">
        <v>0.44</v>
      </c>
      <c r="E181" s="18">
        <v>27.08</v>
      </c>
      <c r="F181" s="44">
        <v>131.30000000000001</v>
      </c>
      <c r="G181" s="18">
        <v>10.47</v>
      </c>
      <c r="H181" s="27">
        <v>247</v>
      </c>
      <c r="I181" s="18">
        <v>7.86</v>
      </c>
      <c r="J181" s="44">
        <v>-12.8</v>
      </c>
      <c r="K181" s="44">
        <v>5.7</v>
      </c>
    </row>
    <row r="182" spans="1:11" x14ac:dyDescent="0.35">
      <c r="A182" s="51" t="s">
        <v>104</v>
      </c>
      <c r="B182" s="51" t="s">
        <v>26</v>
      </c>
      <c r="C182" s="4" t="s">
        <v>1448</v>
      </c>
      <c r="D182" s="44">
        <v>38.088000000000001</v>
      </c>
      <c r="E182" s="18">
        <v>23.59</v>
      </c>
      <c r="F182" s="44">
        <v>5.9</v>
      </c>
      <c r="G182" s="18">
        <v>0.49</v>
      </c>
      <c r="H182" s="27">
        <v>252</v>
      </c>
      <c r="I182" s="18">
        <v>6.6</v>
      </c>
      <c r="J182" s="44">
        <v>-150.69999999999999</v>
      </c>
      <c r="K182" s="44">
        <v>41</v>
      </c>
    </row>
    <row r="183" spans="1:11" x14ac:dyDescent="0.35">
      <c r="A183" s="51" t="s">
        <v>104</v>
      </c>
      <c r="B183" s="51" t="s">
        <v>25</v>
      </c>
      <c r="C183" s="4" t="s">
        <v>1448</v>
      </c>
      <c r="D183" s="44">
        <v>0.23400000000000001</v>
      </c>
      <c r="E183" s="18">
        <v>27.28</v>
      </c>
      <c r="F183" s="44">
        <v>141.69999999999999</v>
      </c>
      <c r="G183" s="18">
        <v>11.32</v>
      </c>
      <c r="H183" s="27">
        <v>247</v>
      </c>
      <c r="I183" s="18">
        <v>8.14</v>
      </c>
      <c r="J183" s="44">
        <v>21.2</v>
      </c>
      <c r="K183" s="44">
        <v>6.7</v>
      </c>
    </row>
    <row r="184" spans="1:11" x14ac:dyDescent="0.35">
      <c r="A184" s="51" t="s">
        <v>104</v>
      </c>
      <c r="B184" s="51" t="s">
        <v>25</v>
      </c>
      <c r="C184" s="4" t="s">
        <v>1448</v>
      </c>
      <c r="D184" s="44">
        <v>29.056000000000001</v>
      </c>
      <c r="E184" s="18">
        <v>24.37</v>
      </c>
      <c r="F184" s="44">
        <v>12.7</v>
      </c>
      <c r="G184" s="18">
        <v>1.01</v>
      </c>
      <c r="H184" s="27">
        <v>253</v>
      </c>
      <c r="I184" s="18">
        <v>7.4</v>
      </c>
      <c r="J184" s="44">
        <v>-59.2</v>
      </c>
      <c r="K184" s="44">
        <v>11.8</v>
      </c>
    </row>
    <row r="185" spans="1:11" x14ac:dyDescent="0.35">
      <c r="A185" s="51" t="s">
        <v>104</v>
      </c>
      <c r="B185" s="51" t="s">
        <v>9</v>
      </c>
      <c r="C185" s="4" t="s">
        <v>1448</v>
      </c>
      <c r="D185" s="44">
        <v>0.192</v>
      </c>
      <c r="E185" s="18">
        <v>28.1</v>
      </c>
      <c r="F185" s="44">
        <v>164.7</v>
      </c>
      <c r="G185" s="18">
        <v>12.88</v>
      </c>
      <c r="H185" s="27">
        <v>253</v>
      </c>
      <c r="I185" s="18">
        <v>7.55</v>
      </c>
      <c r="J185" s="44">
        <v>152.80000000000001</v>
      </c>
      <c r="K185" s="44">
        <v>19.3</v>
      </c>
    </row>
    <row r="186" spans="1:11" x14ac:dyDescent="0.35">
      <c r="A186" s="51" t="s">
        <v>104</v>
      </c>
      <c r="B186" s="51" t="s">
        <v>9</v>
      </c>
      <c r="C186" s="4" t="s">
        <v>1448</v>
      </c>
      <c r="D186" s="44">
        <v>8.8699999999999992</v>
      </c>
      <c r="E186" s="18">
        <v>25.86</v>
      </c>
      <c r="F186" s="44">
        <v>74.3</v>
      </c>
      <c r="G186" s="18">
        <v>6.01</v>
      </c>
      <c r="H186" s="27">
        <v>275</v>
      </c>
      <c r="I186" s="18">
        <v>7.75</v>
      </c>
      <c r="J186" s="44">
        <v>157.19999999999999</v>
      </c>
      <c r="K186" s="44">
        <v>94</v>
      </c>
    </row>
    <row r="187" spans="1:11" x14ac:dyDescent="0.35">
      <c r="A187" s="51" t="s">
        <v>104</v>
      </c>
      <c r="B187" s="51" t="s">
        <v>14</v>
      </c>
      <c r="C187" s="4" t="s">
        <v>1448</v>
      </c>
      <c r="D187" s="44">
        <v>0.27</v>
      </c>
      <c r="E187" s="18">
        <v>27.91</v>
      </c>
      <c r="F187" s="44">
        <v>129.6</v>
      </c>
      <c r="G187" s="18">
        <v>10.19</v>
      </c>
      <c r="H187" s="27">
        <v>254</v>
      </c>
      <c r="I187" s="18">
        <v>8.15</v>
      </c>
      <c r="J187" s="44">
        <v>194.8</v>
      </c>
      <c r="K187" s="44">
        <v>15.4</v>
      </c>
    </row>
    <row r="188" spans="1:11" x14ac:dyDescent="0.35">
      <c r="A188" s="51" t="s">
        <v>104</v>
      </c>
      <c r="B188" s="51" t="s">
        <v>14</v>
      </c>
      <c r="C188" s="4" t="s">
        <v>1448</v>
      </c>
      <c r="D188" s="44">
        <v>7.87</v>
      </c>
      <c r="E188" s="18">
        <v>26.08</v>
      </c>
      <c r="F188" s="44">
        <v>83.3</v>
      </c>
      <c r="G188" s="18">
        <v>6.66</v>
      </c>
      <c r="H188" s="27">
        <v>264</v>
      </c>
      <c r="I188" s="18">
        <v>7.84</v>
      </c>
      <c r="J188" s="44">
        <v>197.7</v>
      </c>
      <c r="K188" s="44">
        <v>41.3</v>
      </c>
    </row>
    <row r="189" spans="1:11" x14ac:dyDescent="0.35">
      <c r="A189" s="51" t="s">
        <v>104</v>
      </c>
      <c r="B189" s="51" t="s">
        <v>18</v>
      </c>
      <c r="C189" s="4" t="s">
        <v>1448</v>
      </c>
      <c r="D189" s="44">
        <v>0.161</v>
      </c>
      <c r="E189" s="18">
        <v>27.67</v>
      </c>
      <c r="F189" s="44">
        <v>162.4</v>
      </c>
      <c r="G189" s="18">
        <v>12.79</v>
      </c>
      <c r="H189" s="27">
        <v>249</v>
      </c>
      <c r="I189" s="18">
        <v>8.42</v>
      </c>
      <c r="J189" s="44">
        <v>186.3</v>
      </c>
      <c r="K189" s="44">
        <v>10.4</v>
      </c>
    </row>
    <row r="190" spans="1:11" x14ac:dyDescent="0.35">
      <c r="A190" s="51" t="s">
        <v>104</v>
      </c>
      <c r="B190" s="51" t="s">
        <v>18</v>
      </c>
      <c r="C190" s="4" t="s">
        <v>1448</v>
      </c>
      <c r="D190" s="44">
        <v>9.1189999999999998</v>
      </c>
      <c r="E190" s="18">
        <v>25.69</v>
      </c>
      <c r="F190" s="44">
        <v>80.3</v>
      </c>
      <c r="G190" s="18">
        <v>6.51</v>
      </c>
      <c r="H190" s="27">
        <v>280</v>
      </c>
      <c r="I190" s="18">
        <v>7.92</v>
      </c>
      <c r="J190" s="44">
        <v>186.2</v>
      </c>
      <c r="K190" s="44">
        <v>32.299999999999997</v>
      </c>
    </row>
    <row r="191" spans="1:11" x14ac:dyDescent="0.35">
      <c r="A191" s="51" t="s">
        <v>104</v>
      </c>
      <c r="B191" s="51" t="s">
        <v>167</v>
      </c>
      <c r="C191" s="4" t="s">
        <v>1448</v>
      </c>
      <c r="D191" s="44">
        <v>0.35</v>
      </c>
      <c r="E191" s="18">
        <v>28.38</v>
      </c>
      <c r="F191" s="44">
        <v>181.3</v>
      </c>
      <c r="G191" s="18">
        <v>14.06</v>
      </c>
      <c r="H191" s="27">
        <v>245</v>
      </c>
      <c r="I191" s="18">
        <v>8.91</v>
      </c>
      <c r="J191" s="44">
        <v>157.9</v>
      </c>
      <c r="K191" s="44">
        <v>6</v>
      </c>
    </row>
    <row r="192" spans="1:11" x14ac:dyDescent="0.35">
      <c r="A192" s="51" t="s">
        <v>104</v>
      </c>
      <c r="B192" s="51" t="s">
        <v>167</v>
      </c>
      <c r="C192" s="4" t="s">
        <v>1448</v>
      </c>
      <c r="D192" s="44">
        <v>27.36</v>
      </c>
      <c r="E192" s="18">
        <v>24.45</v>
      </c>
      <c r="F192" s="44">
        <v>10.6</v>
      </c>
      <c r="G192" s="18">
        <v>0.86</v>
      </c>
      <c r="H192" s="27">
        <v>260</v>
      </c>
      <c r="I192" s="18">
        <v>7.51</v>
      </c>
      <c r="J192" s="44">
        <v>-13.6</v>
      </c>
      <c r="K192" s="44">
        <v>13</v>
      </c>
    </row>
    <row r="193" spans="1:11" x14ac:dyDescent="0.35">
      <c r="A193" s="51" t="s">
        <v>104</v>
      </c>
      <c r="B193" s="51" t="s">
        <v>60</v>
      </c>
      <c r="C193" s="4" t="s">
        <v>1449</v>
      </c>
      <c r="D193" s="44">
        <v>1.1399999999999999</v>
      </c>
      <c r="E193" s="18">
        <v>27.73</v>
      </c>
      <c r="F193" s="44">
        <v>165.1</v>
      </c>
      <c r="G193" s="18">
        <v>12.94</v>
      </c>
      <c r="H193" s="27">
        <v>231</v>
      </c>
      <c r="I193" s="18">
        <v>9.01</v>
      </c>
      <c r="J193" s="44">
        <v>212.3</v>
      </c>
      <c r="K193" s="44">
        <v>4.0999999999999996</v>
      </c>
    </row>
    <row r="194" spans="1:11" x14ac:dyDescent="0.35">
      <c r="A194" s="51" t="s">
        <v>104</v>
      </c>
      <c r="B194" s="51" t="s">
        <v>60</v>
      </c>
      <c r="C194" s="4" t="s">
        <v>1449</v>
      </c>
      <c r="D194" s="44">
        <v>46.851999999999997</v>
      </c>
      <c r="E194" s="18">
        <v>23.13</v>
      </c>
      <c r="F194" s="44">
        <v>10.1</v>
      </c>
      <c r="G194" s="18">
        <v>0.82</v>
      </c>
      <c r="H194" s="27">
        <v>211</v>
      </c>
      <c r="I194" s="18">
        <v>7.86</v>
      </c>
      <c r="J194" s="44">
        <v>-85.3</v>
      </c>
      <c r="K194" s="44">
        <v>9.8000000000000007</v>
      </c>
    </row>
    <row r="195" spans="1:11" x14ac:dyDescent="0.35">
      <c r="A195" s="51" t="s">
        <v>104</v>
      </c>
      <c r="B195" s="51" t="s">
        <v>64</v>
      </c>
      <c r="C195" s="4" t="s">
        <v>1449</v>
      </c>
      <c r="D195" s="44">
        <v>1.0269999999999999</v>
      </c>
      <c r="E195" s="18">
        <v>28.33</v>
      </c>
      <c r="F195" s="44">
        <v>176.8</v>
      </c>
      <c r="G195" s="18">
        <v>13.8</v>
      </c>
      <c r="H195" s="27">
        <v>231</v>
      </c>
      <c r="I195" s="18">
        <v>9.09</v>
      </c>
      <c r="J195" s="44">
        <v>178.5</v>
      </c>
      <c r="K195" s="44">
        <v>5.7</v>
      </c>
    </row>
    <row r="196" spans="1:11" x14ac:dyDescent="0.35">
      <c r="A196" s="51" t="s">
        <v>104</v>
      </c>
      <c r="B196" s="51" t="s">
        <v>64</v>
      </c>
      <c r="C196" s="4" t="s">
        <v>1449</v>
      </c>
      <c r="D196" s="44">
        <v>42.177999999999997</v>
      </c>
      <c r="E196" s="18">
        <v>23.22</v>
      </c>
      <c r="F196" s="44">
        <v>5.3</v>
      </c>
      <c r="G196" s="18">
        <v>0.45</v>
      </c>
      <c r="H196" s="27">
        <v>207</v>
      </c>
      <c r="I196" s="18">
        <v>7.47</v>
      </c>
      <c r="J196" s="44">
        <v>-127.5</v>
      </c>
      <c r="K196" s="44">
        <v>16.100000000000001</v>
      </c>
    </row>
    <row r="197" spans="1:11" x14ac:dyDescent="0.35">
      <c r="A197" s="51" t="s">
        <v>104</v>
      </c>
      <c r="B197" s="51" t="s">
        <v>69</v>
      </c>
      <c r="C197" s="4" t="s">
        <v>1449</v>
      </c>
      <c r="D197" s="44">
        <v>1.0740000000000001</v>
      </c>
      <c r="E197" s="18">
        <v>28.72</v>
      </c>
      <c r="F197" s="44">
        <v>190.9</v>
      </c>
      <c r="G197" s="18">
        <v>14.74</v>
      </c>
      <c r="H197" s="27">
        <v>231</v>
      </c>
      <c r="I197" s="18">
        <v>9.19</v>
      </c>
      <c r="J197" s="44">
        <v>138.69999999999999</v>
      </c>
      <c r="K197" s="44">
        <v>4.5</v>
      </c>
    </row>
    <row r="198" spans="1:11" x14ac:dyDescent="0.35">
      <c r="A198" s="51" t="s">
        <v>104</v>
      </c>
      <c r="B198" s="51" t="s">
        <v>69</v>
      </c>
      <c r="C198" s="4" t="s">
        <v>1449</v>
      </c>
      <c r="D198" s="44">
        <v>47.073</v>
      </c>
      <c r="E198" s="18">
        <v>23.22</v>
      </c>
      <c r="F198" s="44">
        <v>6.8</v>
      </c>
      <c r="G198" s="18">
        <v>0.57999999999999996</v>
      </c>
      <c r="H198" s="27">
        <v>239</v>
      </c>
      <c r="I198" s="18">
        <v>7.55</v>
      </c>
      <c r="J198" s="44">
        <v>-122.7</v>
      </c>
      <c r="K198" s="44">
        <v>22.1</v>
      </c>
    </row>
    <row r="199" spans="1:11" x14ac:dyDescent="0.35">
      <c r="A199" s="51" t="s">
        <v>104</v>
      </c>
      <c r="B199" s="51" t="s">
        <v>9</v>
      </c>
      <c r="C199" s="4" t="s">
        <v>1450</v>
      </c>
      <c r="D199" s="44">
        <v>0.311</v>
      </c>
      <c r="E199" s="18">
        <v>29.07</v>
      </c>
      <c r="F199" s="44">
        <v>125</v>
      </c>
      <c r="G199" s="18">
        <v>9.6</v>
      </c>
      <c r="H199" s="27">
        <v>292</v>
      </c>
      <c r="I199" s="18">
        <v>8.0500000000000007</v>
      </c>
      <c r="J199" s="44">
        <v>195.4</v>
      </c>
      <c r="K199" s="44">
        <v>34.700000000000003</v>
      </c>
    </row>
    <row r="200" spans="1:11" x14ac:dyDescent="0.35">
      <c r="A200" s="51" t="s">
        <v>104</v>
      </c>
      <c r="B200" s="51" t="s">
        <v>9</v>
      </c>
      <c r="C200" s="4" t="s">
        <v>1450</v>
      </c>
      <c r="D200" s="44">
        <v>10.016999999999999</v>
      </c>
      <c r="E200" s="18">
        <v>26.63</v>
      </c>
      <c r="F200" s="44">
        <v>16.600000000000001</v>
      </c>
      <c r="G200" s="18">
        <v>1.3</v>
      </c>
      <c r="H200" s="27">
        <v>322</v>
      </c>
      <c r="I200" s="18">
        <v>7.61</v>
      </c>
      <c r="J200" s="44">
        <v>224.3</v>
      </c>
      <c r="K200" s="44">
        <v>19.600000000000001</v>
      </c>
    </row>
    <row r="201" spans="1:11" x14ac:dyDescent="0.35">
      <c r="A201" s="51" t="s">
        <v>104</v>
      </c>
      <c r="B201" s="51" t="s">
        <v>14</v>
      </c>
      <c r="C201" s="4" t="s">
        <v>1450</v>
      </c>
      <c r="D201" s="44">
        <v>0.32</v>
      </c>
      <c r="E201" s="18">
        <v>29.68</v>
      </c>
      <c r="F201" s="44">
        <v>113.5</v>
      </c>
      <c r="G201" s="18">
        <v>8.58</v>
      </c>
      <c r="H201" s="27">
        <v>287</v>
      </c>
      <c r="I201" s="18">
        <v>7.97</v>
      </c>
      <c r="J201" s="44">
        <v>156.69999999999999</v>
      </c>
      <c r="K201" s="44">
        <v>10.199999999999999</v>
      </c>
    </row>
    <row r="202" spans="1:11" x14ac:dyDescent="0.35">
      <c r="A202" s="51" t="s">
        <v>104</v>
      </c>
      <c r="B202" s="51" t="s">
        <v>14</v>
      </c>
      <c r="C202" s="4" t="s">
        <v>1450</v>
      </c>
      <c r="D202" s="44">
        <v>8.0459999999999994</v>
      </c>
      <c r="E202" s="18">
        <v>27.22</v>
      </c>
      <c r="F202" s="44">
        <v>29</v>
      </c>
      <c r="G202" s="18">
        <v>2.1800000000000002</v>
      </c>
      <c r="H202" s="27">
        <v>311</v>
      </c>
      <c r="I202" s="18">
        <v>7.57</v>
      </c>
      <c r="J202" s="44">
        <v>199.4</v>
      </c>
      <c r="K202" s="44">
        <v>14.8</v>
      </c>
    </row>
    <row r="203" spans="1:11" x14ac:dyDescent="0.35">
      <c r="A203" s="51" t="s">
        <v>104</v>
      </c>
      <c r="B203" s="51" t="s">
        <v>18</v>
      </c>
      <c r="C203" s="4" t="s">
        <v>1450</v>
      </c>
      <c r="D203" s="44">
        <v>0.309</v>
      </c>
      <c r="E203" s="18">
        <v>28.93</v>
      </c>
      <c r="F203" s="44">
        <v>152</v>
      </c>
      <c r="G203" s="18">
        <v>1.7</v>
      </c>
      <c r="H203" s="27">
        <v>266</v>
      </c>
      <c r="I203" s="18">
        <v>8.64</v>
      </c>
      <c r="J203" s="44">
        <v>203.1</v>
      </c>
      <c r="K203" s="44">
        <v>9</v>
      </c>
    </row>
    <row r="204" spans="1:11" x14ac:dyDescent="0.35">
      <c r="A204" s="51" t="s">
        <v>104</v>
      </c>
      <c r="B204" s="51" t="s">
        <v>18</v>
      </c>
      <c r="C204" s="4" t="s">
        <v>1450</v>
      </c>
      <c r="D204" s="44">
        <v>9.0719999999999992</v>
      </c>
      <c r="E204" s="18">
        <v>27.26</v>
      </c>
      <c r="F204" s="44">
        <v>24.3</v>
      </c>
      <c r="G204" s="18">
        <v>1.9</v>
      </c>
      <c r="H204" s="27">
        <v>306</v>
      </c>
      <c r="I204" s="18">
        <v>7.61</v>
      </c>
      <c r="J204" s="44">
        <v>233.9</v>
      </c>
      <c r="K204" s="44">
        <v>15.6</v>
      </c>
    </row>
    <row r="205" spans="1:11" x14ac:dyDescent="0.35">
      <c r="A205" s="51" t="s">
        <v>104</v>
      </c>
      <c r="B205" s="51" t="s">
        <v>26</v>
      </c>
      <c r="C205" s="4" t="s">
        <v>1450</v>
      </c>
      <c r="D205" s="44">
        <v>0.32500000000000001</v>
      </c>
      <c r="E205" s="18">
        <v>28.88</v>
      </c>
      <c r="F205" s="44">
        <v>154.5</v>
      </c>
      <c r="G205" s="18">
        <v>11.92</v>
      </c>
      <c r="H205" s="27">
        <v>244</v>
      </c>
      <c r="I205" s="18">
        <v>8.83</v>
      </c>
      <c r="J205" s="44">
        <v>188.9</v>
      </c>
      <c r="K205" s="44">
        <v>5.4</v>
      </c>
    </row>
    <row r="206" spans="1:11" x14ac:dyDescent="0.35">
      <c r="A206" s="51" t="s">
        <v>104</v>
      </c>
      <c r="B206" s="51" t="s">
        <v>26</v>
      </c>
      <c r="C206" s="4" t="s">
        <v>1450</v>
      </c>
      <c r="D206" s="44">
        <v>39.155999999999999</v>
      </c>
      <c r="E206" s="18">
        <v>23.5</v>
      </c>
      <c r="F206" s="44">
        <v>4.8</v>
      </c>
      <c r="G206" s="18">
        <v>0.42</v>
      </c>
      <c r="H206" s="27">
        <v>252</v>
      </c>
      <c r="I206" s="18">
        <v>7.11</v>
      </c>
      <c r="J206" s="44">
        <v>-146.9</v>
      </c>
      <c r="K206" s="44">
        <v>29.4</v>
      </c>
    </row>
    <row r="207" spans="1:11" x14ac:dyDescent="0.35">
      <c r="A207" s="51" t="s">
        <v>104</v>
      </c>
      <c r="B207" s="51" t="s">
        <v>167</v>
      </c>
      <c r="C207" s="4" t="s">
        <v>1450</v>
      </c>
      <c r="D207" s="44">
        <v>0.317</v>
      </c>
      <c r="E207" s="18">
        <v>29.16</v>
      </c>
      <c r="F207" s="44">
        <v>166.8</v>
      </c>
      <c r="G207" s="18">
        <v>12.79</v>
      </c>
      <c r="H207" s="27">
        <v>245</v>
      </c>
      <c r="I207" s="18">
        <v>8.77</v>
      </c>
      <c r="J207" s="44">
        <v>182.6</v>
      </c>
      <c r="K207" s="44">
        <v>5.0999999999999996</v>
      </c>
    </row>
    <row r="208" spans="1:11" x14ac:dyDescent="0.35">
      <c r="A208" s="51" t="s">
        <v>104</v>
      </c>
      <c r="B208" s="51" t="s">
        <v>167</v>
      </c>
      <c r="C208" s="4" t="s">
        <v>1450</v>
      </c>
      <c r="D208" s="44">
        <v>27.2</v>
      </c>
      <c r="E208" s="18">
        <v>24.34</v>
      </c>
      <c r="F208" s="44">
        <v>6.6</v>
      </c>
      <c r="G208" s="18">
        <v>0.55000000000000004</v>
      </c>
      <c r="H208" s="27">
        <v>263</v>
      </c>
      <c r="I208" s="18">
        <v>7.46</v>
      </c>
      <c r="J208" s="44">
        <v>-123.7</v>
      </c>
      <c r="K208" s="44">
        <v>25.8</v>
      </c>
    </row>
    <row r="209" spans="1:11" x14ac:dyDescent="0.35">
      <c r="A209" s="51" t="s">
        <v>104</v>
      </c>
      <c r="B209" s="51" t="s">
        <v>60</v>
      </c>
      <c r="C209" s="4" t="s">
        <v>1451</v>
      </c>
      <c r="D209" s="44">
        <v>0.3</v>
      </c>
      <c r="E209" s="18">
        <v>27.14</v>
      </c>
      <c r="F209" s="44">
        <v>114.8</v>
      </c>
      <c r="G209" s="18">
        <v>9.1300000000000008</v>
      </c>
      <c r="H209" s="27">
        <v>266</v>
      </c>
      <c r="I209" s="18">
        <v>8.9499999999999993</v>
      </c>
      <c r="J209" s="44">
        <v>204</v>
      </c>
      <c r="K209" s="65" t="s">
        <v>105</v>
      </c>
    </row>
    <row r="210" spans="1:11" x14ac:dyDescent="0.35">
      <c r="A210" s="51" t="s">
        <v>104</v>
      </c>
      <c r="B210" s="51" t="s">
        <v>60</v>
      </c>
      <c r="C210" s="4" t="s">
        <v>1451</v>
      </c>
      <c r="D210" s="44">
        <v>49.6</v>
      </c>
      <c r="E210" s="18">
        <v>22.9</v>
      </c>
      <c r="F210" s="44">
        <v>3.9</v>
      </c>
      <c r="G210" s="18">
        <v>0.33</v>
      </c>
      <c r="H210" s="27">
        <v>221</v>
      </c>
      <c r="I210" s="18">
        <v>7.17</v>
      </c>
      <c r="J210" s="44">
        <v>-122</v>
      </c>
      <c r="K210" s="65" t="s">
        <v>105</v>
      </c>
    </row>
    <row r="211" spans="1:11" x14ac:dyDescent="0.35">
      <c r="A211" s="51" t="s">
        <v>104</v>
      </c>
      <c r="B211" s="51" t="s">
        <v>64</v>
      </c>
      <c r="C211" s="4" t="s">
        <v>1451</v>
      </c>
      <c r="D211" s="44">
        <v>0.1</v>
      </c>
      <c r="E211" s="18">
        <v>27.19</v>
      </c>
      <c r="F211" s="44">
        <v>72.5</v>
      </c>
      <c r="G211" s="18">
        <v>5.75</v>
      </c>
      <c r="H211" s="27">
        <v>235</v>
      </c>
      <c r="I211" s="18">
        <v>8.5</v>
      </c>
      <c r="J211" s="44">
        <v>203</v>
      </c>
      <c r="K211" s="65" t="s">
        <v>105</v>
      </c>
    </row>
    <row r="212" spans="1:11" x14ac:dyDescent="0.35">
      <c r="A212" s="51" t="s">
        <v>104</v>
      </c>
      <c r="B212" s="51" t="s">
        <v>64</v>
      </c>
      <c r="C212" s="4" t="s">
        <v>1451</v>
      </c>
      <c r="D212" s="44">
        <v>46.2</v>
      </c>
      <c r="E212" s="18">
        <v>23.14</v>
      </c>
      <c r="F212" s="44">
        <v>4.0999999999999996</v>
      </c>
      <c r="G212" s="18">
        <v>0.35</v>
      </c>
      <c r="H212" s="27">
        <v>209</v>
      </c>
      <c r="I212" s="18">
        <v>7.19</v>
      </c>
      <c r="J212" s="44">
        <v>-131.6</v>
      </c>
      <c r="K212" s="65" t="s">
        <v>105</v>
      </c>
    </row>
    <row r="213" spans="1:11" x14ac:dyDescent="0.35">
      <c r="A213" s="51" t="s">
        <v>104</v>
      </c>
      <c r="B213" s="51" t="s">
        <v>69</v>
      </c>
      <c r="C213" s="4" t="s">
        <v>1451</v>
      </c>
      <c r="D213" s="44">
        <v>7.0000000000000007E-2</v>
      </c>
      <c r="E213" s="18">
        <v>27.5</v>
      </c>
      <c r="F213" s="44">
        <v>115</v>
      </c>
      <c r="G213" s="18">
        <v>9.08</v>
      </c>
      <c r="H213" s="27">
        <v>228</v>
      </c>
      <c r="I213" s="18">
        <v>8.8800000000000008</v>
      </c>
      <c r="J213" s="44">
        <v>147.19999999999999</v>
      </c>
      <c r="K213" s="65" t="s">
        <v>105</v>
      </c>
    </row>
    <row r="214" spans="1:11" x14ac:dyDescent="0.35">
      <c r="A214" s="51" t="s">
        <v>104</v>
      </c>
      <c r="B214" s="51" t="s">
        <v>69</v>
      </c>
      <c r="C214" s="4" t="s">
        <v>1451</v>
      </c>
      <c r="D214" s="44">
        <v>47.9</v>
      </c>
      <c r="E214" s="18">
        <v>23.15</v>
      </c>
      <c r="F214" s="44">
        <v>4</v>
      </c>
      <c r="G214" s="18">
        <v>0.34</v>
      </c>
      <c r="H214" s="27">
        <v>240</v>
      </c>
      <c r="I214" s="18">
        <v>7.05</v>
      </c>
      <c r="J214" s="44">
        <v>-157.1</v>
      </c>
      <c r="K214" s="65" t="s">
        <v>105</v>
      </c>
    </row>
    <row r="215" spans="1:11" x14ac:dyDescent="0.35">
      <c r="A215" s="51" t="s">
        <v>104</v>
      </c>
      <c r="B215" s="51" t="s">
        <v>25</v>
      </c>
      <c r="C215" s="4" t="s">
        <v>1452</v>
      </c>
      <c r="D215" s="65">
        <v>0.1</v>
      </c>
      <c r="E215" s="65">
        <v>24.6</v>
      </c>
      <c r="F215" s="65" t="s">
        <v>105</v>
      </c>
      <c r="G215" s="65" t="s">
        <v>105</v>
      </c>
      <c r="H215" s="65" t="s">
        <v>105</v>
      </c>
      <c r="I215" s="65" t="s">
        <v>105</v>
      </c>
      <c r="J215" s="65" t="s">
        <v>105</v>
      </c>
      <c r="K215" s="65" t="s">
        <v>105</v>
      </c>
    </row>
    <row r="216" spans="1:11" x14ac:dyDescent="0.35">
      <c r="A216" s="51" t="s">
        <v>104</v>
      </c>
      <c r="B216" s="51" t="s">
        <v>25</v>
      </c>
      <c r="C216" s="4" t="s">
        <v>1452</v>
      </c>
      <c r="D216" s="65">
        <v>27</v>
      </c>
      <c r="E216" s="65">
        <v>23.1</v>
      </c>
      <c r="F216" s="65" t="s">
        <v>105</v>
      </c>
      <c r="G216" s="65" t="s">
        <v>105</v>
      </c>
      <c r="H216" s="65" t="s">
        <v>105</v>
      </c>
      <c r="I216" s="65" t="s">
        <v>105</v>
      </c>
      <c r="J216" s="65" t="s">
        <v>105</v>
      </c>
      <c r="K216" s="65" t="s">
        <v>105</v>
      </c>
    </row>
    <row r="217" spans="1:11" x14ac:dyDescent="0.35">
      <c r="A217" s="51" t="s">
        <v>104</v>
      </c>
      <c r="B217" s="51" t="s">
        <v>26</v>
      </c>
      <c r="C217" s="4" t="s">
        <v>1452</v>
      </c>
      <c r="D217" s="65">
        <v>0.1</v>
      </c>
      <c r="E217" s="65">
        <v>24.6</v>
      </c>
      <c r="F217" s="65" t="s">
        <v>105</v>
      </c>
      <c r="G217" s="65" t="s">
        <v>105</v>
      </c>
      <c r="H217" s="65" t="s">
        <v>105</v>
      </c>
      <c r="I217" s="65" t="s">
        <v>105</v>
      </c>
      <c r="J217" s="65" t="s">
        <v>105</v>
      </c>
      <c r="K217" s="65" t="s">
        <v>105</v>
      </c>
    </row>
    <row r="218" spans="1:11" x14ac:dyDescent="0.35">
      <c r="A218" s="51" t="s">
        <v>104</v>
      </c>
      <c r="B218" s="51" t="s">
        <v>26</v>
      </c>
      <c r="C218" s="4" t="s">
        <v>1452</v>
      </c>
      <c r="D218" s="65">
        <v>40</v>
      </c>
      <c r="E218" s="65">
        <v>22.8</v>
      </c>
      <c r="F218" s="65" t="s">
        <v>105</v>
      </c>
      <c r="G218" s="65" t="s">
        <v>105</v>
      </c>
      <c r="H218" s="65" t="s">
        <v>105</v>
      </c>
      <c r="I218" s="65" t="s">
        <v>105</v>
      </c>
      <c r="J218" s="65" t="s">
        <v>105</v>
      </c>
      <c r="K218" s="65" t="s">
        <v>105</v>
      </c>
    </row>
    <row r="219" spans="1:11" x14ac:dyDescent="0.35">
      <c r="A219" s="51" t="s">
        <v>104</v>
      </c>
      <c r="B219" s="51" t="s">
        <v>167</v>
      </c>
      <c r="C219" s="4" t="s">
        <v>1452</v>
      </c>
      <c r="D219" s="65">
        <v>0.1</v>
      </c>
      <c r="E219" s="65">
        <v>24.8</v>
      </c>
      <c r="F219" s="65" t="s">
        <v>105</v>
      </c>
      <c r="G219" s="65" t="s">
        <v>105</v>
      </c>
      <c r="H219" s="65" t="s">
        <v>105</v>
      </c>
      <c r="I219" s="65" t="s">
        <v>105</v>
      </c>
      <c r="J219" s="65" t="s">
        <v>105</v>
      </c>
      <c r="K219" s="65" t="s">
        <v>105</v>
      </c>
    </row>
    <row r="220" spans="1:11" x14ac:dyDescent="0.35">
      <c r="A220" s="51" t="s">
        <v>104</v>
      </c>
      <c r="B220" s="51" t="s">
        <v>167</v>
      </c>
      <c r="C220" s="4" t="s">
        <v>1452</v>
      </c>
      <c r="D220" s="65">
        <v>23</v>
      </c>
      <c r="E220" s="65">
        <v>23.1</v>
      </c>
      <c r="F220" s="65" t="s">
        <v>105</v>
      </c>
      <c r="G220" s="65" t="s">
        <v>105</v>
      </c>
      <c r="H220" s="65" t="s">
        <v>105</v>
      </c>
      <c r="I220" s="65" t="s">
        <v>105</v>
      </c>
      <c r="J220" s="65" t="s">
        <v>105</v>
      </c>
      <c r="K220" s="65" t="s">
        <v>105</v>
      </c>
    </row>
    <row r="221" spans="1:11" x14ac:dyDescent="0.35">
      <c r="A221" s="51" t="s">
        <v>104</v>
      </c>
      <c r="B221" s="51" t="s">
        <v>14</v>
      </c>
      <c r="C221" s="4" t="s">
        <v>1452</v>
      </c>
      <c r="D221" s="65">
        <v>0.1</v>
      </c>
      <c r="E221" s="65">
        <v>24.1</v>
      </c>
      <c r="F221" s="65" t="s">
        <v>105</v>
      </c>
      <c r="G221" s="65" t="s">
        <v>105</v>
      </c>
      <c r="H221" s="65" t="s">
        <v>105</v>
      </c>
      <c r="I221" s="65" t="s">
        <v>105</v>
      </c>
      <c r="J221" s="65" t="s">
        <v>105</v>
      </c>
      <c r="K221" s="65" t="s">
        <v>105</v>
      </c>
    </row>
    <row r="222" spans="1:11" x14ac:dyDescent="0.35">
      <c r="A222" s="51" t="s">
        <v>104</v>
      </c>
      <c r="B222" s="51" t="s">
        <v>14</v>
      </c>
      <c r="C222" s="4" t="s">
        <v>1452</v>
      </c>
      <c r="D222" s="65">
        <v>7</v>
      </c>
      <c r="E222" s="65">
        <v>22.8</v>
      </c>
      <c r="F222" s="65" t="s">
        <v>105</v>
      </c>
      <c r="G222" s="65" t="s">
        <v>105</v>
      </c>
      <c r="H222" s="65" t="s">
        <v>105</v>
      </c>
      <c r="I222" s="65" t="s">
        <v>105</v>
      </c>
      <c r="J222" s="65" t="s">
        <v>105</v>
      </c>
      <c r="K222" s="65" t="s">
        <v>105</v>
      </c>
    </row>
    <row r="223" spans="1:11" x14ac:dyDescent="0.35">
      <c r="A223" s="51" t="s">
        <v>104</v>
      </c>
      <c r="B223" s="51" t="s">
        <v>18</v>
      </c>
      <c r="C223" s="4" t="s">
        <v>1452</v>
      </c>
      <c r="D223" s="65">
        <v>0.1</v>
      </c>
      <c r="E223" s="65">
        <v>23.9</v>
      </c>
      <c r="F223" s="65" t="s">
        <v>105</v>
      </c>
      <c r="G223" s="65" t="s">
        <v>105</v>
      </c>
      <c r="H223" s="65" t="s">
        <v>105</v>
      </c>
      <c r="I223" s="65" t="s">
        <v>105</v>
      </c>
      <c r="J223" s="65" t="s">
        <v>105</v>
      </c>
      <c r="K223" s="65" t="s">
        <v>105</v>
      </c>
    </row>
    <row r="224" spans="1:11" x14ac:dyDescent="0.35">
      <c r="A224" s="51" t="s">
        <v>104</v>
      </c>
      <c r="B224" s="51" t="s">
        <v>18</v>
      </c>
      <c r="C224" s="4" t="s">
        <v>1452</v>
      </c>
      <c r="D224" s="65">
        <v>7</v>
      </c>
      <c r="E224" s="65">
        <v>22.8</v>
      </c>
      <c r="F224" s="65" t="s">
        <v>105</v>
      </c>
      <c r="G224" s="65" t="s">
        <v>105</v>
      </c>
      <c r="H224" s="65" t="s">
        <v>105</v>
      </c>
      <c r="I224" s="65" t="s">
        <v>105</v>
      </c>
      <c r="J224" s="65" t="s">
        <v>105</v>
      </c>
      <c r="K224" s="65" t="s">
        <v>105</v>
      </c>
    </row>
    <row r="225" spans="1:11" x14ac:dyDescent="0.35">
      <c r="A225" s="51" t="s">
        <v>104</v>
      </c>
      <c r="B225" s="51" t="s">
        <v>9</v>
      </c>
      <c r="C225" s="4" t="s">
        <v>1452</v>
      </c>
      <c r="D225" s="65">
        <v>0.1</v>
      </c>
      <c r="E225" s="65">
        <v>23.8</v>
      </c>
      <c r="F225" s="65" t="s">
        <v>105</v>
      </c>
      <c r="G225" s="65" t="s">
        <v>105</v>
      </c>
      <c r="H225" s="65" t="s">
        <v>105</v>
      </c>
      <c r="I225" s="65" t="s">
        <v>105</v>
      </c>
      <c r="J225" s="65" t="s">
        <v>105</v>
      </c>
      <c r="K225" s="65" t="s">
        <v>105</v>
      </c>
    </row>
    <row r="226" spans="1:11" x14ac:dyDescent="0.35">
      <c r="A226" s="51" t="s">
        <v>104</v>
      </c>
      <c r="B226" s="51" t="s">
        <v>9</v>
      </c>
      <c r="C226" s="4" t="s">
        <v>1452</v>
      </c>
      <c r="D226" s="65">
        <v>8</v>
      </c>
      <c r="E226" s="65">
        <v>22.2</v>
      </c>
      <c r="F226" s="65" t="s">
        <v>105</v>
      </c>
      <c r="G226" s="65" t="s">
        <v>105</v>
      </c>
      <c r="H226" s="65" t="s">
        <v>105</v>
      </c>
      <c r="I226" s="65" t="s">
        <v>105</v>
      </c>
      <c r="J226" s="65" t="s">
        <v>105</v>
      </c>
      <c r="K226" s="65" t="s">
        <v>105</v>
      </c>
    </row>
    <row r="227" spans="1:11" x14ac:dyDescent="0.35">
      <c r="A227" s="51" t="s">
        <v>104</v>
      </c>
      <c r="B227" s="51" t="s">
        <v>64</v>
      </c>
      <c r="C227" s="4" t="s">
        <v>1453</v>
      </c>
      <c r="D227" s="44">
        <v>0.20599999999999999</v>
      </c>
      <c r="E227" s="18">
        <v>24.09</v>
      </c>
      <c r="F227" s="44">
        <v>32.4</v>
      </c>
      <c r="G227" s="18">
        <v>7.76</v>
      </c>
      <c r="H227" s="27">
        <v>234</v>
      </c>
      <c r="I227" s="18">
        <v>7.89</v>
      </c>
      <c r="J227" s="44">
        <v>15</v>
      </c>
      <c r="K227" s="44">
        <v>2.2000000000000002</v>
      </c>
    </row>
    <row r="228" spans="1:11" x14ac:dyDescent="0.35">
      <c r="A228" s="51" t="s">
        <v>104</v>
      </c>
      <c r="B228" s="51" t="s">
        <v>64</v>
      </c>
      <c r="C228" s="4" t="s">
        <v>1453</v>
      </c>
      <c r="D228" s="44">
        <v>41.072000000000003</v>
      </c>
      <c r="E228" s="18">
        <v>23.32</v>
      </c>
      <c r="F228" s="44">
        <v>12.4</v>
      </c>
      <c r="G228" s="18">
        <v>1.05</v>
      </c>
      <c r="H228" s="27">
        <v>237</v>
      </c>
      <c r="I228" s="18">
        <v>7.47</v>
      </c>
      <c r="J228" s="44">
        <v>106.9</v>
      </c>
      <c r="K228" s="44">
        <v>6.2</v>
      </c>
    </row>
    <row r="229" spans="1:11" x14ac:dyDescent="0.35">
      <c r="A229" s="51" t="s">
        <v>104</v>
      </c>
      <c r="B229" s="51" t="s">
        <v>69</v>
      </c>
      <c r="C229" s="4" t="s">
        <v>1453</v>
      </c>
      <c r="D229" s="44">
        <v>0.1</v>
      </c>
      <c r="E229" s="18">
        <v>23.75</v>
      </c>
      <c r="F229" s="44">
        <v>71.8</v>
      </c>
      <c r="G229" s="18">
        <v>6.07</v>
      </c>
      <c r="H229" s="27">
        <v>237</v>
      </c>
      <c r="I229" s="18">
        <v>7.6</v>
      </c>
      <c r="J229" s="44">
        <v>183.1</v>
      </c>
      <c r="K229" s="44">
        <v>1</v>
      </c>
    </row>
    <row r="230" spans="1:11" x14ac:dyDescent="0.35">
      <c r="A230" s="51" t="s">
        <v>104</v>
      </c>
      <c r="B230" s="51" t="s">
        <v>69</v>
      </c>
      <c r="C230" s="4" t="s">
        <v>1453</v>
      </c>
      <c r="D230" s="44">
        <v>59.055</v>
      </c>
      <c r="E230" s="18">
        <v>22.96</v>
      </c>
      <c r="F230" s="44">
        <v>6.4</v>
      </c>
      <c r="G230" s="18">
        <v>0.55000000000000004</v>
      </c>
      <c r="H230" s="27">
        <v>258</v>
      </c>
      <c r="I230" s="18">
        <v>7.05</v>
      </c>
      <c r="J230" s="44">
        <v>-143.6</v>
      </c>
      <c r="K230" s="44">
        <v>4.7</v>
      </c>
    </row>
    <row r="231" spans="1:11" x14ac:dyDescent="0.35">
      <c r="A231" s="51" t="s">
        <v>104</v>
      </c>
      <c r="B231" s="51" t="s">
        <v>60</v>
      </c>
      <c r="C231" s="4" t="s">
        <v>1453</v>
      </c>
      <c r="D231" s="44">
        <v>0.1</v>
      </c>
      <c r="E231" s="18">
        <v>24.48</v>
      </c>
      <c r="F231" s="44">
        <v>134.6</v>
      </c>
      <c r="G231" s="18">
        <v>11.22</v>
      </c>
      <c r="H231" s="27">
        <v>230</v>
      </c>
      <c r="I231" s="18">
        <v>8.4700000000000006</v>
      </c>
      <c r="J231" s="44">
        <v>15.6</v>
      </c>
      <c r="K231" s="44">
        <v>1.8</v>
      </c>
    </row>
    <row r="232" spans="1:11" x14ac:dyDescent="0.35">
      <c r="A232" s="51" t="s">
        <v>104</v>
      </c>
      <c r="B232" s="51" t="s">
        <v>60</v>
      </c>
      <c r="C232" s="4" t="s">
        <v>1453</v>
      </c>
      <c r="D232" s="44">
        <v>98.424999999999997</v>
      </c>
      <c r="E232" s="18">
        <v>19.399999999999999</v>
      </c>
      <c r="F232" s="44">
        <v>5.5</v>
      </c>
      <c r="G232" s="18">
        <v>0.51</v>
      </c>
      <c r="H232" s="27">
        <v>274</v>
      </c>
      <c r="I232" s="18">
        <v>6.59</v>
      </c>
      <c r="J232" s="44">
        <v>-153.6</v>
      </c>
      <c r="K232" s="44">
        <v>5.8</v>
      </c>
    </row>
    <row r="233" spans="1:11" x14ac:dyDescent="0.35">
      <c r="A233" s="51" t="s">
        <v>104</v>
      </c>
      <c r="B233" s="51" t="s">
        <v>9</v>
      </c>
      <c r="C233" s="4" t="s">
        <v>1454</v>
      </c>
      <c r="D233" s="44">
        <v>8.1</v>
      </c>
      <c r="E233" s="18">
        <v>22.1</v>
      </c>
      <c r="F233" s="44">
        <v>57.9</v>
      </c>
      <c r="G233" s="18">
        <v>5.05</v>
      </c>
      <c r="H233" s="27">
        <v>324</v>
      </c>
      <c r="I233" s="18">
        <v>7.24</v>
      </c>
      <c r="J233" s="44">
        <v>166.9</v>
      </c>
      <c r="K233" s="44">
        <v>27.9</v>
      </c>
    </row>
    <row r="234" spans="1:11" x14ac:dyDescent="0.35">
      <c r="A234" s="51" t="s">
        <v>104</v>
      </c>
      <c r="B234" s="51" t="s">
        <v>9</v>
      </c>
      <c r="C234" s="4" t="s">
        <v>1454</v>
      </c>
      <c r="D234" s="44">
        <v>0.6</v>
      </c>
      <c r="E234" s="18">
        <v>23.7</v>
      </c>
      <c r="F234" s="44">
        <v>95.7</v>
      </c>
      <c r="G234" s="18">
        <v>8.1300000000000008</v>
      </c>
      <c r="H234" s="27">
        <v>266</v>
      </c>
      <c r="I234" s="18">
        <v>7.34</v>
      </c>
      <c r="J234" s="44">
        <v>156.4</v>
      </c>
      <c r="K234" s="44">
        <v>16.399999999999999</v>
      </c>
    </row>
    <row r="235" spans="1:11" x14ac:dyDescent="0.35">
      <c r="A235" s="51" t="s">
        <v>104</v>
      </c>
      <c r="B235" s="51" t="s">
        <v>14</v>
      </c>
      <c r="C235" s="4" t="s">
        <v>1454</v>
      </c>
      <c r="D235" s="44">
        <v>7.1</v>
      </c>
      <c r="E235" s="18">
        <v>22.7</v>
      </c>
      <c r="F235" s="44">
        <v>49.4</v>
      </c>
      <c r="G235" s="18">
        <v>4.24</v>
      </c>
      <c r="H235" s="27">
        <v>290</v>
      </c>
      <c r="I235" s="18">
        <v>7.46</v>
      </c>
      <c r="J235" s="44">
        <v>178.9</v>
      </c>
      <c r="K235" s="44">
        <v>22.5</v>
      </c>
    </row>
    <row r="236" spans="1:11" x14ac:dyDescent="0.35">
      <c r="A236" s="51" t="s">
        <v>104</v>
      </c>
      <c r="B236" s="51" t="s">
        <v>14</v>
      </c>
      <c r="C236" s="4" t="s">
        <v>1454</v>
      </c>
      <c r="D236" s="44">
        <v>0.7</v>
      </c>
      <c r="E236" s="18">
        <v>24</v>
      </c>
      <c r="F236" s="44">
        <v>98.4</v>
      </c>
      <c r="G236" s="18">
        <v>8.33</v>
      </c>
      <c r="H236" s="27">
        <v>264</v>
      </c>
      <c r="I236" s="18">
        <v>7.39</v>
      </c>
      <c r="J236" s="44">
        <v>181.2</v>
      </c>
      <c r="K236" s="44">
        <v>9.8000000000000007</v>
      </c>
    </row>
    <row r="237" spans="1:11" x14ac:dyDescent="0.35">
      <c r="A237" s="51" t="s">
        <v>104</v>
      </c>
      <c r="B237" s="51" t="s">
        <v>18</v>
      </c>
      <c r="C237" s="4" t="s">
        <v>1454</v>
      </c>
      <c r="D237" s="44">
        <v>0.8</v>
      </c>
      <c r="E237" s="18">
        <v>23.78</v>
      </c>
      <c r="F237" s="44">
        <v>84.1</v>
      </c>
      <c r="G237" s="18">
        <v>7.12</v>
      </c>
      <c r="H237" s="27">
        <v>265</v>
      </c>
      <c r="I237" s="18">
        <v>7.36</v>
      </c>
      <c r="J237" s="44">
        <v>165.7</v>
      </c>
      <c r="K237" s="44">
        <v>10.1</v>
      </c>
    </row>
    <row r="238" spans="1:11" x14ac:dyDescent="0.35">
      <c r="A238" s="51" t="s">
        <v>104</v>
      </c>
      <c r="B238" s="51" t="s">
        <v>18</v>
      </c>
      <c r="C238" s="4" t="s">
        <v>1454</v>
      </c>
      <c r="D238" s="44">
        <v>7</v>
      </c>
      <c r="E238" s="18">
        <v>22.7</v>
      </c>
      <c r="F238" s="44">
        <v>52.7</v>
      </c>
      <c r="G238" s="18">
        <v>4.5199999999999996</v>
      </c>
      <c r="H238" s="27">
        <v>289</v>
      </c>
      <c r="I238" s="18">
        <v>7.52</v>
      </c>
      <c r="J238" s="44">
        <v>144.6</v>
      </c>
      <c r="K238" s="44">
        <v>11.4</v>
      </c>
    </row>
    <row r="239" spans="1:11" x14ac:dyDescent="0.35">
      <c r="A239" s="51" t="s">
        <v>104</v>
      </c>
      <c r="B239" s="51" t="s">
        <v>167</v>
      </c>
      <c r="C239" s="4" t="s">
        <v>1454</v>
      </c>
      <c r="D239" s="44">
        <v>0.54</v>
      </c>
      <c r="E239" s="18">
        <v>24.6</v>
      </c>
      <c r="F239" s="44">
        <v>85.6</v>
      </c>
      <c r="G239" s="18">
        <v>7.14</v>
      </c>
      <c r="H239" s="27">
        <v>256</v>
      </c>
      <c r="I239" s="18">
        <v>7.38</v>
      </c>
      <c r="J239" s="44">
        <v>153.69999999999999</v>
      </c>
      <c r="K239" s="44">
        <v>3.8</v>
      </c>
    </row>
    <row r="240" spans="1:11" x14ac:dyDescent="0.35">
      <c r="A240" s="51" t="s">
        <v>104</v>
      </c>
      <c r="B240" s="51" t="s">
        <v>167</v>
      </c>
      <c r="C240" s="4" t="s">
        <v>1454</v>
      </c>
      <c r="D240" s="44">
        <v>23.1</v>
      </c>
      <c r="E240" s="18">
        <v>23</v>
      </c>
      <c r="F240" s="44">
        <v>36.5</v>
      </c>
      <c r="G240" s="18">
        <v>3.13</v>
      </c>
      <c r="H240" s="27">
        <v>258</v>
      </c>
      <c r="I240" s="18">
        <v>7.28</v>
      </c>
      <c r="J240" s="44">
        <v>141.6</v>
      </c>
      <c r="K240" s="44">
        <v>19.600000000000001</v>
      </c>
    </row>
    <row r="241" spans="1:13" x14ac:dyDescent="0.35">
      <c r="A241" s="51" t="s">
        <v>104</v>
      </c>
      <c r="B241" s="51" t="s">
        <v>25</v>
      </c>
      <c r="C241" s="4" t="s">
        <v>1454</v>
      </c>
      <c r="D241" s="44">
        <v>0.18</v>
      </c>
      <c r="E241" s="18">
        <v>24.5</v>
      </c>
      <c r="F241" s="44">
        <v>83.3</v>
      </c>
      <c r="G241" s="18">
        <v>6.96</v>
      </c>
      <c r="H241" s="27">
        <v>255</v>
      </c>
      <c r="I241" s="18">
        <v>7.42</v>
      </c>
      <c r="J241" s="44">
        <v>146.80000000000001</v>
      </c>
      <c r="K241" s="44">
        <v>2.9</v>
      </c>
    </row>
    <row r="242" spans="1:13" x14ac:dyDescent="0.35">
      <c r="A242" s="51" t="s">
        <v>104</v>
      </c>
      <c r="B242" s="51" t="s">
        <v>25</v>
      </c>
      <c r="C242" s="4" t="s">
        <v>1454</v>
      </c>
      <c r="D242" s="44">
        <v>27.05</v>
      </c>
      <c r="E242" s="18">
        <v>22.99</v>
      </c>
      <c r="F242" s="44">
        <v>28.1</v>
      </c>
      <c r="G242" s="18">
        <v>2.38</v>
      </c>
      <c r="H242" s="27">
        <v>260</v>
      </c>
      <c r="I242" s="18">
        <v>7.47</v>
      </c>
      <c r="J242" s="44">
        <v>127.3</v>
      </c>
      <c r="K242" s="44">
        <v>15.4</v>
      </c>
    </row>
    <row r="243" spans="1:13" x14ac:dyDescent="0.35">
      <c r="A243" s="51" t="s">
        <v>104</v>
      </c>
      <c r="B243" s="51" t="s">
        <v>26</v>
      </c>
      <c r="C243" s="4" t="s">
        <v>1454</v>
      </c>
      <c r="D243" s="44">
        <v>0.53</v>
      </c>
      <c r="E243" s="18">
        <v>24.47</v>
      </c>
      <c r="F243" s="44">
        <v>94.2</v>
      </c>
      <c r="G243" s="18">
        <v>7.85</v>
      </c>
      <c r="H243" s="27">
        <v>255</v>
      </c>
      <c r="I243" s="18">
        <v>7.57</v>
      </c>
      <c r="J243" s="44">
        <v>189.1</v>
      </c>
      <c r="K243" s="44">
        <v>3.5</v>
      </c>
    </row>
    <row r="244" spans="1:13" x14ac:dyDescent="0.35">
      <c r="A244" s="51" t="s">
        <v>104</v>
      </c>
      <c r="B244" s="51" t="s">
        <v>26</v>
      </c>
      <c r="C244" s="4" t="s">
        <v>1454</v>
      </c>
      <c r="D244" s="44">
        <v>40.130000000000003</v>
      </c>
      <c r="E244" s="18">
        <v>22.75</v>
      </c>
      <c r="F244" s="44">
        <v>20.100000000000001</v>
      </c>
      <c r="G244" s="18">
        <v>1.72</v>
      </c>
      <c r="H244" s="27">
        <v>264</v>
      </c>
      <c r="I244" s="18">
        <v>7.37</v>
      </c>
      <c r="J244" s="44">
        <v>173.5</v>
      </c>
      <c r="K244" s="44">
        <v>9.8000000000000007</v>
      </c>
    </row>
    <row r="245" spans="1:13" x14ac:dyDescent="0.35">
      <c r="A245" s="51" t="s">
        <v>104</v>
      </c>
      <c r="B245" s="51" t="s">
        <v>69</v>
      </c>
      <c r="C245" s="4" t="s">
        <v>1454</v>
      </c>
      <c r="D245" s="44">
        <v>60.039000000000001</v>
      </c>
      <c r="E245" s="18">
        <v>22.9</v>
      </c>
      <c r="F245" s="44">
        <v>5.5</v>
      </c>
      <c r="G245" s="18">
        <v>0.47</v>
      </c>
      <c r="H245" s="27">
        <v>256</v>
      </c>
      <c r="I245" s="18">
        <v>7.2</v>
      </c>
      <c r="J245" s="44">
        <v>-41.8</v>
      </c>
      <c r="K245" s="44">
        <v>5.5</v>
      </c>
    </row>
    <row r="246" spans="1:13" x14ac:dyDescent="0.35">
      <c r="A246" s="51" t="s">
        <v>104</v>
      </c>
      <c r="B246" s="51" t="s">
        <v>69</v>
      </c>
      <c r="C246" s="4" t="s">
        <v>1454</v>
      </c>
      <c r="D246" s="44">
        <v>0.42499999999999999</v>
      </c>
      <c r="E246" s="18">
        <v>24.81</v>
      </c>
      <c r="F246" s="44">
        <v>61.9</v>
      </c>
      <c r="G246" s="18">
        <v>5.13</v>
      </c>
      <c r="H246" s="27">
        <v>236</v>
      </c>
      <c r="I246" s="18">
        <v>7.48</v>
      </c>
      <c r="J246" s="44">
        <v>80</v>
      </c>
      <c r="K246" s="44">
        <v>0.3</v>
      </c>
    </row>
    <row r="247" spans="1:13" x14ac:dyDescent="0.35">
      <c r="A247" s="51" t="s">
        <v>104</v>
      </c>
      <c r="B247" s="51" t="s">
        <v>64</v>
      </c>
      <c r="C247" s="4" t="s">
        <v>1651</v>
      </c>
      <c r="D247" s="44">
        <v>1.1200000000000001</v>
      </c>
      <c r="E247" s="18">
        <v>22.93</v>
      </c>
      <c r="F247" s="44">
        <v>12.4</v>
      </c>
      <c r="G247" s="18">
        <v>1.01</v>
      </c>
      <c r="H247" s="27">
        <v>232</v>
      </c>
      <c r="I247" s="18">
        <v>6.08</v>
      </c>
      <c r="J247" s="44">
        <v>43.6</v>
      </c>
      <c r="K247" s="44">
        <v>2.9</v>
      </c>
    </row>
    <row r="248" spans="1:13" x14ac:dyDescent="0.35">
      <c r="A248" s="51" t="s">
        <v>104</v>
      </c>
      <c r="B248" s="51" t="s">
        <v>64</v>
      </c>
      <c r="C248" s="4" t="s">
        <v>1651</v>
      </c>
      <c r="D248" s="44">
        <v>44.366</v>
      </c>
      <c r="E248" s="18">
        <v>22.95</v>
      </c>
      <c r="F248" s="44">
        <v>4.8</v>
      </c>
      <c r="G248" s="18">
        <v>0.41</v>
      </c>
      <c r="H248" s="27">
        <v>233</v>
      </c>
      <c r="I248" s="18">
        <v>6.58</v>
      </c>
      <c r="J248" s="44">
        <v>-80.599999999999994</v>
      </c>
      <c r="K248" s="44">
        <v>3.4</v>
      </c>
      <c r="L248" s="77"/>
      <c r="M248" s="29"/>
    </row>
    <row r="249" spans="1:13" x14ac:dyDescent="0.35">
      <c r="A249" s="51" t="s">
        <v>104</v>
      </c>
      <c r="B249" s="51" t="s">
        <v>60</v>
      </c>
      <c r="C249" s="4" t="s">
        <v>1651</v>
      </c>
      <c r="D249" s="44">
        <v>98.425196850393704</v>
      </c>
      <c r="E249" s="18">
        <v>19.22595684344952</v>
      </c>
      <c r="F249" s="44">
        <v>4.7147897573617792</v>
      </c>
      <c r="G249" s="18">
        <v>0.43507091357157779</v>
      </c>
      <c r="H249" s="27">
        <v>274.00967172475964</v>
      </c>
      <c r="I249" s="18">
        <v>6.2207852877103367</v>
      </c>
      <c r="J249" s="44">
        <v>-161.53658353365384</v>
      </c>
      <c r="K249" s="44">
        <v>5.7635967548076925</v>
      </c>
    </row>
    <row r="250" spans="1:13" x14ac:dyDescent="0.35">
      <c r="A250" s="51" t="s">
        <v>104</v>
      </c>
      <c r="B250" s="51" t="s">
        <v>60</v>
      </c>
      <c r="C250" s="4" t="s">
        <v>1651</v>
      </c>
      <c r="D250" s="44">
        <v>85.958005249343799</v>
      </c>
      <c r="E250" s="18">
        <v>20.893721147017047</v>
      </c>
      <c r="F250" s="44">
        <v>3.824615478515625</v>
      </c>
      <c r="G250" s="18">
        <v>0.34153418649326672</v>
      </c>
      <c r="H250" s="27">
        <v>239.04886557839134</v>
      </c>
      <c r="I250" s="18">
        <v>6.4598832563920459</v>
      </c>
      <c r="J250" s="44">
        <v>-195.57883522727272</v>
      </c>
      <c r="K250" s="44">
        <v>4.2347301136363633</v>
      </c>
    </row>
    <row r="251" spans="1:13" x14ac:dyDescent="0.35">
      <c r="A251" s="51" t="s">
        <v>104</v>
      </c>
      <c r="B251" s="51" t="s">
        <v>60</v>
      </c>
      <c r="C251" s="4" t="s">
        <v>1651</v>
      </c>
      <c r="D251" s="44">
        <v>76.771653543307082</v>
      </c>
      <c r="E251" s="18">
        <v>21.78619384765625</v>
      </c>
      <c r="F251" s="44">
        <v>3.7184906005859375</v>
      </c>
      <c r="G251" s="18">
        <v>0.32632854580879211</v>
      </c>
      <c r="H251" s="27">
        <v>226.57270050048828</v>
      </c>
      <c r="I251" s="18">
        <v>6.584716796875</v>
      </c>
      <c r="J251" s="44">
        <v>-203.9794921875</v>
      </c>
      <c r="K251" s="44">
        <v>4.1015625</v>
      </c>
    </row>
    <row r="252" spans="1:13" x14ac:dyDescent="0.35">
      <c r="A252" s="51" t="s">
        <v>104</v>
      </c>
      <c r="B252" s="51" t="s">
        <v>60</v>
      </c>
      <c r="C252" s="4" t="s">
        <v>1651</v>
      </c>
      <c r="D252" s="44">
        <v>65.944881889763778</v>
      </c>
      <c r="E252" s="18">
        <v>22.52678504356971</v>
      </c>
      <c r="F252" s="44">
        <v>3.6315331092247596</v>
      </c>
      <c r="G252" s="18">
        <v>0.31418757713758028</v>
      </c>
      <c r="H252" s="27">
        <v>221.20716388408954</v>
      </c>
      <c r="I252" s="18">
        <v>6.7147146371694708</v>
      </c>
      <c r="J252" s="44">
        <v>-202.52403846153845</v>
      </c>
      <c r="K252" s="44">
        <v>4.7353891225961542</v>
      </c>
    </row>
    <row r="253" spans="1:13" x14ac:dyDescent="0.35">
      <c r="A253" s="51" t="s">
        <v>104</v>
      </c>
      <c r="B253" s="51" t="s">
        <v>60</v>
      </c>
      <c r="C253" s="4" t="s">
        <v>1651</v>
      </c>
      <c r="D253" s="44">
        <v>54.790026246719158</v>
      </c>
      <c r="E253" s="18">
        <v>22.873424183238637</v>
      </c>
      <c r="F253" s="44">
        <v>3.5247802734375</v>
      </c>
      <c r="G253" s="18">
        <v>0.30293362790888007</v>
      </c>
      <c r="H253" s="27">
        <v>224.3111766468395</v>
      </c>
      <c r="I253" s="18">
        <v>6.8062244762073867</v>
      </c>
      <c r="J253" s="44">
        <v>-189.31995738636363</v>
      </c>
      <c r="K253" s="44">
        <v>4.7895951704545459</v>
      </c>
    </row>
    <row r="254" spans="1:13" x14ac:dyDescent="0.35">
      <c r="A254" s="51" t="s">
        <v>104</v>
      </c>
      <c r="B254" s="51" t="s">
        <v>60</v>
      </c>
      <c r="C254" s="4" t="s">
        <v>1651</v>
      </c>
      <c r="D254" s="44">
        <v>43.963254593175854</v>
      </c>
      <c r="E254" s="18">
        <v>22.987709045410156</v>
      </c>
      <c r="F254" s="44">
        <v>3.4350395202636719</v>
      </c>
      <c r="G254" s="18">
        <v>0.2945757694542408</v>
      </c>
      <c r="H254" s="27">
        <v>227.37798690795898</v>
      </c>
      <c r="I254" s="18">
        <v>6.8698501586914063</v>
      </c>
      <c r="J254" s="44">
        <v>-171.34857177734375</v>
      </c>
      <c r="K254" s="44">
        <v>3.7811279296875</v>
      </c>
    </row>
    <row r="255" spans="1:13" x14ac:dyDescent="0.35">
      <c r="A255" s="51" t="s">
        <v>104</v>
      </c>
      <c r="B255" s="51" t="s">
        <v>60</v>
      </c>
      <c r="C255" s="4" t="s">
        <v>1651</v>
      </c>
      <c r="D255" s="44">
        <v>33.136482939632543</v>
      </c>
      <c r="E255" s="18">
        <v>23.260498046875</v>
      </c>
      <c r="F255" s="44">
        <v>30.902099609375</v>
      </c>
      <c r="G255" s="18">
        <v>2.6363469759623208</v>
      </c>
      <c r="H255" s="27">
        <v>226.94501749674478</v>
      </c>
      <c r="I255" s="18">
        <v>7.013458251953125</v>
      </c>
      <c r="J255" s="44">
        <v>-44.453938802083336</v>
      </c>
      <c r="K255" s="44">
        <v>2.08740234375</v>
      </c>
    </row>
    <row r="256" spans="1:13" x14ac:dyDescent="0.35">
      <c r="A256" s="51" t="s">
        <v>104</v>
      </c>
      <c r="B256" s="51" t="s">
        <v>60</v>
      </c>
      <c r="C256" s="4" t="s">
        <v>1651</v>
      </c>
      <c r="D256" s="44">
        <v>22.309711286089239</v>
      </c>
      <c r="E256" s="18">
        <v>23.268798828125</v>
      </c>
      <c r="F256" s="44">
        <v>39.791259765625</v>
      </c>
      <c r="G256" s="18">
        <v>3.3942457675933837</v>
      </c>
      <c r="H256" s="27">
        <v>226.80021667480469</v>
      </c>
      <c r="I256" s="18">
        <v>7.0470825195312496</v>
      </c>
      <c r="J256" s="44">
        <v>-7.373046875</v>
      </c>
      <c r="K256" s="44">
        <v>2.06298828125</v>
      </c>
    </row>
    <row r="257" spans="1:11" x14ac:dyDescent="0.35">
      <c r="A257" s="51" t="s">
        <v>104</v>
      </c>
      <c r="B257" s="51" t="s">
        <v>60</v>
      </c>
      <c r="C257" s="4" t="s">
        <v>1651</v>
      </c>
      <c r="D257" s="44">
        <v>11.15485564304462</v>
      </c>
      <c r="E257" s="18">
        <v>23.245849609375</v>
      </c>
      <c r="F257" s="44">
        <v>42.780049641927086</v>
      </c>
      <c r="G257" s="18">
        <v>3.6507750352223716</v>
      </c>
      <c r="H257" s="27">
        <v>226.76598612467447</v>
      </c>
      <c r="I257" s="18">
        <v>7.090647379557292</v>
      </c>
      <c r="J257" s="44">
        <v>27.608235677083332</v>
      </c>
      <c r="K257" s="44">
        <v>2.1077473958333335</v>
      </c>
    </row>
    <row r="258" spans="1:11" x14ac:dyDescent="0.35">
      <c r="A258" s="51" t="s">
        <v>104</v>
      </c>
      <c r="B258" s="51" t="s">
        <v>60</v>
      </c>
      <c r="C258" s="4" t="s">
        <v>1651</v>
      </c>
      <c r="D258" s="44">
        <v>0.3</v>
      </c>
      <c r="E258" s="18">
        <v>18.87359619140625</v>
      </c>
      <c r="F258" s="44">
        <v>94.359334309895829</v>
      </c>
      <c r="G258" s="18">
        <v>8.7762460708618164</v>
      </c>
      <c r="H258" s="27">
        <v>227</v>
      </c>
      <c r="I258" s="18">
        <v>7.048421223958333</v>
      </c>
      <c r="J258" s="44">
        <v>69.966634114583329</v>
      </c>
      <c r="K258" s="44">
        <v>1.7822265625</v>
      </c>
    </row>
    <row r="259" spans="1:11" x14ac:dyDescent="0.35">
      <c r="A259" s="51" t="s">
        <v>104</v>
      </c>
      <c r="B259" s="51" t="s">
        <v>167</v>
      </c>
      <c r="C259" s="4" t="s">
        <v>1656</v>
      </c>
      <c r="D259" s="44">
        <v>0.32808398950131235</v>
      </c>
      <c r="E259" s="18">
        <v>22.21</v>
      </c>
      <c r="F259" s="44">
        <v>52.8</v>
      </c>
      <c r="G259" s="18">
        <v>4.5999999999999996</v>
      </c>
      <c r="H259" s="27">
        <v>238</v>
      </c>
      <c r="I259" s="18">
        <v>7.59</v>
      </c>
      <c r="J259" s="44" t="s">
        <v>105</v>
      </c>
      <c r="K259" s="44">
        <v>12.9</v>
      </c>
    </row>
    <row r="260" spans="1:11" x14ac:dyDescent="0.35">
      <c r="A260" s="51" t="s">
        <v>104</v>
      </c>
      <c r="B260" s="51" t="s">
        <v>167</v>
      </c>
      <c r="C260" s="4" t="s">
        <v>1656</v>
      </c>
      <c r="D260" s="44">
        <v>26.246719160104988</v>
      </c>
      <c r="E260" s="18">
        <v>20.420000000000002</v>
      </c>
      <c r="F260" s="44">
        <v>35</v>
      </c>
      <c r="G260" s="18">
        <v>3.15</v>
      </c>
      <c r="H260" s="27">
        <v>249</v>
      </c>
      <c r="I260" s="18">
        <v>7.57</v>
      </c>
      <c r="J260" s="44" t="s">
        <v>105</v>
      </c>
      <c r="K260" s="44">
        <v>33.200000000000003</v>
      </c>
    </row>
    <row r="261" spans="1:11" x14ac:dyDescent="0.35">
      <c r="A261" s="51" t="s">
        <v>104</v>
      </c>
      <c r="B261" s="51" t="s">
        <v>26</v>
      </c>
      <c r="C261" s="4" t="s">
        <v>1656</v>
      </c>
      <c r="D261" s="44">
        <v>0.82020997375328086</v>
      </c>
      <c r="E261" s="18">
        <v>22.22</v>
      </c>
      <c r="F261" s="44">
        <v>24.8</v>
      </c>
      <c r="G261" s="18">
        <v>2.16</v>
      </c>
      <c r="H261" s="27">
        <v>235</v>
      </c>
      <c r="I261" s="18">
        <v>7.38</v>
      </c>
      <c r="J261" s="44" t="s">
        <v>105</v>
      </c>
      <c r="K261" s="44">
        <v>9.3000000000000007</v>
      </c>
    </row>
    <row r="262" spans="1:11" x14ac:dyDescent="0.35">
      <c r="A262" s="51" t="s">
        <v>104</v>
      </c>
      <c r="B262" s="51" t="s">
        <v>26</v>
      </c>
      <c r="C262" s="4" t="s">
        <v>1656</v>
      </c>
      <c r="D262" s="44">
        <v>39.370078740157481</v>
      </c>
      <c r="E262" s="18">
        <v>20.2</v>
      </c>
      <c r="F262" s="44">
        <v>37.6</v>
      </c>
      <c r="G262" s="18">
        <v>3.4</v>
      </c>
      <c r="H262" s="27">
        <v>251</v>
      </c>
      <c r="I262" s="18">
        <v>7.44</v>
      </c>
      <c r="J262" s="44" t="s">
        <v>105</v>
      </c>
      <c r="K262" s="44">
        <v>13.4</v>
      </c>
    </row>
    <row r="263" spans="1:11" x14ac:dyDescent="0.35">
      <c r="A263" s="51" t="s">
        <v>104</v>
      </c>
      <c r="B263" s="51" t="s">
        <v>25</v>
      </c>
      <c r="C263" s="4" t="s">
        <v>1656</v>
      </c>
      <c r="D263" s="44">
        <v>0.32808398950131235</v>
      </c>
      <c r="E263" s="18">
        <v>22.11</v>
      </c>
      <c r="F263" s="44">
        <v>35.700000000000003</v>
      </c>
      <c r="G263" s="18">
        <v>3.13</v>
      </c>
      <c r="H263" s="27">
        <v>236</v>
      </c>
      <c r="I263" s="18">
        <v>7.46</v>
      </c>
      <c r="J263" s="44" t="s">
        <v>105</v>
      </c>
      <c r="K263" s="44">
        <v>15.2</v>
      </c>
    </row>
    <row r="264" spans="1:11" x14ac:dyDescent="0.35">
      <c r="A264" s="51" t="s">
        <v>104</v>
      </c>
      <c r="B264" s="51" t="s">
        <v>25</v>
      </c>
      <c r="C264" s="4" t="s">
        <v>1656</v>
      </c>
      <c r="D264" s="44">
        <v>27.887139107611549</v>
      </c>
      <c r="E264" s="18">
        <v>19.77</v>
      </c>
      <c r="F264" s="44">
        <v>38.6</v>
      </c>
      <c r="G264" s="18">
        <v>3.53</v>
      </c>
      <c r="H264" s="27">
        <v>258</v>
      </c>
      <c r="I264" s="18">
        <v>7.56</v>
      </c>
      <c r="J264" s="44" t="s">
        <v>105</v>
      </c>
      <c r="K264" s="44">
        <v>27.6</v>
      </c>
    </row>
    <row r="265" spans="1:11" x14ac:dyDescent="0.35">
      <c r="A265" s="51" t="s">
        <v>104</v>
      </c>
      <c r="B265" s="51" t="s">
        <v>9</v>
      </c>
      <c r="C265" s="4" t="s">
        <v>1656</v>
      </c>
      <c r="D265" s="44">
        <v>0.32808398950131235</v>
      </c>
      <c r="E265" s="18">
        <v>21.86</v>
      </c>
      <c r="F265" s="44">
        <v>72.099999999999994</v>
      </c>
      <c r="G265" s="18">
        <v>6.31</v>
      </c>
      <c r="H265" s="27">
        <v>245</v>
      </c>
      <c r="I265" s="18">
        <v>7.74</v>
      </c>
      <c r="J265" s="44" t="s">
        <v>105</v>
      </c>
      <c r="K265" s="44">
        <v>16.5</v>
      </c>
    </row>
    <row r="266" spans="1:11" x14ac:dyDescent="0.35">
      <c r="A266" s="51" t="s">
        <v>104</v>
      </c>
      <c r="B266" s="51" t="s">
        <v>9</v>
      </c>
      <c r="C266" s="4" t="s">
        <v>1656</v>
      </c>
      <c r="D266" s="44">
        <v>6.5616797900262469</v>
      </c>
      <c r="E266" s="18">
        <v>16.84</v>
      </c>
      <c r="F266" s="44">
        <v>52.9</v>
      </c>
      <c r="G266" s="18">
        <v>5.1100000000000003</v>
      </c>
      <c r="H266" s="27">
        <v>423</v>
      </c>
      <c r="I266" s="18">
        <v>7.74</v>
      </c>
      <c r="J266" s="44" t="s">
        <v>105</v>
      </c>
      <c r="K266" s="44">
        <v>26.4</v>
      </c>
    </row>
    <row r="267" spans="1:11" x14ac:dyDescent="0.35">
      <c r="A267" s="51" t="s">
        <v>104</v>
      </c>
      <c r="B267" s="51" t="s">
        <v>14</v>
      </c>
      <c r="C267" s="4" t="s">
        <v>1656</v>
      </c>
      <c r="D267" s="44">
        <v>0.32808398950131235</v>
      </c>
      <c r="E267" s="18">
        <v>22.56</v>
      </c>
      <c r="F267" s="44">
        <v>68.599999999999994</v>
      </c>
      <c r="G267" s="18">
        <v>5.92</v>
      </c>
      <c r="H267" s="27">
        <v>143</v>
      </c>
      <c r="I267" s="18">
        <v>7.71</v>
      </c>
      <c r="J267" s="44" t="s">
        <v>105</v>
      </c>
      <c r="K267" s="44">
        <v>13.6</v>
      </c>
    </row>
    <row r="268" spans="1:11" x14ac:dyDescent="0.35">
      <c r="A268" s="51" t="s">
        <v>104</v>
      </c>
      <c r="B268" s="51" t="s">
        <v>14</v>
      </c>
      <c r="C268" s="4" t="s">
        <v>1656</v>
      </c>
      <c r="D268" s="44">
        <v>6.5616797900262469</v>
      </c>
      <c r="E268" s="18">
        <v>17.149999999999999</v>
      </c>
      <c r="F268" s="44">
        <v>56.9</v>
      </c>
      <c r="G268" s="18">
        <v>5.47</v>
      </c>
      <c r="H268" s="27">
        <v>421</v>
      </c>
      <c r="I268" s="18">
        <v>7.69</v>
      </c>
      <c r="J268" s="44" t="s">
        <v>105</v>
      </c>
      <c r="K268" s="44">
        <v>25.4</v>
      </c>
    </row>
    <row r="269" spans="1:11" x14ac:dyDescent="0.35">
      <c r="A269" s="51" t="s">
        <v>104</v>
      </c>
      <c r="B269" s="51" t="s">
        <v>18</v>
      </c>
      <c r="C269" s="4" t="s">
        <v>1656</v>
      </c>
      <c r="D269" s="44">
        <v>0.32808398950131235</v>
      </c>
      <c r="E269" s="18">
        <v>21.99</v>
      </c>
      <c r="F269" s="44">
        <v>59.8</v>
      </c>
      <c r="G269" s="18">
        <v>5.23</v>
      </c>
      <c r="H269" s="27">
        <v>242</v>
      </c>
      <c r="I269" s="18">
        <v>7.76</v>
      </c>
      <c r="J269" s="44" t="s">
        <v>105</v>
      </c>
      <c r="K269" s="44">
        <v>13.6</v>
      </c>
    </row>
    <row r="270" spans="1:11" x14ac:dyDescent="0.35">
      <c r="A270" s="51" t="s">
        <v>104</v>
      </c>
      <c r="B270" s="51" t="s">
        <v>18</v>
      </c>
      <c r="C270" s="4" t="s">
        <v>1656</v>
      </c>
      <c r="D270" s="44">
        <v>6.5616797900262469</v>
      </c>
      <c r="E270" s="18">
        <v>17.8</v>
      </c>
      <c r="F270" s="44">
        <v>58.3</v>
      </c>
      <c r="G270" s="18">
        <v>5.53</v>
      </c>
      <c r="H270" s="27">
        <v>397</v>
      </c>
      <c r="I270" s="18">
        <v>7.86</v>
      </c>
      <c r="J270" s="44" t="s">
        <v>105</v>
      </c>
      <c r="K270" s="44">
        <v>24.5</v>
      </c>
    </row>
    <row r="271" spans="1:11" x14ac:dyDescent="0.35">
      <c r="A271" s="51" t="s">
        <v>104</v>
      </c>
      <c r="B271" s="51" t="s">
        <v>64</v>
      </c>
      <c r="C271" s="4" t="s">
        <v>2028</v>
      </c>
      <c r="D271" s="44">
        <v>5.0999999999999997E-2</v>
      </c>
      <c r="E271" s="18">
        <v>23</v>
      </c>
      <c r="F271" s="44">
        <v>87.2</v>
      </c>
      <c r="G271" s="18">
        <v>7.45</v>
      </c>
      <c r="H271" s="27">
        <v>234</v>
      </c>
      <c r="I271" s="18">
        <v>6.44</v>
      </c>
      <c r="J271" s="44">
        <v>146.30000000000001</v>
      </c>
      <c r="K271" s="44">
        <v>1.5</v>
      </c>
    </row>
    <row r="272" spans="1:11" x14ac:dyDescent="0.35">
      <c r="A272" s="51" t="s">
        <v>104</v>
      </c>
      <c r="B272" s="51" t="s">
        <v>64</v>
      </c>
      <c r="C272" s="4" t="s">
        <v>2028</v>
      </c>
      <c r="D272" s="44">
        <v>40.002000000000002</v>
      </c>
      <c r="E272" s="18">
        <v>20.99</v>
      </c>
      <c r="F272" s="44">
        <v>6.5</v>
      </c>
      <c r="G272" s="18">
        <v>0.56999999999999995</v>
      </c>
      <c r="H272" s="27">
        <v>243</v>
      </c>
      <c r="I272" s="18">
        <v>6.75</v>
      </c>
      <c r="J272" s="44">
        <v>5.7</v>
      </c>
      <c r="K272" s="44">
        <v>0.9</v>
      </c>
    </row>
    <row r="273" spans="1:11" x14ac:dyDescent="0.35">
      <c r="A273" s="51" t="s">
        <v>104</v>
      </c>
      <c r="B273" s="51" t="s">
        <v>69</v>
      </c>
      <c r="C273" s="4" t="s">
        <v>2028</v>
      </c>
      <c r="D273" s="44">
        <v>0.98425196850393704</v>
      </c>
      <c r="E273" s="18">
        <v>22.73</v>
      </c>
      <c r="F273" s="44">
        <v>83.3</v>
      </c>
      <c r="G273" s="18">
        <v>7.18</v>
      </c>
      <c r="H273" s="27">
        <v>234</v>
      </c>
      <c r="I273" s="18">
        <v>7.33</v>
      </c>
      <c r="J273" s="44">
        <v>109.3</v>
      </c>
      <c r="K273" s="44">
        <v>2</v>
      </c>
    </row>
    <row r="274" spans="1:11" x14ac:dyDescent="0.35">
      <c r="A274" s="51" t="s">
        <v>104</v>
      </c>
      <c r="B274" s="51" t="s">
        <v>69</v>
      </c>
      <c r="C274" s="4" t="s">
        <v>2028</v>
      </c>
      <c r="D274" s="44">
        <v>60.69553805774278</v>
      </c>
      <c r="E274" s="18">
        <v>20.47</v>
      </c>
      <c r="F274" s="44">
        <v>19.2</v>
      </c>
      <c r="G274" s="18">
        <v>1.73</v>
      </c>
      <c r="H274" s="27">
        <v>258</v>
      </c>
      <c r="I274" s="18">
        <v>7.09</v>
      </c>
      <c r="J274" s="44">
        <v>52.9</v>
      </c>
      <c r="K274" s="44">
        <v>11.9</v>
      </c>
    </row>
    <row r="275" spans="1:11" x14ac:dyDescent="0.35">
      <c r="A275" s="51" t="s">
        <v>104</v>
      </c>
      <c r="B275" s="51" t="s">
        <v>60</v>
      </c>
      <c r="C275" s="4" t="s">
        <v>2028</v>
      </c>
      <c r="D275" s="44">
        <v>0.98425196850393704</v>
      </c>
      <c r="E275" s="18">
        <v>22.67</v>
      </c>
      <c r="F275" s="44">
        <v>103.1</v>
      </c>
      <c r="G275" s="18">
        <v>8.91</v>
      </c>
      <c r="H275" s="27">
        <v>231</v>
      </c>
      <c r="I275" s="18">
        <v>7.7</v>
      </c>
      <c r="J275" s="44">
        <v>75.599999999999994</v>
      </c>
      <c r="K275" s="44">
        <v>2.8</v>
      </c>
    </row>
    <row r="276" spans="1:11" x14ac:dyDescent="0.35">
      <c r="A276" s="51" t="s">
        <v>104</v>
      </c>
      <c r="B276" s="51" t="s">
        <v>60</v>
      </c>
      <c r="C276" s="4" t="s">
        <v>2028</v>
      </c>
      <c r="D276" s="44">
        <v>95.144356955380573</v>
      </c>
      <c r="E276" s="18">
        <v>20.07</v>
      </c>
      <c r="F276" s="44">
        <v>5</v>
      </c>
      <c r="G276" s="18">
        <v>0.45</v>
      </c>
      <c r="H276" s="27">
        <v>259</v>
      </c>
      <c r="I276" s="18">
        <v>7.02</v>
      </c>
      <c r="J276" s="44">
        <v>-32.200000000000003</v>
      </c>
      <c r="K276" s="44">
        <v>2</v>
      </c>
    </row>
    <row r="277" spans="1:11" x14ac:dyDescent="0.35">
      <c r="A277" s="51" t="s">
        <v>104</v>
      </c>
      <c r="B277" s="51" t="s">
        <v>9</v>
      </c>
      <c r="C277" s="4" t="s">
        <v>2029</v>
      </c>
      <c r="D277" s="44">
        <v>0.24099999999999999</v>
      </c>
      <c r="E277" s="18">
        <v>19.59</v>
      </c>
      <c r="F277" s="44">
        <v>93.2</v>
      </c>
      <c r="G277" s="18">
        <v>8.5299999999999994</v>
      </c>
      <c r="H277" s="27">
        <v>249</v>
      </c>
      <c r="I277" s="18">
        <v>6.8</v>
      </c>
      <c r="J277" s="44">
        <v>108.1</v>
      </c>
      <c r="K277" s="44">
        <v>26.4</v>
      </c>
    </row>
    <row r="278" spans="1:11" x14ac:dyDescent="0.35">
      <c r="A278" s="51" t="s">
        <v>104</v>
      </c>
      <c r="B278" s="51" t="s">
        <v>9</v>
      </c>
      <c r="C278" s="4" t="s">
        <v>2029</v>
      </c>
      <c r="D278" s="44">
        <v>10.119999999999999</v>
      </c>
      <c r="E278" s="18">
        <v>18.399999999999999</v>
      </c>
      <c r="F278" s="44">
        <v>66.599999999999994</v>
      </c>
      <c r="G278" s="18">
        <v>6.1</v>
      </c>
      <c r="H278" s="27">
        <v>260</v>
      </c>
      <c r="I278" s="18">
        <v>6.86</v>
      </c>
      <c r="J278" s="44">
        <v>111.4</v>
      </c>
      <c r="K278" s="44">
        <v>63.9</v>
      </c>
    </row>
    <row r="279" spans="1:11" x14ac:dyDescent="0.35">
      <c r="A279" s="51" t="s">
        <v>104</v>
      </c>
      <c r="B279" s="51" t="s">
        <v>14</v>
      </c>
      <c r="C279" s="4" t="s">
        <v>2029</v>
      </c>
      <c r="D279" s="44">
        <v>0.42799999999999999</v>
      </c>
      <c r="E279" s="18">
        <v>20.32</v>
      </c>
      <c r="F279" s="44">
        <v>63.3</v>
      </c>
      <c r="G279" s="18">
        <v>7.69</v>
      </c>
      <c r="H279" s="27">
        <v>240</v>
      </c>
      <c r="I279" s="18">
        <v>7.29</v>
      </c>
      <c r="J279" s="44">
        <v>79.599999999999994</v>
      </c>
      <c r="K279" s="44">
        <v>74.2</v>
      </c>
    </row>
    <row r="280" spans="1:11" x14ac:dyDescent="0.35">
      <c r="A280" s="51" t="s">
        <v>104</v>
      </c>
      <c r="B280" s="51" t="s">
        <v>14</v>
      </c>
      <c r="C280" s="4" t="s">
        <v>2029</v>
      </c>
      <c r="D280" s="44">
        <v>5.1210000000000004</v>
      </c>
      <c r="E280" s="18">
        <v>19.27</v>
      </c>
      <c r="F280" s="44">
        <v>72.900000000000006</v>
      </c>
      <c r="G280" s="18">
        <v>6.72</v>
      </c>
      <c r="H280" s="27">
        <v>249</v>
      </c>
      <c r="I280" s="18">
        <v>7.27</v>
      </c>
      <c r="J280" s="44">
        <v>89.3</v>
      </c>
      <c r="K280" s="44">
        <v>22.1</v>
      </c>
    </row>
    <row r="281" spans="1:11" x14ac:dyDescent="0.35">
      <c r="A281" s="51" t="s">
        <v>104</v>
      </c>
      <c r="B281" s="51" t="s">
        <v>18</v>
      </c>
      <c r="C281" s="4" t="s">
        <v>2029</v>
      </c>
      <c r="D281" s="44">
        <v>0.30499999999999999</v>
      </c>
      <c r="E281" s="18">
        <v>20.309999999999999</v>
      </c>
      <c r="F281" s="44">
        <v>84.3</v>
      </c>
      <c r="G281" s="18">
        <v>7.61</v>
      </c>
      <c r="H281" s="27">
        <v>238</v>
      </c>
      <c r="I281" s="18">
        <v>7.35</v>
      </c>
      <c r="J281" s="44">
        <v>87.2</v>
      </c>
      <c r="K281" s="44">
        <v>15.2</v>
      </c>
    </row>
    <row r="282" spans="1:11" x14ac:dyDescent="0.35">
      <c r="A282" s="51" t="s">
        <v>104</v>
      </c>
      <c r="B282" s="51" t="s">
        <v>18</v>
      </c>
      <c r="C282" s="4" t="s">
        <v>2029</v>
      </c>
      <c r="D282" s="44">
        <v>7.0940000000000003</v>
      </c>
      <c r="E282" s="18">
        <v>19.100000000000001</v>
      </c>
      <c r="F282" s="44">
        <v>68.7</v>
      </c>
      <c r="G282" s="18">
        <v>6.3</v>
      </c>
      <c r="H282" s="27">
        <v>248</v>
      </c>
      <c r="I282" s="18">
        <v>7.3</v>
      </c>
      <c r="J282" s="44">
        <v>93.5</v>
      </c>
      <c r="K282" s="44">
        <v>31.2</v>
      </c>
    </row>
    <row r="283" spans="1:11" x14ac:dyDescent="0.35">
      <c r="A283" s="51" t="s">
        <v>104</v>
      </c>
      <c r="B283" s="51" t="s">
        <v>25</v>
      </c>
      <c r="C283" s="4" t="s">
        <v>2029</v>
      </c>
      <c r="D283" s="44">
        <v>0.442</v>
      </c>
      <c r="E283" s="18">
        <v>20.79</v>
      </c>
      <c r="F283" s="44">
        <v>65.8</v>
      </c>
      <c r="G283" s="18">
        <v>6.11</v>
      </c>
      <c r="H283" s="27">
        <v>237</v>
      </c>
      <c r="I283" s="18">
        <v>7.1</v>
      </c>
      <c r="J283" s="44">
        <v>68.3</v>
      </c>
      <c r="K283" s="44">
        <v>26</v>
      </c>
    </row>
    <row r="284" spans="1:11" x14ac:dyDescent="0.35">
      <c r="A284" s="51" t="s">
        <v>104</v>
      </c>
      <c r="B284" s="51" t="s">
        <v>25</v>
      </c>
      <c r="C284" s="4" t="s">
        <v>2029</v>
      </c>
      <c r="D284" s="44">
        <v>29.571999999999999</v>
      </c>
      <c r="E284" s="18">
        <v>20.25</v>
      </c>
      <c r="F284" s="44">
        <v>51.1</v>
      </c>
      <c r="G284" s="18">
        <v>4.6100000000000003</v>
      </c>
      <c r="H284" s="27">
        <v>238</v>
      </c>
      <c r="I284" s="18">
        <v>7.06</v>
      </c>
      <c r="J284" s="44">
        <v>62.2</v>
      </c>
      <c r="K284" s="44">
        <v>21</v>
      </c>
    </row>
    <row r="285" spans="1:11" x14ac:dyDescent="0.35">
      <c r="A285" s="51" t="s">
        <v>104</v>
      </c>
      <c r="B285" s="51" t="s">
        <v>26</v>
      </c>
      <c r="C285" s="4" t="s">
        <v>2029</v>
      </c>
      <c r="D285" s="44">
        <v>7.5999999999999998E-2</v>
      </c>
      <c r="E285" s="18">
        <v>20.79</v>
      </c>
      <c r="F285" s="44">
        <v>64</v>
      </c>
      <c r="G285" s="18">
        <v>5.71</v>
      </c>
      <c r="H285" s="27">
        <v>236</v>
      </c>
      <c r="I285" s="18">
        <v>7.29</v>
      </c>
      <c r="J285" s="44">
        <v>71.5</v>
      </c>
      <c r="K285" s="44">
        <v>10.8</v>
      </c>
    </row>
    <row r="286" spans="1:11" x14ac:dyDescent="0.35">
      <c r="A286" s="51" t="s">
        <v>104</v>
      </c>
      <c r="B286" s="51" t="s">
        <v>26</v>
      </c>
      <c r="C286" s="4" t="s">
        <v>2029</v>
      </c>
      <c r="D286" s="44">
        <v>34.927999999999997</v>
      </c>
      <c r="E286" s="18">
        <v>20.34</v>
      </c>
      <c r="F286" s="44">
        <v>44.5</v>
      </c>
      <c r="G286" s="18">
        <v>4.01</v>
      </c>
      <c r="H286" s="27">
        <v>237</v>
      </c>
      <c r="I286" s="18">
        <v>7.13</v>
      </c>
      <c r="J286" s="44">
        <v>53.6</v>
      </c>
      <c r="K286" s="44">
        <v>36.799999999999997</v>
      </c>
    </row>
    <row r="287" spans="1:11" x14ac:dyDescent="0.35">
      <c r="A287" s="51" t="s">
        <v>104</v>
      </c>
      <c r="B287" s="51" t="s">
        <v>167</v>
      </c>
      <c r="C287" s="4" t="s">
        <v>2029</v>
      </c>
      <c r="D287" s="44">
        <v>0.438</v>
      </c>
      <c r="E287" s="18">
        <v>20.76</v>
      </c>
      <c r="F287" s="44">
        <v>72.2</v>
      </c>
      <c r="G287" s="18">
        <v>6.42</v>
      </c>
      <c r="H287" s="27">
        <v>236</v>
      </c>
      <c r="I287" s="18">
        <v>7.38</v>
      </c>
      <c r="J287" s="44">
        <v>94.3</v>
      </c>
      <c r="K287" s="44">
        <v>10.5</v>
      </c>
    </row>
    <row r="288" spans="1:11" x14ac:dyDescent="0.35">
      <c r="A288" s="51" t="s">
        <v>104</v>
      </c>
      <c r="B288" s="51" t="s">
        <v>167</v>
      </c>
      <c r="C288" s="4" t="s">
        <v>2029</v>
      </c>
      <c r="D288" s="44">
        <v>24.989000000000001</v>
      </c>
      <c r="E288" s="18">
        <v>20.56</v>
      </c>
      <c r="F288" s="44">
        <v>65.8</v>
      </c>
      <c r="G288" s="18">
        <v>5.9</v>
      </c>
      <c r="H288" s="27">
        <v>237</v>
      </c>
      <c r="I288" s="18">
        <v>7.33</v>
      </c>
      <c r="J288" s="44">
        <v>92</v>
      </c>
      <c r="K288" s="44">
        <v>59.7</v>
      </c>
    </row>
    <row r="289" spans="1:11" x14ac:dyDescent="0.35">
      <c r="A289" s="51" t="s">
        <v>104</v>
      </c>
      <c r="B289" s="51" t="s">
        <v>64</v>
      </c>
      <c r="C289" s="4" t="s">
        <v>2031</v>
      </c>
      <c r="D289" s="44">
        <v>0.35299999999999998</v>
      </c>
      <c r="E289" s="18">
        <v>20.46</v>
      </c>
      <c r="F289" s="44">
        <v>57.6</v>
      </c>
      <c r="G289" s="18">
        <v>5.12</v>
      </c>
      <c r="H289" s="27">
        <v>236</v>
      </c>
      <c r="I289" s="18">
        <v>6.36</v>
      </c>
      <c r="J289" s="44">
        <v>136.69999999999999</v>
      </c>
      <c r="K289" s="44">
        <v>2.9</v>
      </c>
    </row>
    <row r="290" spans="1:11" x14ac:dyDescent="0.35">
      <c r="A290" s="51" t="s">
        <v>104</v>
      </c>
      <c r="B290" s="51" t="s">
        <v>64</v>
      </c>
      <c r="C290" s="4" t="s">
        <v>2031</v>
      </c>
      <c r="D290" s="44">
        <v>44.18</v>
      </c>
      <c r="E290" s="18">
        <v>20.170000000000002</v>
      </c>
      <c r="F290" s="44">
        <v>41.4</v>
      </c>
      <c r="G290" s="18">
        <v>3.77</v>
      </c>
      <c r="H290" s="27">
        <v>237</v>
      </c>
      <c r="I290" s="18">
        <v>6.86</v>
      </c>
      <c r="J290" s="44">
        <v>110</v>
      </c>
      <c r="K290" s="44">
        <v>23.3</v>
      </c>
    </row>
    <row r="291" spans="1:11" x14ac:dyDescent="0.35">
      <c r="A291" s="51" t="s">
        <v>104</v>
      </c>
      <c r="B291" s="51" t="s">
        <v>69</v>
      </c>
      <c r="C291" s="4" t="s">
        <v>2031</v>
      </c>
      <c r="D291" s="44">
        <v>3.2808398950131235</v>
      </c>
      <c r="E291" s="18">
        <v>20.3</v>
      </c>
      <c r="F291" s="44">
        <v>43.2</v>
      </c>
      <c r="G291" s="18">
        <v>3.9</v>
      </c>
      <c r="H291" s="27">
        <v>237</v>
      </c>
      <c r="I291" s="18">
        <v>6.85</v>
      </c>
      <c r="J291" s="44">
        <v>102.6</v>
      </c>
      <c r="K291" s="44">
        <v>2.8</v>
      </c>
    </row>
    <row r="292" spans="1:11" x14ac:dyDescent="0.35">
      <c r="A292" s="51" t="s">
        <v>104</v>
      </c>
      <c r="B292" s="51" t="s">
        <v>69</v>
      </c>
      <c r="C292" s="4" t="s">
        <v>2031</v>
      </c>
      <c r="D292" s="44">
        <v>59.055118110236222</v>
      </c>
      <c r="E292" s="18">
        <v>20.11</v>
      </c>
      <c r="F292" s="44">
        <v>35.200000000000003</v>
      </c>
      <c r="G292" s="18">
        <v>3.19</v>
      </c>
      <c r="H292" s="27">
        <v>237</v>
      </c>
      <c r="I292" s="18">
        <v>6.952</v>
      </c>
      <c r="J292" s="44">
        <v>91.9</v>
      </c>
      <c r="K292" s="44">
        <v>13.5</v>
      </c>
    </row>
    <row r="293" spans="1:11" x14ac:dyDescent="0.35">
      <c r="A293" s="51" t="s">
        <v>104</v>
      </c>
      <c r="B293" s="51" t="s">
        <v>60</v>
      </c>
      <c r="C293" s="4" t="s">
        <v>2031</v>
      </c>
      <c r="D293" s="44">
        <v>3.2808398950131235</v>
      </c>
      <c r="E293" s="18">
        <v>20.47</v>
      </c>
      <c r="F293" s="44">
        <v>26.5</v>
      </c>
      <c r="G293" s="18">
        <v>2.48</v>
      </c>
      <c r="H293" s="27">
        <v>238</v>
      </c>
      <c r="I293" s="18">
        <v>7.15</v>
      </c>
      <c r="J293" s="44">
        <v>87.2</v>
      </c>
      <c r="K293" s="44">
        <v>0.7</v>
      </c>
    </row>
    <row r="294" spans="1:11" x14ac:dyDescent="0.35">
      <c r="A294" s="51" t="s">
        <v>104</v>
      </c>
      <c r="B294" s="51" t="s">
        <v>60</v>
      </c>
      <c r="C294" s="4" t="s">
        <v>2031</v>
      </c>
      <c r="D294" s="44">
        <v>95.144356955380573</v>
      </c>
      <c r="E294" s="18">
        <v>19.78</v>
      </c>
      <c r="F294" s="44">
        <v>4.0999999999999996</v>
      </c>
      <c r="G294" s="18">
        <v>0.38</v>
      </c>
      <c r="H294" s="27">
        <v>273</v>
      </c>
      <c r="I294" s="18">
        <v>6.78</v>
      </c>
      <c r="J294" s="44">
        <v>-202.9</v>
      </c>
      <c r="K294" s="44">
        <v>2.2000000000000002</v>
      </c>
    </row>
    <row r="295" spans="1:11" x14ac:dyDescent="0.35">
      <c r="A295" s="51" t="s">
        <v>104</v>
      </c>
      <c r="B295" s="51" t="s">
        <v>9</v>
      </c>
      <c r="C295" s="4" t="s">
        <v>2032</v>
      </c>
      <c r="D295" s="44">
        <v>0.30199999999999999</v>
      </c>
      <c r="E295" s="18">
        <v>16.75</v>
      </c>
      <c r="F295" s="44">
        <v>67.3</v>
      </c>
      <c r="G295" s="18">
        <v>6.5</v>
      </c>
      <c r="H295" s="27">
        <v>243</v>
      </c>
      <c r="I295" s="18">
        <v>7.27</v>
      </c>
      <c r="J295" s="44">
        <v>94.4</v>
      </c>
      <c r="K295" s="44">
        <v>25.4</v>
      </c>
    </row>
    <row r="296" spans="1:11" x14ac:dyDescent="0.35">
      <c r="A296" s="51" t="s">
        <v>104</v>
      </c>
      <c r="B296" s="51" t="s">
        <v>9</v>
      </c>
      <c r="C296" s="4" t="s">
        <v>2032</v>
      </c>
      <c r="D296" s="44">
        <v>9.01</v>
      </c>
      <c r="E296" s="18">
        <v>15.08</v>
      </c>
      <c r="F296" s="44">
        <v>61.4</v>
      </c>
      <c r="G296" s="18">
        <v>6.18</v>
      </c>
      <c r="H296" s="27">
        <v>264</v>
      </c>
      <c r="I296" s="18">
        <v>7.15</v>
      </c>
      <c r="J296" s="44">
        <v>93.5</v>
      </c>
      <c r="K296" s="44">
        <v>37</v>
      </c>
    </row>
    <row r="297" spans="1:11" x14ac:dyDescent="0.35">
      <c r="A297" s="51" t="s">
        <v>104</v>
      </c>
      <c r="B297" s="51" t="s">
        <v>14</v>
      </c>
      <c r="C297" s="4" t="s">
        <v>2032</v>
      </c>
      <c r="D297" s="44">
        <v>0.19</v>
      </c>
      <c r="E297" s="18">
        <v>17.61</v>
      </c>
      <c r="F297" s="44">
        <v>71.599999999999994</v>
      </c>
      <c r="G297" s="18">
        <v>6.81</v>
      </c>
      <c r="H297" s="27">
        <v>241</v>
      </c>
      <c r="I297" s="18">
        <v>7.56</v>
      </c>
      <c r="J297" s="44">
        <v>91</v>
      </c>
      <c r="K297" s="44">
        <v>10.8</v>
      </c>
    </row>
    <row r="298" spans="1:11" x14ac:dyDescent="0.35">
      <c r="A298" s="51" t="s">
        <v>104</v>
      </c>
      <c r="B298" s="51" t="s">
        <v>14</v>
      </c>
      <c r="C298" s="4" t="s">
        <v>2032</v>
      </c>
      <c r="D298" s="44">
        <v>8.2759999999999998</v>
      </c>
      <c r="E298" s="18">
        <v>15.78</v>
      </c>
      <c r="F298" s="44">
        <v>61.8</v>
      </c>
      <c r="G298" s="18">
        <v>6.09</v>
      </c>
      <c r="H298" s="27">
        <v>253</v>
      </c>
      <c r="I298" s="18">
        <v>7.43</v>
      </c>
      <c r="J298" s="44">
        <v>94.3</v>
      </c>
      <c r="K298" s="44">
        <v>26</v>
      </c>
    </row>
    <row r="299" spans="1:11" x14ac:dyDescent="0.35">
      <c r="A299" s="51" t="s">
        <v>104</v>
      </c>
      <c r="B299" s="51" t="s">
        <v>18</v>
      </c>
      <c r="C299" s="4" t="s">
        <v>2032</v>
      </c>
      <c r="D299" s="44">
        <v>0.11799999999999999</v>
      </c>
      <c r="E299" s="18">
        <v>18.32</v>
      </c>
      <c r="F299" s="44">
        <v>76.099999999999994</v>
      </c>
      <c r="G299" s="18">
        <v>7.1</v>
      </c>
      <c r="H299" s="27">
        <v>240</v>
      </c>
      <c r="I299" s="18">
        <v>7.6</v>
      </c>
      <c r="J299" s="44">
        <v>70.8</v>
      </c>
      <c r="K299" s="44">
        <v>10.4</v>
      </c>
    </row>
    <row r="300" spans="1:11" x14ac:dyDescent="0.35">
      <c r="A300" s="51" t="s">
        <v>104</v>
      </c>
      <c r="B300" s="51" t="s">
        <v>18</v>
      </c>
      <c r="C300" s="4" t="s">
        <v>2032</v>
      </c>
      <c r="D300" s="44">
        <v>7.4180000000000001</v>
      </c>
      <c r="E300" s="18">
        <v>16.52</v>
      </c>
      <c r="F300" s="44">
        <v>65.099999999999994</v>
      </c>
      <c r="G300" s="18">
        <v>6.36</v>
      </c>
      <c r="H300" s="27">
        <v>248</v>
      </c>
      <c r="I300" s="18">
        <v>7.43</v>
      </c>
      <c r="J300" s="44">
        <v>77.900000000000006</v>
      </c>
      <c r="K300" s="44">
        <v>22.9</v>
      </c>
    </row>
    <row r="301" spans="1:11" x14ac:dyDescent="0.35">
      <c r="A301" s="51" t="s">
        <v>104</v>
      </c>
      <c r="B301" s="51" t="s">
        <v>25</v>
      </c>
      <c r="C301" s="4" t="s">
        <v>2032</v>
      </c>
      <c r="D301" s="44">
        <v>2.5999999999999999E-2</v>
      </c>
      <c r="E301" s="18">
        <v>18.79</v>
      </c>
      <c r="F301" s="44">
        <v>62.6</v>
      </c>
      <c r="G301" s="18">
        <v>5.71</v>
      </c>
      <c r="H301" s="27">
        <v>239</v>
      </c>
      <c r="I301" s="18">
        <v>7.56</v>
      </c>
      <c r="J301" s="44">
        <v>75.099999999999994</v>
      </c>
      <c r="K301" s="44">
        <v>23.3</v>
      </c>
    </row>
    <row r="302" spans="1:11" x14ac:dyDescent="0.35">
      <c r="A302" s="51" t="s">
        <v>104</v>
      </c>
      <c r="B302" s="51" t="s">
        <v>25</v>
      </c>
      <c r="C302" s="4" t="s">
        <v>2032</v>
      </c>
      <c r="D302" s="44">
        <v>27.1279</v>
      </c>
      <c r="E302" s="18">
        <v>18.32</v>
      </c>
      <c r="F302" s="44">
        <v>50.4</v>
      </c>
      <c r="G302" s="18">
        <v>4.7300000000000004</v>
      </c>
      <c r="H302" s="27">
        <v>240</v>
      </c>
      <c r="I302" s="18">
        <v>7.37</v>
      </c>
      <c r="J302" s="44">
        <v>78.5</v>
      </c>
      <c r="K302" s="44">
        <v>19.7</v>
      </c>
    </row>
    <row r="303" spans="1:11" x14ac:dyDescent="0.35">
      <c r="A303" s="51" t="s">
        <v>104</v>
      </c>
      <c r="B303" s="51" t="s">
        <v>26</v>
      </c>
      <c r="C303" s="4" t="s">
        <v>2032</v>
      </c>
      <c r="D303" s="44">
        <v>0.38300000000000001</v>
      </c>
      <c r="E303" s="18">
        <v>19.23</v>
      </c>
      <c r="F303" s="44">
        <v>62.4</v>
      </c>
      <c r="G303" s="18">
        <v>5.76</v>
      </c>
      <c r="H303" s="27">
        <v>239</v>
      </c>
      <c r="I303" s="18">
        <v>7.51</v>
      </c>
      <c r="J303" s="44">
        <v>97.2</v>
      </c>
      <c r="K303" s="44">
        <v>5.7</v>
      </c>
    </row>
    <row r="304" spans="1:11" x14ac:dyDescent="0.35">
      <c r="A304" s="51" t="s">
        <v>104</v>
      </c>
      <c r="B304" s="51" t="s">
        <v>26</v>
      </c>
      <c r="C304" s="4" t="s">
        <v>2032</v>
      </c>
      <c r="D304" s="44">
        <v>39.844999999999999</v>
      </c>
      <c r="E304" s="18">
        <v>17.93</v>
      </c>
      <c r="F304" s="44">
        <v>47</v>
      </c>
      <c r="G304" s="18">
        <v>4.43</v>
      </c>
      <c r="H304" s="27">
        <v>250</v>
      </c>
      <c r="I304" s="18">
        <v>7.26</v>
      </c>
      <c r="J304" s="44">
        <v>101.6</v>
      </c>
      <c r="K304" s="44">
        <v>33.9</v>
      </c>
    </row>
    <row r="305" spans="1:11" x14ac:dyDescent="0.35">
      <c r="A305" s="51" t="s">
        <v>104</v>
      </c>
      <c r="B305" s="51" t="s">
        <v>167</v>
      </c>
      <c r="C305" s="4" t="s">
        <v>2032</v>
      </c>
      <c r="D305" s="44">
        <v>0.14899999999999999</v>
      </c>
      <c r="E305" s="18">
        <v>18.87</v>
      </c>
      <c r="F305" s="44">
        <v>57.5</v>
      </c>
      <c r="G305" s="18">
        <v>5.53</v>
      </c>
      <c r="H305" s="27">
        <v>239</v>
      </c>
      <c r="I305" s="18">
        <v>7.28</v>
      </c>
      <c r="J305" s="44">
        <v>68.900000000000006</v>
      </c>
      <c r="K305" s="44">
        <v>10.7</v>
      </c>
    </row>
    <row r="306" spans="1:11" x14ac:dyDescent="0.35">
      <c r="A306" s="51" t="s">
        <v>104</v>
      </c>
      <c r="B306" s="51" t="s">
        <v>167</v>
      </c>
      <c r="C306" s="4" t="s">
        <v>2032</v>
      </c>
      <c r="D306" s="44">
        <v>21.225000000000001</v>
      </c>
      <c r="E306" s="18">
        <v>18.850000000000001</v>
      </c>
      <c r="F306" s="44">
        <v>61.7</v>
      </c>
      <c r="G306" s="18">
        <v>5.73</v>
      </c>
      <c r="H306" s="27">
        <v>239</v>
      </c>
      <c r="I306" s="18">
        <v>7.41</v>
      </c>
      <c r="J306" s="44">
        <v>64.599999999999994</v>
      </c>
      <c r="K306" s="44">
        <v>11.4</v>
      </c>
    </row>
    <row r="307" spans="1:11" x14ac:dyDescent="0.35">
      <c r="A307" s="51" t="s">
        <v>104</v>
      </c>
      <c r="B307" s="51" t="s">
        <v>64</v>
      </c>
      <c r="C307" s="4" t="s">
        <v>2033</v>
      </c>
      <c r="D307" s="44">
        <v>0.125</v>
      </c>
      <c r="E307" s="18">
        <v>19.3</v>
      </c>
      <c r="F307" s="44">
        <v>37.6</v>
      </c>
      <c r="G307" s="18">
        <v>3.45</v>
      </c>
      <c r="H307" s="27">
        <v>244</v>
      </c>
      <c r="I307" s="18">
        <v>6.95</v>
      </c>
      <c r="J307" s="44">
        <v>112.6</v>
      </c>
      <c r="K307" s="44">
        <v>3.4</v>
      </c>
    </row>
    <row r="308" spans="1:11" x14ac:dyDescent="0.35">
      <c r="A308" s="51" t="s">
        <v>104</v>
      </c>
      <c r="B308" s="51" t="s">
        <v>64</v>
      </c>
      <c r="C308" s="4" t="s">
        <v>2033</v>
      </c>
      <c r="D308" s="44">
        <v>43.07</v>
      </c>
      <c r="E308" s="18">
        <v>19.010000000000002</v>
      </c>
      <c r="F308" s="44">
        <v>33.299999999999997</v>
      </c>
      <c r="G308" s="18">
        <v>3.09</v>
      </c>
      <c r="H308" s="27">
        <v>245</v>
      </c>
      <c r="I308" s="18">
        <v>7.1</v>
      </c>
      <c r="J308" s="44">
        <v>80.2</v>
      </c>
      <c r="K308" s="44">
        <v>23.8</v>
      </c>
    </row>
    <row r="309" spans="1:11" x14ac:dyDescent="0.35">
      <c r="A309" s="51" t="s">
        <v>104</v>
      </c>
      <c r="B309" s="51" t="s">
        <v>69</v>
      </c>
      <c r="C309" s="4" t="s">
        <v>2033</v>
      </c>
      <c r="D309" s="44">
        <v>0.2</v>
      </c>
      <c r="E309" s="18">
        <v>19.440000000000001</v>
      </c>
      <c r="F309" s="44">
        <v>38.6</v>
      </c>
      <c r="G309" s="18">
        <v>3.45</v>
      </c>
      <c r="H309" s="21">
        <v>244</v>
      </c>
      <c r="I309" s="18">
        <v>7.35</v>
      </c>
      <c r="J309" s="17">
        <v>53</v>
      </c>
      <c r="K309" s="17">
        <v>2.6</v>
      </c>
    </row>
    <row r="310" spans="1:11" x14ac:dyDescent="0.35">
      <c r="A310" s="51" t="s">
        <v>104</v>
      </c>
      <c r="B310" s="51" t="s">
        <v>69</v>
      </c>
      <c r="C310" s="4" t="s">
        <v>2033</v>
      </c>
      <c r="D310" s="44">
        <v>60.69553805774278</v>
      </c>
      <c r="E310" s="18">
        <v>18.87</v>
      </c>
      <c r="F310" s="44">
        <v>30.9</v>
      </c>
      <c r="G310" s="18">
        <v>2.88</v>
      </c>
      <c r="H310" s="21">
        <v>245</v>
      </c>
      <c r="I310" s="18">
        <v>7.21</v>
      </c>
      <c r="J310" s="17">
        <v>75.400000000000006</v>
      </c>
      <c r="K310" s="17">
        <v>6.3</v>
      </c>
    </row>
    <row r="311" spans="1:11" x14ac:dyDescent="0.35">
      <c r="A311" s="51" t="s">
        <v>104</v>
      </c>
      <c r="B311" s="51" t="s">
        <v>60</v>
      </c>
      <c r="C311" s="4" t="s">
        <v>2033</v>
      </c>
      <c r="D311" s="44">
        <v>0.32808398950131235</v>
      </c>
      <c r="E311" s="18">
        <v>19.63</v>
      </c>
      <c r="F311" s="44">
        <v>24.9</v>
      </c>
      <c r="G311" s="18">
        <v>2.2799999999999998</v>
      </c>
      <c r="H311" s="21">
        <v>245</v>
      </c>
      <c r="I311" s="18">
        <v>6.92</v>
      </c>
      <c r="J311" s="17">
        <v>93.4</v>
      </c>
      <c r="K311" s="17">
        <v>1.2</v>
      </c>
    </row>
    <row r="312" spans="1:11" x14ac:dyDescent="0.35">
      <c r="A312" s="51" t="s">
        <v>104</v>
      </c>
      <c r="B312" s="51" t="s">
        <v>60</v>
      </c>
      <c r="C312" s="4" t="s">
        <v>2033</v>
      </c>
      <c r="D312" s="44">
        <v>95.144356955380573</v>
      </c>
      <c r="E312" s="18">
        <v>18.82</v>
      </c>
      <c r="F312" s="44">
        <v>18.5</v>
      </c>
      <c r="G312" s="18">
        <v>1.72</v>
      </c>
      <c r="H312" s="21">
        <v>247</v>
      </c>
      <c r="I312" s="18">
        <v>6.99</v>
      </c>
      <c r="J312" s="17">
        <v>89.5</v>
      </c>
      <c r="K312" s="17">
        <v>6.2</v>
      </c>
    </row>
    <row r="313" spans="1:11" x14ac:dyDescent="0.35">
      <c r="A313" s="51" t="s">
        <v>104</v>
      </c>
      <c r="B313" t="s">
        <v>9</v>
      </c>
      <c r="C313" s="4" t="s">
        <v>2155</v>
      </c>
      <c r="D313" s="44">
        <v>7.0430000000000001</v>
      </c>
      <c r="E313" s="17">
        <v>16.64</v>
      </c>
      <c r="F313" s="17">
        <v>49.8</v>
      </c>
      <c r="G313" s="17">
        <v>4.84</v>
      </c>
      <c r="H313" s="17">
        <v>269</v>
      </c>
      <c r="I313" s="17">
        <v>6.94</v>
      </c>
      <c r="J313" s="17">
        <v>104.6</v>
      </c>
      <c r="K313" s="17">
        <v>25.5</v>
      </c>
    </row>
    <row r="314" spans="1:11" x14ac:dyDescent="0.35">
      <c r="A314" s="51" t="s">
        <v>104</v>
      </c>
      <c r="B314" t="s">
        <v>9</v>
      </c>
      <c r="C314" s="4" t="s">
        <v>2155</v>
      </c>
      <c r="D314" s="44">
        <v>0.16</v>
      </c>
      <c r="E314" s="17">
        <v>16.739999999999998</v>
      </c>
      <c r="F314" s="17">
        <v>50.4</v>
      </c>
      <c r="G314" s="17">
        <v>4.9000000000000004</v>
      </c>
      <c r="H314" s="17">
        <v>271</v>
      </c>
      <c r="I314" s="17">
        <v>6.98</v>
      </c>
      <c r="J314" s="17">
        <v>100.1</v>
      </c>
      <c r="K314" s="17">
        <v>22.3</v>
      </c>
    </row>
    <row r="315" spans="1:11" x14ac:dyDescent="0.35">
      <c r="A315" s="51" t="s">
        <v>104</v>
      </c>
      <c r="B315" t="s">
        <v>14</v>
      </c>
      <c r="C315" s="4" t="s">
        <v>2155</v>
      </c>
      <c r="D315" s="44">
        <v>8.2370000000000001</v>
      </c>
      <c r="E315" s="17">
        <v>16.66</v>
      </c>
      <c r="F315" s="17">
        <v>50.6</v>
      </c>
      <c r="G315" s="17">
        <v>4.88</v>
      </c>
      <c r="H315" s="17">
        <v>263</v>
      </c>
      <c r="I315" s="17">
        <v>7.23</v>
      </c>
      <c r="J315" s="17">
        <v>88.3</v>
      </c>
      <c r="K315" s="17">
        <v>32.5</v>
      </c>
    </row>
    <row r="316" spans="1:11" x14ac:dyDescent="0.35">
      <c r="A316" s="51" t="s">
        <v>104</v>
      </c>
      <c r="B316" t="s">
        <v>14</v>
      </c>
      <c r="C316" s="4" t="s">
        <v>2155</v>
      </c>
      <c r="D316" s="44">
        <v>8.4000000000000005E-2</v>
      </c>
      <c r="E316" s="17">
        <v>17.43</v>
      </c>
      <c r="F316" s="17">
        <v>55.2</v>
      </c>
      <c r="G316" s="17">
        <v>5.29</v>
      </c>
      <c r="H316" s="17">
        <v>260</v>
      </c>
      <c r="I316" s="17">
        <v>7.19</v>
      </c>
      <c r="J316" s="17">
        <v>87.2</v>
      </c>
      <c r="K316" s="17">
        <v>27.4</v>
      </c>
    </row>
    <row r="317" spans="1:11" x14ac:dyDescent="0.35">
      <c r="A317" s="51" t="s">
        <v>104</v>
      </c>
      <c r="B317" t="s">
        <v>18</v>
      </c>
      <c r="C317" s="4" t="s">
        <v>2155</v>
      </c>
      <c r="D317" s="44">
        <v>7.0209999999999999</v>
      </c>
      <c r="E317" s="17">
        <v>17.489999999999998</v>
      </c>
      <c r="F317" s="17">
        <v>65.2</v>
      </c>
      <c r="G317" s="17">
        <v>6.21</v>
      </c>
      <c r="H317" s="17">
        <v>260</v>
      </c>
      <c r="I317" s="17">
        <v>7.66</v>
      </c>
      <c r="J317" s="17">
        <v>47.5</v>
      </c>
      <c r="K317" s="17">
        <v>28.1</v>
      </c>
    </row>
    <row r="318" spans="1:11" x14ac:dyDescent="0.35">
      <c r="A318" s="51" t="s">
        <v>104</v>
      </c>
      <c r="B318" t="s">
        <v>18</v>
      </c>
      <c r="C318" s="4" t="s">
        <v>2155</v>
      </c>
      <c r="D318" s="44">
        <v>0.11899999999999999</v>
      </c>
      <c r="E318" s="17">
        <v>18.03</v>
      </c>
      <c r="F318" s="17">
        <v>64.2</v>
      </c>
      <c r="G318" s="17">
        <v>6.08</v>
      </c>
      <c r="H318" s="17">
        <v>258</v>
      </c>
      <c r="I318" s="17">
        <v>7.49</v>
      </c>
      <c r="J318" s="17">
        <v>61.8</v>
      </c>
      <c r="K318" s="17">
        <v>20.9</v>
      </c>
    </row>
    <row r="319" spans="1:11" x14ac:dyDescent="0.35">
      <c r="A319" s="51" t="s">
        <v>104</v>
      </c>
      <c r="B319" t="s">
        <v>25</v>
      </c>
      <c r="C319" s="4" t="s">
        <v>2155</v>
      </c>
      <c r="D319" s="44">
        <v>27.184000000000001</v>
      </c>
      <c r="E319" s="17">
        <v>18.46</v>
      </c>
      <c r="F319" s="17">
        <v>37.299999999999997</v>
      </c>
      <c r="G319" s="17">
        <v>3.67</v>
      </c>
      <c r="H319" s="17">
        <v>251</v>
      </c>
      <c r="I319" s="17">
        <v>7.45</v>
      </c>
      <c r="J319" s="17">
        <v>73.3</v>
      </c>
      <c r="K319" s="17">
        <v>29.9</v>
      </c>
    </row>
    <row r="320" spans="1:11" x14ac:dyDescent="0.35">
      <c r="A320" s="51" t="s">
        <v>104</v>
      </c>
      <c r="B320" t="s">
        <v>25</v>
      </c>
      <c r="C320" s="4" t="s">
        <v>2155</v>
      </c>
      <c r="D320" s="44">
        <v>2.7E-2</v>
      </c>
      <c r="E320" s="17">
        <v>18.77</v>
      </c>
      <c r="F320" s="17">
        <v>46.3</v>
      </c>
      <c r="G320" s="17">
        <v>4.3099999999999996</v>
      </c>
      <c r="H320" s="17">
        <v>248</v>
      </c>
      <c r="I320" s="17">
        <v>7.39</v>
      </c>
      <c r="J320" s="17">
        <v>72.8</v>
      </c>
      <c r="K320" s="17">
        <v>9.9</v>
      </c>
    </row>
    <row r="321" spans="1:11" x14ac:dyDescent="0.35">
      <c r="A321" s="51" t="s">
        <v>104</v>
      </c>
      <c r="B321" t="s">
        <v>26</v>
      </c>
      <c r="C321" s="4" t="s">
        <v>2155</v>
      </c>
      <c r="D321" s="44">
        <v>35.97</v>
      </c>
      <c r="E321" s="17">
        <v>18.41</v>
      </c>
      <c r="F321" s="17">
        <v>41.9</v>
      </c>
      <c r="G321" s="17">
        <v>3.94</v>
      </c>
      <c r="H321" s="17">
        <v>248</v>
      </c>
      <c r="I321" s="17">
        <v>7.33</v>
      </c>
      <c r="J321" s="17">
        <v>56.7</v>
      </c>
      <c r="K321" s="17">
        <v>27.4</v>
      </c>
    </row>
    <row r="322" spans="1:11" x14ac:dyDescent="0.35">
      <c r="A322" s="51" t="s">
        <v>104</v>
      </c>
      <c r="B322" t="s">
        <v>26</v>
      </c>
      <c r="C322" s="4" t="s">
        <v>2155</v>
      </c>
      <c r="D322" s="44">
        <v>0.439</v>
      </c>
      <c r="E322" s="17">
        <v>18.62</v>
      </c>
      <c r="F322" s="17">
        <v>43.9</v>
      </c>
      <c r="G322" s="17">
        <v>4.0999999999999996</v>
      </c>
      <c r="H322" s="17">
        <v>248</v>
      </c>
      <c r="I322" s="17">
        <v>7.29</v>
      </c>
      <c r="J322" s="17">
        <v>62.7</v>
      </c>
      <c r="K322" s="17">
        <v>11.2</v>
      </c>
    </row>
    <row r="323" spans="1:11" x14ac:dyDescent="0.35">
      <c r="A323" s="51" t="s">
        <v>104</v>
      </c>
      <c r="B323" t="s">
        <v>167</v>
      </c>
      <c r="C323" s="4" t="s">
        <v>2155</v>
      </c>
      <c r="D323" s="44">
        <v>21.032</v>
      </c>
      <c r="E323" s="17">
        <v>18.420000000000002</v>
      </c>
      <c r="F323" s="17">
        <v>45.5</v>
      </c>
      <c r="G323" s="17">
        <v>4.2300000000000004</v>
      </c>
      <c r="H323" s="17">
        <v>249</v>
      </c>
      <c r="I323" s="17">
        <v>7.42</v>
      </c>
      <c r="J323" s="17">
        <v>53</v>
      </c>
      <c r="K323" s="17">
        <v>17.7</v>
      </c>
    </row>
    <row r="324" spans="1:11" x14ac:dyDescent="0.35">
      <c r="A324" s="51" t="s">
        <v>104</v>
      </c>
      <c r="B324" t="s">
        <v>167</v>
      </c>
      <c r="C324" s="4" t="s">
        <v>2155</v>
      </c>
      <c r="D324" s="44">
        <v>5.8999999999999997E-2</v>
      </c>
      <c r="E324" s="17">
        <v>18.61</v>
      </c>
      <c r="F324" s="17">
        <v>48.9</v>
      </c>
      <c r="G324" s="17">
        <v>4.59</v>
      </c>
      <c r="H324" s="17">
        <v>249</v>
      </c>
      <c r="I324" s="17">
        <v>7.35</v>
      </c>
      <c r="J324" s="17">
        <v>58.8</v>
      </c>
      <c r="K324" s="17">
        <v>10</v>
      </c>
    </row>
    <row r="325" spans="1:11" x14ac:dyDescent="0.35">
      <c r="A325" s="51" t="s">
        <v>104</v>
      </c>
      <c r="B325" t="s">
        <v>64</v>
      </c>
      <c r="C325" s="4" t="s">
        <v>2190</v>
      </c>
      <c r="D325" s="44">
        <v>0.36</v>
      </c>
      <c r="E325" s="18">
        <v>17.86</v>
      </c>
      <c r="F325" s="44">
        <v>35.1</v>
      </c>
      <c r="G325" s="18">
        <v>3.33</v>
      </c>
      <c r="H325" s="27">
        <v>247</v>
      </c>
      <c r="I325" s="18">
        <v>7.03</v>
      </c>
      <c r="J325" s="44">
        <v>89.8</v>
      </c>
      <c r="K325" s="44">
        <v>4.5</v>
      </c>
    </row>
    <row r="326" spans="1:11" x14ac:dyDescent="0.35">
      <c r="A326" s="51" t="s">
        <v>104</v>
      </c>
      <c r="B326" t="s">
        <v>64</v>
      </c>
      <c r="C326" s="4" t="s">
        <v>2190</v>
      </c>
      <c r="D326" s="44">
        <v>40.914000000000001</v>
      </c>
      <c r="E326" s="18">
        <v>17.63</v>
      </c>
      <c r="F326" s="44">
        <v>36.9</v>
      </c>
      <c r="G326" s="18">
        <v>3.53</v>
      </c>
      <c r="H326" s="27">
        <v>249</v>
      </c>
      <c r="I326" s="18">
        <v>7.04</v>
      </c>
      <c r="J326" s="44">
        <v>83.4</v>
      </c>
      <c r="K326" s="44">
        <v>35.200000000000003</v>
      </c>
    </row>
    <row r="327" spans="1:11" x14ac:dyDescent="0.35">
      <c r="A327" s="51" t="s">
        <v>104</v>
      </c>
      <c r="B327" t="s">
        <v>69</v>
      </c>
      <c r="C327" s="4" t="s">
        <v>2190</v>
      </c>
      <c r="D327" s="44">
        <v>0.65616797900262469</v>
      </c>
      <c r="E327" s="18">
        <v>17.809999999999999</v>
      </c>
      <c r="F327" s="44">
        <v>41.6</v>
      </c>
      <c r="G327" s="18">
        <v>3.95</v>
      </c>
      <c r="H327" s="27">
        <v>247</v>
      </c>
      <c r="I327" s="18">
        <v>7.17</v>
      </c>
      <c r="J327" s="44">
        <v>98.2</v>
      </c>
      <c r="K327" s="44">
        <v>4.5999999999999996</v>
      </c>
    </row>
    <row r="328" spans="1:11" x14ac:dyDescent="0.35">
      <c r="A328" s="51" t="s">
        <v>104</v>
      </c>
      <c r="B328" t="s">
        <v>69</v>
      </c>
      <c r="C328" s="4" t="s">
        <v>2190</v>
      </c>
      <c r="D328" s="44">
        <v>60.69553805774278</v>
      </c>
      <c r="E328" s="18">
        <v>16.68</v>
      </c>
      <c r="F328" s="44">
        <v>44.2</v>
      </c>
      <c r="G328" s="18">
        <v>4.28</v>
      </c>
      <c r="H328" s="27">
        <v>272</v>
      </c>
      <c r="I328" s="18">
        <v>7.17</v>
      </c>
      <c r="J328" s="44">
        <v>85.1</v>
      </c>
      <c r="K328" s="44">
        <v>31.2</v>
      </c>
    </row>
    <row r="329" spans="1:11" x14ac:dyDescent="0.35">
      <c r="A329" s="51" t="s">
        <v>104</v>
      </c>
      <c r="B329" t="s">
        <v>60</v>
      </c>
      <c r="C329" s="4" t="s">
        <v>2190</v>
      </c>
      <c r="D329" s="44">
        <v>0.65616797900262469</v>
      </c>
      <c r="E329" s="18">
        <v>17.940000000000001</v>
      </c>
      <c r="F329" s="44">
        <v>33.200000000000003</v>
      </c>
      <c r="G329" s="18">
        <v>3.15</v>
      </c>
      <c r="H329" s="27">
        <v>247</v>
      </c>
      <c r="I329" s="18">
        <v>7.43</v>
      </c>
      <c r="J329" s="44">
        <v>76</v>
      </c>
      <c r="K329" s="44">
        <v>3.1</v>
      </c>
    </row>
    <row r="330" spans="1:11" x14ac:dyDescent="0.35">
      <c r="A330" s="51" t="s">
        <v>104</v>
      </c>
      <c r="B330" t="s">
        <v>60</v>
      </c>
      <c r="C330" s="4" t="s">
        <v>2190</v>
      </c>
      <c r="D330" s="44">
        <v>95.144356955380573</v>
      </c>
      <c r="E330" s="18">
        <v>16.2</v>
      </c>
      <c r="F330" s="44">
        <v>41.8</v>
      </c>
      <c r="G330" s="18">
        <v>4.1100000000000003</v>
      </c>
      <c r="H330" s="27">
        <v>255</v>
      </c>
      <c r="I330" s="18">
        <v>7.25</v>
      </c>
      <c r="J330" s="44">
        <v>80.3</v>
      </c>
      <c r="K330" s="44">
        <v>34.6</v>
      </c>
    </row>
    <row r="331" spans="1:11" x14ac:dyDescent="0.35">
      <c r="A331" s="51" t="s">
        <v>104</v>
      </c>
      <c r="B331" t="s">
        <v>9</v>
      </c>
      <c r="C331" s="4" t="s">
        <v>2203</v>
      </c>
      <c r="D331" s="44">
        <v>0.13</v>
      </c>
      <c r="E331" s="18">
        <v>16.25</v>
      </c>
      <c r="F331" s="44">
        <v>52.4</v>
      </c>
      <c r="G331" s="18">
        <v>5.13</v>
      </c>
      <c r="H331" s="27">
        <v>255</v>
      </c>
      <c r="I331" s="18">
        <v>6.8</v>
      </c>
      <c r="J331" s="44">
        <v>85.8</v>
      </c>
      <c r="K331" s="44">
        <v>18.5</v>
      </c>
    </row>
    <row r="332" spans="1:11" x14ac:dyDescent="0.35">
      <c r="A332" s="51" t="s">
        <v>104</v>
      </c>
      <c r="B332" t="s">
        <v>9</v>
      </c>
      <c r="C332" s="4" t="s">
        <v>2203</v>
      </c>
      <c r="D332" s="44">
        <v>6.7750000000000004</v>
      </c>
      <c r="E332" s="18">
        <v>12.95</v>
      </c>
      <c r="F332" s="44">
        <v>65</v>
      </c>
      <c r="G332" s="18">
        <v>6.85</v>
      </c>
      <c r="H332" s="27">
        <v>389</v>
      </c>
      <c r="I332" s="18">
        <v>6.85</v>
      </c>
      <c r="J332" s="44">
        <v>84.3</v>
      </c>
      <c r="K332" s="44">
        <v>24</v>
      </c>
    </row>
    <row r="333" spans="1:11" x14ac:dyDescent="0.35">
      <c r="A333" s="51" t="s">
        <v>104</v>
      </c>
      <c r="B333" t="s">
        <v>14</v>
      </c>
      <c r="C333" s="4" t="s">
        <v>2203</v>
      </c>
      <c r="D333" s="44">
        <v>0</v>
      </c>
      <c r="E333" s="18">
        <v>16.32</v>
      </c>
      <c r="F333" s="44">
        <v>51.9</v>
      </c>
      <c r="G333" s="18">
        <v>5.07</v>
      </c>
      <c r="H333" s="27">
        <v>256</v>
      </c>
      <c r="I333" s="18">
        <v>7.03</v>
      </c>
      <c r="J333" s="44">
        <v>96</v>
      </c>
      <c r="K333" s="44">
        <v>12</v>
      </c>
    </row>
    <row r="334" spans="1:11" x14ac:dyDescent="0.35">
      <c r="A334" s="51" t="s">
        <v>104</v>
      </c>
      <c r="B334" t="s">
        <v>14</v>
      </c>
      <c r="C334" s="4" t="s">
        <v>2203</v>
      </c>
      <c r="D334" s="44">
        <v>6.7850000000000001</v>
      </c>
      <c r="E334" s="18">
        <v>13.94</v>
      </c>
      <c r="F334" s="44">
        <v>60.9</v>
      </c>
      <c r="G334" s="18">
        <v>6.28</v>
      </c>
      <c r="H334" s="27">
        <v>364</v>
      </c>
      <c r="I334" s="18">
        <v>7.08</v>
      </c>
      <c r="J334" s="44">
        <v>91.3</v>
      </c>
      <c r="K334" s="44">
        <v>29.8</v>
      </c>
    </row>
    <row r="335" spans="1:11" x14ac:dyDescent="0.35">
      <c r="A335" s="51" t="s">
        <v>104</v>
      </c>
      <c r="B335" t="s">
        <v>18</v>
      </c>
      <c r="C335" s="4" t="s">
        <v>2203</v>
      </c>
      <c r="D335" s="44">
        <v>0.21</v>
      </c>
      <c r="E335" s="18">
        <v>16.989999999999998</v>
      </c>
      <c r="F335" s="44">
        <v>52.3</v>
      </c>
      <c r="G335" s="18">
        <v>5.04</v>
      </c>
      <c r="H335" s="27">
        <v>247</v>
      </c>
      <c r="I335" s="18">
        <v>6.78</v>
      </c>
      <c r="J335" s="44">
        <v>96.9</v>
      </c>
      <c r="K335" s="44">
        <v>4.8</v>
      </c>
    </row>
    <row r="336" spans="1:11" x14ac:dyDescent="0.35">
      <c r="A336" s="51" t="s">
        <v>104</v>
      </c>
      <c r="B336" t="s">
        <v>18</v>
      </c>
      <c r="C336" s="4" t="s">
        <v>2203</v>
      </c>
      <c r="D336" s="44">
        <v>5.7939999999999996</v>
      </c>
      <c r="E336" s="18">
        <v>15.92</v>
      </c>
      <c r="F336" s="44">
        <v>47.2</v>
      </c>
      <c r="G336" s="18">
        <v>4.5999999999999996</v>
      </c>
      <c r="H336" s="27">
        <v>264</v>
      </c>
      <c r="I336" s="18">
        <v>6.83</v>
      </c>
      <c r="J336" s="44">
        <v>92.8</v>
      </c>
      <c r="K336" s="44">
        <v>17.8</v>
      </c>
    </row>
    <row r="337" spans="1:11" x14ac:dyDescent="0.35">
      <c r="A337" s="51" t="s">
        <v>104</v>
      </c>
      <c r="B337" t="s">
        <v>26</v>
      </c>
      <c r="C337" s="4" t="s">
        <v>2203</v>
      </c>
      <c r="D337" s="44">
        <v>0</v>
      </c>
      <c r="E337" s="18">
        <v>18.93</v>
      </c>
      <c r="F337" s="44">
        <v>56.1</v>
      </c>
      <c r="G337" s="18">
        <v>5.23</v>
      </c>
      <c r="H337" s="27">
        <v>247</v>
      </c>
      <c r="I337" s="18">
        <v>7.28</v>
      </c>
      <c r="J337" s="44">
        <v>77.5</v>
      </c>
      <c r="K337" s="44">
        <v>2.9</v>
      </c>
    </row>
    <row r="338" spans="1:11" x14ac:dyDescent="0.35">
      <c r="A338" s="51" t="s">
        <v>104</v>
      </c>
      <c r="B338" t="s">
        <v>26</v>
      </c>
      <c r="C338" s="4" t="s">
        <v>2203</v>
      </c>
      <c r="D338" s="44">
        <v>35.216999999999999</v>
      </c>
      <c r="E338" s="18">
        <v>15.86</v>
      </c>
      <c r="F338" s="44">
        <v>37</v>
      </c>
      <c r="G338" s="18">
        <v>3.65</v>
      </c>
      <c r="H338" s="27">
        <v>258</v>
      </c>
      <c r="I338" s="18">
        <v>7.22</v>
      </c>
      <c r="J338" s="44">
        <v>75.099999999999994</v>
      </c>
      <c r="K338" s="44">
        <v>53.8</v>
      </c>
    </row>
    <row r="339" spans="1:11" x14ac:dyDescent="0.35">
      <c r="A339" s="51" t="s">
        <v>104</v>
      </c>
      <c r="B339" t="s">
        <v>25</v>
      </c>
      <c r="C339" s="4" t="s">
        <v>2203</v>
      </c>
      <c r="D339" s="44">
        <v>5.0000000000000001E-3</v>
      </c>
      <c r="E339" s="18">
        <v>18.23</v>
      </c>
      <c r="F339" s="44">
        <v>48.3</v>
      </c>
      <c r="G339" s="18">
        <v>4.53</v>
      </c>
      <c r="H339" s="27">
        <v>247</v>
      </c>
      <c r="I339" s="18">
        <v>7.27</v>
      </c>
      <c r="J339" s="44">
        <v>84.3</v>
      </c>
      <c r="K339" s="44">
        <v>3.5</v>
      </c>
    </row>
    <row r="340" spans="1:11" x14ac:dyDescent="0.35">
      <c r="A340" s="51" t="s">
        <v>104</v>
      </c>
      <c r="B340" t="s">
        <v>25</v>
      </c>
      <c r="C340" s="4" t="s">
        <v>2203</v>
      </c>
      <c r="D340" s="44">
        <v>26.71</v>
      </c>
      <c r="E340" s="18">
        <v>16.059999999999999</v>
      </c>
      <c r="F340" s="44">
        <v>43.9</v>
      </c>
      <c r="G340" s="18">
        <v>4.33</v>
      </c>
      <c r="H340" s="27">
        <v>250</v>
      </c>
      <c r="I340" s="18">
        <v>7.22</v>
      </c>
      <c r="J340" s="44">
        <v>81.7</v>
      </c>
      <c r="K340" s="44">
        <v>13.5</v>
      </c>
    </row>
    <row r="341" spans="1:11" x14ac:dyDescent="0.35">
      <c r="A341" s="51" t="s">
        <v>104</v>
      </c>
      <c r="B341" t="s">
        <v>167</v>
      </c>
      <c r="C341" s="4" t="s">
        <v>2203</v>
      </c>
      <c r="D341" s="44">
        <v>0</v>
      </c>
      <c r="E341" s="18">
        <v>20.2</v>
      </c>
      <c r="F341" s="44">
        <v>62.7</v>
      </c>
      <c r="G341" s="18">
        <v>5.68</v>
      </c>
      <c r="H341" s="27">
        <v>247</v>
      </c>
      <c r="I341" s="18">
        <v>7.37</v>
      </c>
      <c r="J341" s="44">
        <v>72.400000000000006</v>
      </c>
      <c r="K341" s="44">
        <v>2.9</v>
      </c>
    </row>
    <row r="342" spans="1:11" x14ac:dyDescent="0.35">
      <c r="A342" s="51" t="s">
        <v>104</v>
      </c>
      <c r="B342" t="s">
        <v>167</v>
      </c>
      <c r="C342" s="4" t="s">
        <v>2203</v>
      </c>
      <c r="D342" s="44">
        <v>18.759</v>
      </c>
      <c r="E342" s="18">
        <v>16.809999999999999</v>
      </c>
      <c r="F342" s="44">
        <v>39.200000000000003</v>
      </c>
      <c r="G342" s="18">
        <v>3.79</v>
      </c>
      <c r="H342" s="27">
        <v>247</v>
      </c>
      <c r="I342" s="18">
        <v>7.25</v>
      </c>
      <c r="J342" s="44">
        <v>78.5</v>
      </c>
      <c r="K342" s="44">
        <v>12.6</v>
      </c>
    </row>
    <row r="343" spans="1:11" x14ac:dyDescent="0.35">
      <c r="A343" s="51" t="s">
        <v>104</v>
      </c>
      <c r="B343" t="s">
        <v>64</v>
      </c>
      <c r="C343" s="4" t="s">
        <v>2204</v>
      </c>
      <c r="D343" s="44">
        <v>2E-3</v>
      </c>
      <c r="E343" s="18">
        <v>18.28</v>
      </c>
      <c r="F343" s="44">
        <v>58.4</v>
      </c>
      <c r="G343" s="18">
        <v>5.5</v>
      </c>
      <c r="H343" s="27">
        <v>246</v>
      </c>
      <c r="I343" s="18">
        <v>7.31</v>
      </c>
      <c r="J343" s="44">
        <v>80.5</v>
      </c>
      <c r="K343" s="44">
        <v>2.6</v>
      </c>
    </row>
    <row r="344" spans="1:11" x14ac:dyDescent="0.35">
      <c r="A344" s="51" t="s">
        <v>104</v>
      </c>
      <c r="B344" t="s">
        <v>64</v>
      </c>
      <c r="C344" s="4" t="s">
        <v>2204</v>
      </c>
      <c r="D344" s="44">
        <v>40.735999999999997</v>
      </c>
      <c r="E344" s="18">
        <v>17.010000000000002</v>
      </c>
      <c r="F344" s="44">
        <v>25.6</v>
      </c>
      <c r="G344" s="18">
        <v>2.4700000000000002</v>
      </c>
      <c r="H344" s="27">
        <v>248</v>
      </c>
      <c r="I344" s="18">
        <v>7.17</v>
      </c>
      <c r="J344" s="44">
        <v>81.599999999999994</v>
      </c>
      <c r="K344" s="44">
        <v>8.8000000000000007</v>
      </c>
    </row>
    <row r="345" spans="1:11" x14ac:dyDescent="0.35">
      <c r="A345" s="51" t="s">
        <v>104</v>
      </c>
      <c r="B345" t="s">
        <v>69</v>
      </c>
      <c r="C345" s="4" t="s">
        <v>2204</v>
      </c>
      <c r="D345" s="44">
        <v>3.0000000000000001E-3</v>
      </c>
      <c r="E345" s="18">
        <v>17.809999999999999</v>
      </c>
      <c r="F345" s="44">
        <v>48.8</v>
      </c>
      <c r="G345" s="18">
        <v>4.57</v>
      </c>
      <c r="H345" s="27">
        <v>246</v>
      </c>
      <c r="I345" s="18">
        <v>7.18</v>
      </c>
      <c r="J345" s="44">
        <v>83.6</v>
      </c>
      <c r="K345" s="44">
        <v>3.1</v>
      </c>
    </row>
    <row r="346" spans="1:11" x14ac:dyDescent="0.35">
      <c r="A346" s="51" t="s">
        <v>104</v>
      </c>
      <c r="B346" t="s">
        <v>69</v>
      </c>
      <c r="C346" s="4" t="s">
        <v>2204</v>
      </c>
      <c r="D346" s="44">
        <v>62.335999999999999</v>
      </c>
      <c r="E346" s="18">
        <v>15.97</v>
      </c>
      <c r="F346" s="44">
        <v>30.1</v>
      </c>
      <c r="G346" s="18">
        <v>2.97</v>
      </c>
      <c r="H346" s="27">
        <v>260</v>
      </c>
      <c r="I346" s="18">
        <v>7.14</v>
      </c>
      <c r="J346" s="44">
        <v>95.4</v>
      </c>
      <c r="K346" s="44">
        <v>44.3</v>
      </c>
    </row>
    <row r="347" spans="1:11" x14ac:dyDescent="0.35">
      <c r="A347" s="51" t="s">
        <v>104</v>
      </c>
      <c r="B347" t="s">
        <v>60</v>
      </c>
      <c r="C347" s="4" t="s">
        <v>2204</v>
      </c>
      <c r="D347" s="44">
        <v>3.0000000000000001E-3</v>
      </c>
      <c r="E347" s="18">
        <v>18.45</v>
      </c>
      <c r="F347" s="44">
        <v>47.7</v>
      </c>
      <c r="G347" s="18">
        <v>4.8099999999999996</v>
      </c>
      <c r="H347" s="27">
        <v>247</v>
      </c>
      <c r="I347" s="18">
        <v>7.19</v>
      </c>
      <c r="J347" s="44">
        <v>66.400000000000006</v>
      </c>
      <c r="K347" s="44">
        <v>2.2999999999999998</v>
      </c>
    </row>
    <row r="348" spans="1:11" x14ac:dyDescent="0.35">
      <c r="A348" s="51" t="s">
        <v>104</v>
      </c>
      <c r="B348" t="s">
        <v>60</v>
      </c>
      <c r="C348" s="4" t="s">
        <v>2204</v>
      </c>
      <c r="D348" s="44">
        <v>96.784999999999997</v>
      </c>
      <c r="E348" s="18">
        <v>15.85</v>
      </c>
      <c r="F348" s="44">
        <v>9.1</v>
      </c>
      <c r="G348" s="18">
        <v>0.9</v>
      </c>
      <c r="H348" s="27">
        <v>291</v>
      </c>
      <c r="I348" s="18">
        <v>7.03</v>
      </c>
      <c r="J348" s="44">
        <v>68.8</v>
      </c>
      <c r="K348" s="44">
        <v>7.6</v>
      </c>
    </row>
    <row r="349" spans="1:11" x14ac:dyDescent="0.35">
      <c r="A349" s="51" t="s">
        <v>104</v>
      </c>
      <c r="B349" t="s">
        <v>9</v>
      </c>
      <c r="C349" s="4" t="s">
        <v>2227</v>
      </c>
      <c r="D349" s="44">
        <v>9.8425196850393699E-3</v>
      </c>
      <c r="E349" s="18">
        <v>14.65</v>
      </c>
      <c r="F349" s="44">
        <v>69.599999999999994</v>
      </c>
      <c r="G349" s="18">
        <v>7.03</v>
      </c>
      <c r="H349" s="27">
        <v>274</v>
      </c>
      <c r="I349" s="18">
        <v>6.51</v>
      </c>
      <c r="J349" s="44">
        <v>145.30000000000001</v>
      </c>
      <c r="K349" s="44">
        <v>22</v>
      </c>
    </row>
    <row r="350" spans="1:11" x14ac:dyDescent="0.35">
      <c r="A350" s="51" t="s">
        <v>104</v>
      </c>
      <c r="B350" t="s">
        <v>14</v>
      </c>
      <c r="C350" s="4" t="s">
        <v>2227</v>
      </c>
      <c r="D350" s="44">
        <v>5.905511811023622E-2</v>
      </c>
      <c r="E350" s="18">
        <v>14.62</v>
      </c>
      <c r="F350" s="44">
        <v>67.7</v>
      </c>
      <c r="G350" s="18">
        <v>6.86</v>
      </c>
      <c r="H350" s="27">
        <v>274</v>
      </c>
      <c r="I350" s="18">
        <v>6.78</v>
      </c>
      <c r="J350" s="44">
        <v>129.30000000000001</v>
      </c>
      <c r="K350" s="44">
        <v>28.7</v>
      </c>
    </row>
    <row r="351" spans="1:11" x14ac:dyDescent="0.35">
      <c r="A351" s="51" t="s">
        <v>104</v>
      </c>
      <c r="B351" t="s">
        <v>18</v>
      </c>
      <c r="C351" s="4" t="s">
        <v>2227</v>
      </c>
      <c r="D351" s="44">
        <v>1.968503937007874E-2</v>
      </c>
      <c r="E351" s="18">
        <v>14.08</v>
      </c>
      <c r="F351" s="44">
        <v>70.3</v>
      </c>
      <c r="G351" s="18">
        <v>7.22</v>
      </c>
      <c r="H351" s="27">
        <v>287</v>
      </c>
      <c r="I351" s="18">
        <v>7.02</v>
      </c>
      <c r="J351" s="44">
        <v>117.74</v>
      </c>
      <c r="K351" s="44">
        <v>25.2</v>
      </c>
    </row>
    <row r="352" spans="1:11" x14ac:dyDescent="0.35">
      <c r="A352" s="51" t="s">
        <v>104</v>
      </c>
      <c r="B352" t="s">
        <v>167</v>
      </c>
      <c r="C352" s="4" t="s">
        <v>2227</v>
      </c>
      <c r="D352" s="44">
        <v>2.6246719160104987E-2</v>
      </c>
      <c r="E352" s="18">
        <v>15.34</v>
      </c>
      <c r="F352" s="44">
        <v>59.6</v>
      </c>
      <c r="G352" s="18">
        <v>5.94</v>
      </c>
      <c r="H352" s="27">
        <v>261</v>
      </c>
      <c r="I352" s="18">
        <v>7.15</v>
      </c>
      <c r="J352" s="44">
        <v>114</v>
      </c>
      <c r="K352" s="44">
        <v>18.2</v>
      </c>
    </row>
    <row r="353" spans="1:11" x14ac:dyDescent="0.35">
      <c r="A353" s="51" t="s">
        <v>104</v>
      </c>
      <c r="B353" t="s">
        <v>25</v>
      </c>
      <c r="C353" s="4" t="s">
        <v>2227</v>
      </c>
      <c r="D353" s="44">
        <v>1.3123359580052493E-2</v>
      </c>
      <c r="E353" s="18">
        <v>15.24</v>
      </c>
      <c r="F353" s="44">
        <v>56.2</v>
      </c>
      <c r="G353" s="18">
        <v>5.56</v>
      </c>
      <c r="H353" s="27">
        <v>261</v>
      </c>
      <c r="I353" s="18">
        <v>7.23</v>
      </c>
      <c r="J353" s="44">
        <v>118.4</v>
      </c>
      <c r="K353" s="44">
        <v>11.2</v>
      </c>
    </row>
    <row r="354" spans="1:11" x14ac:dyDescent="0.35">
      <c r="A354" s="51" t="s">
        <v>104</v>
      </c>
      <c r="B354" t="s">
        <v>26</v>
      </c>
      <c r="C354" s="4" t="s">
        <v>2227</v>
      </c>
      <c r="D354" s="44">
        <v>9.8425196850393699E-3</v>
      </c>
      <c r="E354" s="18">
        <v>15.43</v>
      </c>
      <c r="F354" s="44">
        <v>54.7</v>
      </c>
      <c r="G354" s="18">
        <v>5.78</v>
      </c>
      <c r="H354" s="27">
        <v>259</v>
      </c>
      <c r="I354" s="18">
        <v>7.25</v>
      </c>
      <c r="J354" s="44">
        <v>117.6</v>
      </c>
      <c r="K354" s="44">
        <v>11.3</v>
      </c>
    </row>
    <row r="355" spans="1:11" x14ac:dyDescent="0.35">
      <c r="A355" s="51" t="s">
        <v>104</v>
      </c>
      <c r="B355" t="s">
        <v>69</v>
      </c>
      <c r="C355" s="4" t="s">
        <v>2227</v>
      </c>
      <c r="D355" s="44">
        <v>3.2808398950131233E-3</v>
      </c>
      <c r="E355" s="18">
        <v>15.87</v>
      </c>
      <c r="F355" s="44">
        <v>56.6</v>
      </c>
      <c r="G355" s="18">
        <v>4.63</v>
      </c>
      <c r="H355" s="27">
        <v>268</v>
      </c>
      <c r="I355" s="18">
        <v>7.27</v>
      </c>
      <c r="J355" s="44">
        <v>114.8</v>
      </c>
      <c r="K355" s="44">
        <v>13.7</v>
      </c>
    </row>
    <row r="356" spans="1:11" x14ac:dyDescent="0.35">
      <c r="A356" s="51" t="s">
        <v>104</v>
      </c>
      <c r="B356" t="s">
        <v>64</v>
      </c>
      <c r="C356" s="4" t="s">
        <v>2227</v>
      </c>
      <c r="D356" s="44">
        <v>1.968503937007874E-2</v>
      </c>
      <c r="E356" s="18">
        <v>15.86</v>
      </c>
      <c r="F356" s="44">
        <v>53.2</v>
      </c>
      <c r="G356" s="18">
        <v>5.5</v>
      </c>
      <c r="H356" s="27">
        <v>257</v>
      </c>
      <c r="I356" s="18">
        <v>7.28</v>
      </c>
      <c r="J356" s="44">
        <v>114.8</v>
      </c>
      <c r="K356" s="44">
        <v>7.1</v>
      </c>
    </row>
    <row r="357" spans="1:11" x14ac:dyDescent="0.35">
      <c r="A357" s="51" t="s">
        <v>104</v>
      </c>
      <c r="B357" t="s">
        <v>60</v>
      </c>
      <c r="C357" s="4" t="s">
        <v>2227</v>
      </c>
      <c r="D357" s="44">
        <v>1.3123359580052493E-2</v>
      </c>
      <c r="E357" s="18">
        <v>15.91</v>
      </c>
      <c r="F357" s="44">
        <v>42.8</v>
      </c>
      <c r="G357" s="18">
        <v>4.2300000000000004</v>
      </c>
      <c r="H357" s="27">
        <v>260</v>
      </c>
      <c r="I357" s="18">
        <v>7.27</v>
      </c>
      <c r="J357" s="44">
        <v>121</v>
      </c>
      <c r="K357" s="44">
        <v>4.0999999999999996</v>
      </c>
    </row>
    <row r="358" spans="1:11" x14ac:dyDescent="0.35">
      <c r="A358" s="51" t="s">
        <v>104</v>
      </c>
      <c r="B358" t="s">
        <v>9</v>
      </c>
      <c r="C358" s="4" t="s">
        <v>2231</v>
      </c>
      <c r="D358" s="44">
        <v>0</v>
      </c>
      <c r="E358" s="18">
        <v>13.02</v>
      </c>
      <c r="F358" s="44">
        <v>71.8</v>
      </c>
      <c r="G358" s="18">
        <v>7.55</v>
      </c>
      <c r="H358" s="27">
        <v>311</v>
      </c>
      <c r="I358" s="18">
        <v>6.99</v>
      </c>
      <c r="J358" s="44">
        <v>111</v>
      </c>
      <c r="K358" s="44">
        <v>26.4</v>
      </c>
    </row>
    <row r="359" spans="1:11" x14ac:dyDescent="0.35">
      <c r="A359" s="51" t="s">
        <v>104</v>
      </c>
      <c r="B359" t="s">
        <v>9</v>
      </c>
      <c r="C359" s="4" t="s">
        <v>2231</v>
      </c>
      <c r="D359" s="44">
        <v>22.237532808398946</v>
      </c>
      <c r="E359" s="18">
        <v>10.68</v>
      </c>
      <c r="F359" s="44">
        <v>81.2</v>
      </c>
      <c r="G359" s="18">
        <v>9.0500000000000007</v>
      </c>
      <c r="H359" s="27">
        <v>528</v>
      </c>
      <c r="I359" s="18">
        <v>7.22</v>
      </c>
      <c r="J359" s="44">
        <v>100</v>
      </c>
      <c r="K359" s="44">
        <v>30.6</v>
      </c>
    </row>
    <row r="360" spans="1:11" x14ac:dyDescent="0.35">
      <c r="A360" s="51" t="s">
        <v>104</v>
      </c>
      <c r="B360" t="s">
        <v>14</v>
      </c>
      <c r="C360" s="4" t="s">
        <v>2231</v>
      </c>
      <c r="D360" s="44">
        <v>6.5616797900262466E-3</v>
      </c>
      <c r="E360" s="18">
        <v>13.12</v>
      </c>
      <c r="F360" s="44">
        <v>70.599999999999994</v>
      </c>
      <c r="G360" s="18">
        <v>7.41</v>
      </c>
      <c r="H360" s="27">
        <v>310</v>
      </c>
      <c r="I360" s="18">
        <v>7.54</v>
      </c>
      <c r="J360" s="44">
        <v>104</v>
      </c>
      <c r="K360" s="44">
        <v>16.5</v>
      </c>
    </row>
    <row r="361" spans="1:11" x14ac:dyDescent="0.35">
      <c r="A361" s="51" t="s">
        <v>104</v>
      </c>
      <c r="B361" t="s">
        <v>14</v>
      </c>
      <c r="C361" s="4" t="s">
        <v>2231</v>
      </c>
      <c r="D361" s="44">
        <v>15.698818897637794</v>
      </c>
      <c r="E361" s="18">
        <v>12.08</v>
      </c>
      <c r="F361" s="44">
        <v>72.8</v>
      </c>
      <c r="G361" s="18">
        <v>7.88</v>
      </c>
      <c r="H361" s="27">
        <v>378</v>
      </c>
      <c r="I361" s="18">
        <v>7.52</v>
      </c>
      <c r="J361" s="44">
        <v>101.8</v>
      </c>
      <c r="K361" s="44">
        <v>20.5</v>
      </c>
    </row>
    <row r="362" spans="1:11" x14ac:dyDescent="0.35">
      <c r="A362" s="51" t="s">
        <v>104</v>
      </c>
      <c r="B362" t="s">
        <v>18</v>
      </c>
      <c r="C362" s="4" t="s">
        <v>2231</v>
      </c>
      <c r="D362" s="44">
        <v>9.8425196850393699E-3</v>
      </c>
      <c r="E362" s="18">
        <v>13.35</v>
      </c>
      <c r="F362" s="44">
        <v>71.7</v>
      </c>
      <c r="G362" s="18">
        <v>7.49</v>
      </c>
      <c r="H362" s="27">
        <v>300</v>
      </c>
      <c r="I362" s="18">
        <v>7.57</v>
      </c>
      <c r="J362" s="44">
        <v>107.7</v>
      </c>
      <c r="K362" s="44">
        <v>13.1</v>
      </c>
    </row>
    <row r="363" spans="1:11" x14ac:dyDescent="0.35">
      <c r="A363" s="51" t="s">
        <v>104</v>
      </c>
      <c r="B363" t="s">
        <v>18</v>
      </c>
      <c r="C363" s="4" t="s">
        <v>2231</v>
      </c>
      <c r="D363" s="44">
        <v>18.996062992125985</v>
      </c>
      <c r="E363" s="18">
        <v>12.69</v>
      </c>
      <c r="F363" s="44">
        <v>72</v>
      </c>
      <c r="G363" s="18">
        <v>7.61</v>
      </c>
      <c r="H363" s="27">
        <v>350</v>
      </c>
      <c r="I363" s="18">
        <v>7.55</v>
      </c>
      <c r="J363" s="44">
        <v>104.2</v>
      </c>
      <c r="K363" s="44">
        <v>16.600000000000001</v>
      </c>
    </row>
    <row r="364" spans="1:11" x14ac:dyDescent="0.35">
      <c r="A364" s="51" t="s">
        <v>104</v>
      </c>
      <c r="B364" t="s">
        <v>25</v>
      </c>
      <c r="C364" s="4" t="s">
        <v>2231</v>
      </c>
      <c r="D364" s="44">
        <v>3.2808398950131233E-3</v>
      </c>
      <c r="E364" s="18">
        <v>14.42</v>
      </c>
      <c r="F364" s="44">
        <v>62.8</v>
      </c>
      <c r="G364" s="18">
        <v>6.37</v>
      </c>
      <c r="H364" s="27">
        <v>251</v>
      </c>
      <c r="I364" s="18">
        <v>7.51</v>
      </c>
      <c r="J364" s="44">
        <v>105.6</v>
      </c>
      <c r="K364" s="44">
        <v>7.5</v>
      </c>
    </row>
    <row r="365" spans="1:11" x14ac:dyDescent="0.35">
      <c r="A365" s="51" t="s">
        <v>104</v>
      </c>
      <c r="B365" t="s">
        <v>25</v>
      </c>
      <c r="C365" s="4" t="s">
        <v>2231</v>
      </c>
      <c r="D365" s="44">
        <v>26.844000000000001</v>
      </c>
      <c r="E365" s="18">
        <v>13.71</v>
      </c>
      <c r="F365" s="44">
        <v>54.4</v>
      </c>
      <c r="G365" s="18">
        <v>5.66</v>
      </c>
      <c r="H365" s="27">
        <v>253</v>
      </c>
      <c r="I365" s="18">
        <v>7.44</v>
      </c>
      <c r="J365" s="44">
        <v>103.7</v>
      </c>
      <c r="K365" s="44">
        <v>12</v>
      </c>
    </row>
    <row r="366" spans="1:11" x14ac:dyDescent="0.35">
      <c r="A366" s="51" t="s">
        <v>104</v>
      </c>
      <c r="B366" t="s">
        <v>26</v>
      </c>
      <c r="C366" s="4" t="s">
        <v>2231</v>
      </c>
      <c r="D366" s="44">
        <v>3.2808398950131233E-3</v>
      </c>
      <c r="E366" s="18">
        <v>14.31</v>
      </c>
      <c r="F366" s="44">
        <v>60.4</v>
      </c>
      <c r="G366" s="18">
        <v>6.14</v>
      </c>
      <c r="H366" s="27">
        <v>251</v>
      </c>
      <c r="I366" s="18">
        <v>7.41</v>
      </c>
      <c r="J366" s="44">
        <v>101.8</v>
      </c>
      <c r="K366" s="44">
        <v>8.1999999999999993</v>
      </c>
    </row>
    <row r="367" spans="1:11" x14ac:dyDescent="0.35">
      <c r="A367" s="51" t="s">
        <v>104</v>
      </c>
      <c r="B367" t="s">
        <v>26</v>
      </c>
      <c r="C367" s="4" t="s">
        <v>2231</v>
      </c>
      <c r="D367" s="44">
        <v>35.6</v>
      </c>
      <c r="E367" s="18">
        <v>13.27</v>
      </c>
      <c r="F367" s="44">
        <v>58.4</v>
      </c>
      <c r="G367" s="18">
        <v>6.09</v>
      </c>
      <c r="H367" s="27">
        <v>280</v>
      </c>
      <c r="I367" s="18">
        <v>7.42</v>
      </c>
      <c r="J367" s="44">
        <v>74</v>
      </c>
      <c r="K367" s="44">
        <v>48</v>
      </c>
    </row>
    <row r="368" spans="1:11" x14ac:dyDescent="0.35">
      <c r="A368" s="51" t="s">
        <v>104</v>
      </c>
      <c r="B368" t="s">
        <v>167</v>
      </c>
      <c r="C368" s="4" t="s">
        <v>2231</v>
      </c>
      <c r="D368" s="44">
        <v>2.2965879265091863E-2</v>
      </c>
      <c r="E368" s="18">
        <v>14.27</v>
      </c>
      <c r="F368" s="44">
        <v>67.099999999999994</v>
      </c>
      <c r="G368" s="18">
        <v>6.84</v>
      </c>
      <c r="H368" s="27">
        <v>252</v>
      </c>
      <c r="I368" s="18">
        <v>7.54</v>
      </c>
      <c r="J368" s="44">
        <v>103.3</v>
      </c>
      <c r="K368" s="44">
        <v>10.6</v>
      </c>
    </row>
    <row r="369" spans="1:11" x14ac:dyDescent="0.35">
      <c r="A369" s="51" t="s">
        <v>104</v>
      </c>
      <c r="B369" t="s">
        <v>167</v>
      </c>
      <c r="C369" s="4" t="s">
        <v>2231</v>
      </c>
      <c r="D369" s="44">
        <v>29.078083989501312</v>
      </c>
      <c r="E369" s="18">
        <v>14.25</v>
      </c>
      <c r="F369" s="44">
        <v>62.2</v>
      </c>
      <c r="G369" s="18">
        <v>6.36</v>
      </c>
      <c r="H369" s="27">
        <v>252</v>
      </c>
      <c r="I369" s="18">
        <v>7.48</v>
      </c>
      <c r="J369" s="44">
        <v>100.6</v>
      </c>
      <c r="K369" s="44">
        <v>10</v>
      </c>
    </row>
    <row r="370" spans="1:11" x14ac:dyDescent="0.35">
      <c r="A370" s="51" t="s">
        <v>104</v>
      </c>
      <c r="B370" t="s">
        <v>64</v>
      </c>
      <c r="C370" s="4" t="s">
        <v>2232</v>
      </c>
      <c r="D370" s="44">
        <v>0.60799999999999998</v>
      </c>
      <c r="E370" s="18">
        <v>14.36</v>
      </c>
      <c r="F370" s="44">
        <v>55.1</v>
      </c>
      <c r="G370" s="18" t="s">
        <v>105</v>
      </c>
      <c r="H370" s="27">
        <v>251</v>
      </c>
      <c r="I370" s="18">
        <v>7.46</v>
      </c>
      <c r="J370" s="44">
        <v>84.5</v>
      </c>
      <c r="K370" s="18" t="s">
        <v>105</v>
      </c>
    </row>
    <row r="371" spans="1:11" x14ac:dyDescent="0.35">
      <c r="A371" s="51" t="s">
        <v>104</v>
      </c>
      <c r="B371" t="s">
        <v>64</v>
      </c>
      <c r="C371" s="4" t="s">
        <v>2232</v>
      </c>
      <c r="D371" s="44">
        <v>41.8</v>
      </c>
      <c r="E371" s="18">
        <v>14.1</v>
      </c>
      <c r="F371" s="44">
        <v>52.4</v>
      </c>
      <c r="G371" s="18">
        <v>5.38</v>
      </c>
      <c r="H371" s="27">
        <v>252</v>
      </c>
      <c r="I371" s="18">
        <v>7.43</v>
      </c>
      <c r="J371" s="44">
        <v>83</v>
      </c>
      <c r="K371" s="18" t="s">
        <v>105</v>
      </c>
    </row>
    <row r="372" spans="1:11" x14ac:dyDescent="0.35">
      <c r="A372" s="51" t="s">
        <v>104</v>
      </c>
      <c r="B372" t="s">
        <v>69</v>
      </c>
      <c r="C372" s="4" t="s">
        <v>2232</v>
      </c>
      <c r="D372" s="44">
        <v>3.0000000000000001E-3</v>
      </c>
      <c r="E372" s="18">
        <v>14.4</v>
      </c>
      <c r="F372" s="44">
        <v>52.3</v>
      </c>
      <c r="G372" s="18">
        <v>5.33</v>
      </c>
      <c r="H372" s="27">
        <v>251</v>
      </c>
      <c r="I372" s="18">
        <v>7.47</v>
      </c>
      <c r="J372" s="44">
        <v>88.6</v>
      </c>
      <c r="K372" s="44">
        <v>6.4</v>
      </c>
    </row>
    <row r="373" spans="1:11" x14ac:dyDescent="0.35">
      <c r="A373" s="51" t="s">
        <v>104</v>
      </c>
      <c r="B373" t="s">
        <v>69</v>
      </c>
      <c r="C373" s="4" t="s">
        <v>2232</v>
      </c>
      <c r="D373" s="44">
        <v>62.335999999999999</v>
      </c>
      <c r="E373" s="18">
        <v>14.11</v>
      </c>
      <c r="F373" s="44">
        <v>45.2</v>
      </c>
      <c r="G373" s="18">
        <v>4.6399999999999997</v>
      </c>
      <c r="H373" s="27">
        <v>258</v>
      </c>
      <c r="I373" s="18">
        <v>7.38</v>
      </c>
      <c r="J373" s="44">
        <v>84.7</v>
      </c>
      <c r="K373" s="44">
        <v>13.8</v>
      </c>
    </row>
    <row r="374" spans="1:11" x14ac:dyDescent="0.35">
      <c r="A374" s="51" t="s">
        <v>104</v>
      </c>
      <c r="B374" t="s">
        <v>60</v>
      </c>
      <c r="C374" s="4" t="s">
        <v>2232</v>
      </c>
      <c r="D374" s="44">
        <v>0.65616797900262469</v>
      </c>
      <c r="E374" s="18">
        <v>14.66</v>
      </c>
      <c r="F374" s="44">
        <v>44</v>
      </c>
      <c r="G374" s="18">
        <v>4.47</v>
      </c>
      <c r="H374" s="27">
        <v>257</v>
      </c>
      <c r="I374" s="18">
        <v>7.28</v>
      </c>
      <c r="J374" s="44">
        <v>97.5</v>
      </c>
      <c r="K374" s="44">
        <v>5.7</v>
      </c>
    </row>
    <row r="375" spans="1:11" x14ac:dyDescent="0.35">
      <c r="A375" s="51" t="s">
        <v>104</v>
      </c>
      <c r="B375" t="s">
        <v>60</v>
      </c>
      <c r="C375" s="4" t="s">
        <v>2232</v>
      </c>
      <c r="D375" s="44">
        <v>95.144356955380573</v>
      </c>
      <c r="E375" s="18">
        <v>13.54</v>
      </c>
      <c r="F375" s="44">
        <v>26.5</v>
      </c>
      <c r="G375" s="18">
        <v>2.76</v>
      </c>
      <c r="H375" s="27">
        <v>267</v>
      </c>
      <c r="I375" s="18">
        <v>7.35</v>
      </c>
      <c r="J375" s="44">
        <v>126.2</v>
      </c>
      <c r="K375" s="44">
        <v>16.2</v>
      </c>
    </row>
    <row r="376" spans="1:11" x14ac:dyDescent="0.35">
      <c r="A376" s="51" t="s">
        <v>104</v>
      </c>
      <c r="B376" t="s">
        <v>9</v>
      </c>
      <c r="C376" s="4" t="s">
        <v>2278</v>
      </c>
      <c r="D376" s="44">
        <v>1.4E-2</v>
      </c>
      <c r="E376" s="18">
        <v>9.2100000000000009</v>
      </c>
      <c r="F376" s="44">
        <v>67</v>
      </c>
      <c r="G376" s="18">
        <v>7.66</v>
      </c>
      <c r="H376" s="27">
        <v>241</v>
      </c>
      <c r="I376" s="18">
        <v>7.02</v>
      </c>
      <c r="J376" s="44">
        <v>153</v>
      </c>
      <c r="K376" s="44">
        <v>1.9</v>
      </c>
    </row>
    <row r="377" spans="1:11" x14ac:dyDescent="0.35">
      <c r="A377" s="51" t="s">
        <v>104</v>
      </c>
      <c r="B377" t="s">
        <v>9</v>
      </c>
      <c r="C377" s="4" t="s">
        <v>2278</v>
      </c>
      <c r="D377" s="44">
        <v>6.82</v>
      </c>
      <c r="E377" s="18">
        <v>4.03</v>
      </c>
      <c r="F377" s="44">
        <v>87.3</v>
      </c>
      <c r="G377" s="18">
        <v>11.56</v>
      </c>
      <c r="H377" s="27">
        <v>494</v>
      </c>
      <c r="I377" s="18">
        <v>7.28</v>
      </c>
      <c r="J377" s="44">
        <v>140.1</v>
      </c>
      <c r="K377" s="65">
        <v>-2.1</v>
      </c>
    </row>
    <row r="378" spans="1:11" x14ac:dyDescent="0.35">
      <c r="A378" s="51" t="s">
        <v>104</v>
      </c>
      <c r="B378" t="s">
        <v>14</v>
      </c>
      <c r="C378" s="4" t="s">
        <v>2278</v>
      </c>
      <c r="D378" s="44">
        <v>0.193</v>
      </c>
      <c r="E378" s="18">
        <v>10.94</v>
      </c>
      <c r="F378" s="44">
        <v>66.099999999999994</v>
      </c>
      <c r="G378" s="18">
        <v>7.29</v>
      </c>
      <c r="H378" s="27">
        <v>268</v>
      </c>
      <c r="I378" s="18">
        <v>7.62</v>
      </c>
      <c r="J378" s="44">
        <v>121.1</v>
      </c>
      <c r="K378" s="44">
        <v>2.5</v>
      </c>
    </row>
    <row r="379" spans="1:11" x14ac:dyDescent="0.35">
      <c r="A379" s="51" t="s">
        <v>104</v>
      </c>
      <c r="B379" t="s">
        <v>14</v>
      </c>
      <c r="C379" s="4" t="s">
        <v>2278</v>
      </c>
      <c r="D379" s="44">
        <v>4.835</v>
      </c>
      <c r="E379" s="18">
        <v>5.6</v>
      </c>
      <c r="F379" s="44">
        <v>77.3</v>
      </c>
      <c r="G379" s="18">
        <v>9.85</v>
      </c>
      <c r="H379" s="27">
        <v>440</v>
      </c>
      <c r="I379" s="18">
        <v>7.52</v>
      </c>
      <c r="J379" s="44">
        <v>115.4</v>
      </c>
      <c r="K379" s="44">
        <v>0.8</v>
      </c>
    </row>
    <row r="380" spans="1:11" x14ac:dyDescent="0.35">
      <c r="A380" s="51" t="s">
        <v>104</v>
      </c>
      <c r="B380" t="s">
        <v>18</v>
      </c>
      <c r="C380" s="4" t="s">
        <v>2278</v>
      </c>
      <c r="D380" s="44">
        <v>4.0000000000000001E-3</v>
      </c>
      <c r="E380" s="18">
        <v>11.77</v>
      </c>
      <c r="F380" s="44">
        <v>65.599999999999994</v>
      </c>
      <c r="G380" s="18">
        <v>7.1</v>
      </c>
      <c r="H380" s="27">
        <v>265</v>
      </c>
      <c r="I380" s="18">
        <v>7.6</v>
      </c>
      <c r="J380" s="44">
        <v>102.3</v>
      </c>
      <c r="K380" s="44">
        <v>2.1</v>
      </c>
    </row>
    <row r="381" spans="1:11" x14ac:dyDescent="0.35">
      <c r="A381" s="51" t="s">
        <v>104</v>
      </c>
      <c r="B381" t="s">
        <v>18</v>
      </c>
      <c r="C381" s="4" t="s">
        <v>2278</v>
      </c>
      <c r="D381" s="44">
        <v>5.8319999999999999</v>
      </c>
      <c r="E381" s="18">
        <v>4.67</v>
      </c>
      <c r="F381" s="44">
        <v>80.099999999999994</v>
      </c>
      <c r="G381" s="18">
        <v>10.35</v>
      </c>
      <c r="H381" s="27">
        <v>476</v>
      </c>
      <c r="I381" s="18">
        <v>7.63</v>
      </c>
      <c r="J381" s="44">
        <v>101</v>
      </c>
      <c r="K381" s="65">
        <v>-2.5</v>
      </c>
    </row>
    <row r="382" spans="1:11" x14ac:dyDescent="0.35">
      <c r="A382" s="51" t="s">
        <v>104</v>
      </c>
      <c r="B382" t="s">
        <v>167</v>
      </c>
      <c r="C382" s="4" t="s">
        <v>2278</v>
      </c>
      <c r="D382" s="44">
        <v>8.5999999999999993E-2</v>
      </c>
      <c r="E382" s="18">
        <v>12.2</v>
      </c>
      <c r="F382" s="44">
        <v>59.7</v>
      </c>
      <c r="G382" s="18">
        <v>6.4</v>
      </c>
      <c r="H382" s="27">
        <v>260</v>
      </c>
      <c r="I382" s="18">
        <v>7.55</v>
      </c>
      <c r="J382" s="44">
        <v>94.8</v>
      </c>
      <c r="K382" s="44">
        <v>2.1</v>
      </c>
    </row>
    <row r="383" spans="1:11" x14ac:dyDescent="0.35">
      <c r="A383" s="51" t="s">
        <v>104</v>
      </c>
      <c r="B383" t="s">
        <v>167</v>
      </c>
      <c r="C383" s="4" t="s">
        <v>2278</v>
      </c>
      <c r="D383" s="44">
        <v>6.64</v>
      </c>
      <c r="E383" s="18">
        <v>12.12</v>
      </c>
      <c r="F383" s="44">
        <v>59</v>
      </c>
      <c r="G383" s="18">
        <v>6.34</v>
      </c>
      <c r="H383" s="27">
        <v>260</v>
      </c>
      <c r="I383" s="18">
        <v>7.55</v>
      </c>
      <c r="J383" s="44">
        <v>89.8</v>
      </c>
      <c r="K383" s="44">
        <v>2.2000000000000002</v>
      </c>
    </row>
    <row r="384" spans="1:11" x14ac:dyDescent="0.35">
      <c r="A384" s="51" t="s">
        <v>104</v>
      </c>
      <c r="B384" t="s">
        <v>25</v>
      </c>
      <c r="C384" s="4" t="s">
        <v>2278</v>
      </c>
      <c r="D384" s="44">
        <v>0.02</v>
      </c>
      <c r="E384" s="18">
        <v>12.3</v>
      </c>
      <c r="F384" s="44">
        <v>57.6</v>
      </c>
      <c r="G384" s="18">
        <v>6.16</v>
      </c>
      <c r="H384" s="27">
        <v>259</v>
      </c>
      <c r="I384" s="18">
        <v>7.48</v>
      </c>
      <c r="J384" s="44">
        <v>95</v>
      </c>
      <c r="K384" s="44">
        <v>2.2000000000000002</v>
      </c>
    </row>
    <row r="385" spans="1:11" x14ac:dyDescent="0.35">
      <c r="A385" s="51" t="s">
        <v>104</v>
      </c>
      <c r="B385" t="s">
        <v>25</v>
      </c>
      <c r="C385" s="4" t="s">
        <v>2278</v>
      </c>
      <c r="D385" s="44">
        <v>26.7</v>
      </c>
      <c r="E385" s="18">
        <v>10.8</v>
      </c>
      <c r="F385" s="44">
        <v>55.3</v>
      </c>
      <c r="G385" s="18">
        <v>6.13</v>
      </c>
      <c r="H385" s="27">
        <v>264</v>
      </c>
      <c r="I385" s="18">
        <v>7.46</v>
      </c>
      <c r="J385" s="44">
        <v>90.7</v>
      </c>
      <c r="K385" s="44">
        <v>2.8</v>
      </c>
    </row>
    <row r="386" spans="1:11" x14ac:dyDescent="0.35">
      <c r="A386" s="51" t="s">
        <v>104</v>
      </c>
      <c r="B386" t="s">
        <v>26</v>
      </c>
      <c r="C386" s="4" t="s">
        <v>2278</v>
      </c>
      <c r="D386" s="44">
        <v>1E-3</v>
      </c>
      <c r="E386" s="18">
        <v>12.45</v>
      </c>
      <c r="F386" s="44">
        <v>56.9</v>
      </c>
      <c r="G386" s="18">
        <v>6.07</v>
      </c>
      <c r="H386" s="27">
        <v>260</v>
      </c>
      <c r="I386" s="18">
        <v>7.47</v>
      </c>
      <c r="J386" s="44">
        <v>90</v>
      </c>
      <c r="K386" s="44">
        <v>2.2999999999999998</v>
      </c>
    </row>
    <row r="387" spans="1:11" x14ac:dyDescent="0.35">
      <c r="A387" s="51" t="s">
        <v>104</v>
      </c>
      <c r="B387" t="s">
        <v>26</v>
      </c>
      <c r="C387" s="4" t="s">
        <v>2278</v>
      </c>
      <c r="D387" s="44">
        <v>33.92</v>
      </c>
      <c r="E387" s="18">
        <v>10.38</v>
      </c>
      <c r="F387" s="44">
        <v>59</v>
      </c>
      <c r="G387" s="18">
        <v>6.6</v>
      </c>
      <c r="H387" s="27">
        <v>299</v>
      </c>
      <c r="I387" s="18">
        <v>7.3</v>
      </c>
      <c r="J387" s="44">
        <v>55.5</v>
      </c>
      <c r="K387" s="44">
        <v>3.5</v>
      </c>
    </row>
    <row r="388" spans="1:11" x14ac:dyDescent="0.35">
      <c r="A388" s="51" t="s">
        <v>104</v>
      </c>
      <c r="B388" t="s">
        <v>69</v>
      </c>
      <c r="C388" s="4" t="s">
        <v>2278</v>
      </c>
      <c r="D388" s="44">
        <v>0.12</v>
      </c>
      <c r="E388" s="18">
        <v>13.09</v>
      </c>
      <c r="F388" s="44">
        <v>53.9</v>
      </c>
      <c r="G388" s="18">
        <v>5.7</v>
      </c>
      <c r="H388" s="27">
        <v>259</v>
      </c>
      <c r="I388" s="18">
        <v>7.46</v>
      </c>
      <c r="J388" s="44">
        <v>94.4</v>
      </c>
      <c r="K388" s="44">
        <v>2.4</v>
      </c>
    </row>
    <row r="389" spans="1:11" x14ac:dyDescent="0.35">
      <c r="A389" s="51" t="s">
        <v>104</v>
      </c>
      <c r="B389" t="s">
        <v>69</v>
      </c>
      <c r="C389" s="4" t="s">
        <v>2278</v>
      </c>
      <c r="D389" s="44">
        <v>60</v>
      </c>
      <c r="E389" s="18">
        <v>11.26</v>
      </c>
      <c r="F389" s="44">
        <v>54.8</v>
      </c>
      <c r="G389" s="18">
        <v>6.6</v>
      </c>
      <c r="H389" s="27">
        <v>280</v>
      </c>
      <c r="I389" s="18">
        <v>7.42</v>
      </c>
      <c r="J389" s="44">
        <v>102.4</v>
      </c>
      <c r="K389" s="44">
        <v>5.0999999999999996</v>
      </c>
    </row>
    <row r="390" spans="1:11" x14ac:dyDescent="0.35">
      <c r="A390" s="51" t="s">
        <v>104</v>
      </c>
      <c r="B390" t="s">
        <v>64</v>
      </c>
      <c r="C390" s="4" t="s">
        <v>2278</v>
      </c>
      <c r="D390" s="44">
        <v>8.7999999999999995E-2</v>
      </c>
      <c r="E390" s="18">
        <v>13.11</v>
      </c>
      <c r="F390" s="44">
        <v>63.9</v>
      </c>
      <c r="G390" s="18">
        <v>6.42</v>
      </c>
      <c r="H390" s="27">
        <v>259</v>
      </c>
      <c r="I390" s="18">
        <v>7.54</v>
      </c>
      <c r="J390" s="44">
        <v>121.2</v>
      </c>
      <c r="K390" s="44">
        <v>2.2999999999999998</v>
      </c>
    </row>
    <row r="391" spans="1:11" x14ac:dyDescent="0.35">
      <c r="A391" s="51" t="s">
        <v>104</v>
      </c>
      <c r="B391" t="s">
        <v>64</v>
      </c>
      <c r="C391" s="4" t="s">
        <v>2278</v>
      </c>
      <c r="D391" s="44">
        <v>40.78</v>
      </c>
      <c r="E391" s="18">
        <v>12.8</v>
      </c>
      <c r="F391" s="44">
        <v>53.6</v>
      </c>
      <c r="G391" s="18">
        <v>5.58</v>
      </c>
      <c r="H391" s="27">
        <v>259</v>
      </c>
      <c r="I391" s="18">
        <v>7.4</v>
      </c>
      <c r="J391" s="44">
        <v>103.2</v>
      </c>
      <c r="K391" s="44">
        <v>2.4</v>
      </c>
    </row>
    <row r="392" spans="1:11" x14ac:dyDescent="0.35">
      <c r="A392" s="51" t="s">
        <v>104</v>
      </c>
      <c r="B392" t="s">
        <v>60</v>
      </c>
      <c r="C392" s="4" t="s">
        <v>2278</v>
      </c>
      <c r="D392" s="44">
        <v>0.156</v>
      </c>
      <c r="E392" s="18">
        <v>13.12</v>
      </c>
      <c r="F392" s="44">
        <v>41.3</v>
      </c>
      <c r="G392" s="18">
        <v>4.34</v>
      </c>
      <c r="H392" s="27">
        <v>266</v>
      </c>
      <c r="I392" s="18">
        <v>7.42</v>
      </c>
      <c r="J392" s="44">
        <v>85.7</v>
      </c>
      <c r="K392" s="44">
        <v>2.2000000000000002</v>
      </c>
    </row>
    <row r="393" spans="1:11" x14ac:dyDescent="0.35">
      <c r="A393" s="51" t="s">
        <v>104</v>
      </c>
      <c r="B393" t="s">
        <v>60</v>
      </c>
      <c r="C393" s="4" t="s">
        <v>2278</v>
      </c>
      <c r="D393" s="44">
        <v>95</v>
      </c>
      <c r="E393" s="18">
        <v>12.19</v>
      </c>
      <c r="F393" s="44">
        <v>48.1</v>
      </c>
      <c r="G393" s="18">
        <v>5.18</v>
      </c>
      <c r="H393" s="27">
        <v>281</v>
      </c>
      <c r="I393" s="18">
        <v>7.38</v>
      </c>
      <c r="J393" s="44">
        <v>95.6</v>
      </c>
      <c r="K393" s="44">
        <v>5</v>
      </c>
    </row>
    <row r="394" spans="1:11" x14ac:dyDescent="0.35">
      <c r="A394" s="51" t="s">
        <v>104</v>
      </c>
      <c r="B394" t="s">
        <v>9</v>
      </c>
      <c r="C394" s="4" t="s">
        <v>2338</v>
      </c>
      <c r="D394" s="44">
        <v>2.5999999999999999E-2</v>
      </c>
      <c r="E394" s="18">
        <v>9.18</v>
      </c>
      <c r="F394" s="44">
        <v>84.2</v>
      </c>
      <c r="G394" s="18">
        <v>9.68</v>
      </c>
      <c r="H394" s="27">
        <v>307</v>
      </c>
      <c r="I394" s="18">
        <v>8.0299999999999994</v>
      </c>
      <c r="J394" s="44">
        <v>115.5</v>
      </c>
      <c r="K394" s="44">
        <v>7.3</v>
      </c>
    </row>
    <row r="395" spans="1:11" x14ac:dyDescent="0.35">
      <c r="A395" s="51" t="s">
        <v>104</v>
      </c>
      <c r="B395" t="s">
        <v>9</v>
      </c>
      <c r="C395" s="4" t="s">
        <v>2338</v>
      </c>
      <c r="D395" s="44">
        <v>8.1029999999999998</v>
      </c>
      <c r="E395" s="18">
        <v>9.14</v>
      </c>
      <c r="F395" s="44">
        <v>83.5</v>
      </c>
      <c r="G395" s="18">
        <v>9.61</v>
      </c>
      <c r="H395" s="27">
        <v>307</v>
      </c>
      <c r="I395" s="18">
        <v>7.96</v>
      </c>
      <c r="J395" s="44">
        <v>107.8</v>
      </c>
      <c r="K395" s="44">
        <v>8.3000000000000007</v>
      </c>
    </row>
    <row r="396" spans="1:11" x14ac:dyDescent="0.35">
      <c r="A396" s="51" t="s">
        <v>104</v>
      </c>
      <c r="B396" t="s">
        <v>14</v>
      </c>
      <c r="C396" s="4" t="s">
        <v>2338</v>
      </c>
      <c r="D396" s="44">
        <v>3.4000000000000002E-2</v>
      </c>
      <c r="E396" s="18">
        <v>9.27</v>
      </c>
      <c r="F396" s="44">
        <v>84.3</v>
      </c>
      <c r="G396" s="18">
        <v>9.66</v>
      </c>
      <c r="H396" s="27">
        <v>305</v>
      </c>
      <c r="I396" s="18">
        <v>8.0299999999999994</v>
      </c>
      <c r="J396" s="44">
        <v>127.2</v>
      </c>
      <c r="K396" s="44">
        <v>8.1999999999999993</v>
      </c>
    </row>
    <row r="397" spans="1:11" x14ac:dyDescent="0.35">
      <c r="A397" s="51" t="s">
        <v>104</v>
      </c>
      <c r="B397" t="s">
        <v>14</v>
      </c>
      <c r="C397" s="4" t="s">
        <v>2338</v>
      </c>
      <c r="D397" s="44">
        <v>4</v>
      </c>
      <c r="E397" s="18">
        <v>9.26</v>
      </c>
      <c r="F397" s="44">
        <v>83.4</v>
      </c>
      <c r="G397" s="18">
        <v>9.56</v>
      </c>
      <c r="H397" s="27">
        <v>305</v>
      </c>
      <c r="I397" s="18">
        <v>7.94</v>
      </c>
      <c r="J397" s="44">
        <v>121</v>
      </c>
      <c r="K397" s="44">
        <v>8.5</v>
      </c>
    </row>
    <row r="398" spans="1:11" x14ac:dyDescent="0.35">
      <c r="A398" s="51" t="s">
        <v>104</v>
      </c>
      <c r="B398" t="s">
        <v>18</v>
      </c>
      <c r="C398" s="4" t="s">
        <v>2338</v>
      </c>
      <c r="D398" s="44">
        <v>2.5999999999999999E-2</v>
      </c>
      <c r="E398" s="18">
        <v>9.3000000000000007</v>
      </c>
      <c r="F398" s="44">
        <v>83.8</v>
      </c>
      <c r="G398" s="18">
        <v>9.61</v>
      </c>
      <c r="H398" s="27">
        <v>308</v>
      </c>
      <c r="I398" s="18">
        <v>7.89</v>
      </c>
      <c r="J398" s="44">
        <v>111.8</v>
      </c>
      <c r="K398" s="44">
        <v>8.4</v>
      </c>
    </row>
    <row r="399" spans="1:11" x14ac:dyDescent="0.35">
      <c r="A399" s="51" t="s">
        <v>104</v>
      </c>
      <c r="B399" t="s">
        <v>18</v>
      </c>
      <c r="C399" s="4" t="s">
        <v>2338</v>
      </c>
      <c r="D399" s="44">
        <v>7.0860000000000003</v>
      </c>
      <c r="E399" s="18">
        <v>9.26</v>
      </c>
      <c r="F399" s="44">
        <v>83.3</v>
      </c>
      <c r="G399" s="18">
        <v>9.56</v>
      </c>
      <c r="H399" s="27">
        <v>308</v>
      </c>
      <c r="I399" s="18">
        <v>7.86</v>
      </c>
      <c r="J399" s="44">
        <v>110.9</v>
      </c>
      <c r="K399" s="44">
        <v>8.8000000000000007</v>
      </c>
    </row>
    <row r="400" spans="1:11" x14ac:dyDescent="0.35">
      <c r="A400" s="51" t="s">
        <v>104</v>
      </c>
      <c r="B400" t="s">
        <v>64</v>
      </c>
      <c r="C400" s="4" t="s">
        <v>2338</v>
      </c>
      <c r="D400" s="44">
        <v>45.931758530183728</v>
      </c>
      <c r="E400" s="18">
        <v>12.106250000000001</v>
      </c>
      <c r="F400" s="44">
        <v>55.425000000000004</v>
      </c>
      <c r="G400" s="18">
        <v>5.9562499999999998</v>
      </c>
      <c r="H400" s="27">
        <v>257.75</v>
      </c>
      <c r="I400" s="18">
        <v>7.6462500000000002</v>
      </c>
      <c r="J400" s="44">
        <v>123.58750000000001</v>
      </c>
      <c r="K400" s="44">
        <v>2.95</v>
      </c>
    </row>
    <row r="401" spans="1:11" x14ac:dyDescent="0.35">
      <c r="A401" s="51" t="s">
        <v>104</v>
      </c>
      <c r="B401" t="s">
        <v>64</v>
      </c>
      <c r="C401" s="4" t="s">
        <v>2338</v>
      </c>
      <c r="D401" s="44">
        <v>0</v>
      </c>
      <c r="E401" s="18">
        <v>12.089999999999998</v>
      </c>
      <c r="F401" s="44">
        <v>55.333333333333336</v>
      </c>
      <c r="G401" s="18">
        <v>5.9466666666666663</v>
      </c>
      <c r="H401" s="27">
        <v>216.33333333333334</v>
      </c>
      <c r="I401" s="18">
        <v>7.6083333333333343</v>
      </c>
      <c r="J401" s="44">
        <v>112.68333333333334</v>
      </c>
      <c r="K401" s="44">
        <v>2.0166666666666666</v>
      </c>
    </row>
    <row r="402" spans="1:11" x14ac:dyDescent="0.35">
      <c r="A402" s="51" t="s">
        <v>104</v>
      </c>
      <c r="B402" t="s">
        <v>69</v>
      </c>
      <c r="C402" s="4" t="s">
        <v>2338</v>
      </c>
      <c r="D402" s="44">
        <v>62.335958005249346</v>
      </c>
      <c r="E402" s="18">
        <v>10.248333333333331</v>
      </c>
      <c r="F402" s="44">
        <v>68.633333333333326</v>
      </c>
      <c r="G402" s="18">
        <v>7.6983333333333341</v>
      </c>
      <c r="H402" s="27">
        <v>282.33333333333331</v>
      </c>
      <c r="I402" s="18">
        <v>7.5816666666666661</v>
      </c>
      <c r="J402" s="44">
        <v>114.99999999999999</v>
      </c>
      <c r="K402" s="44">
        <v>11.133333333333333</v>
      </c>
    </row>
    <row r="403" spans="1:11" x14ac:dyDescent="0.35">
      <c r="A403" s="51" t="s">
        <v>104</v>
      </c>
      <c r="B403" t="s">
        <v>69</v>
      </c>
      <c r="C403" s="4" t="s">
        <v>2338</v>
      </c>
      <c r="D403" s="44">
        <v>0</v>
      </c>
      <c r="E403" s="18">
        <v>12.127500000000001</v>
      </c>
      <c r="F403" s="44">
        <v>56.2</v>
      </c>
      <c r="G403" s="18">
        <v>6.0324999999999998</v>
      </c>
      <c r="H403" s="27">
        <v>259</v>
      </c>
      <c r="I403" s="18">
        <v>7.6224999999999996</v>
      </c>
      <c r="J403" s="44">
        <v>103.22499999999999</v>
      </c>
      <c r="K403" s="44">
        <v>2.2250000000000001</v>
      </c>
    </row>
    <row r="404" spans="1:11" x14ac:dyDescent="0.35">
      <c r="A404" s="51" t="s">
        <v>104</v>
      </c>
      <c r="B404" t="s">
        <v>26</v>
      </c>
      <c r="C404" s="4" t="s">
        <v>2338</v>
      </c>
      <c r="D404" s="44">
        <v>39.370078740157481</v>
      </c>
      <c r="E404" s="18">
        <v>9.8800000000000008</v>
      </c>
      <c r="F404" s="44">
        <v>75.25</v>
      </c>
      <c r="G404" s="18">
        <v>8.5083333333333329</v>
      </c>
      <c r="H404" s="27">
        <v>280.33333333333331</v>
      </c>
      <c r="I404" s="18">
        <v>7.7033333333333331</v>
      </c>
      <c r="J404" s="44">
        <v>121.55000000000001</v>
      </c>
      <c r="K404" s="44">
        <v>12.300000000000002</v>
      </c>
    </row>
    <row r="405" spans="1:11" x14ac:dyDescent="0.35">
      <c r="A405" s="51" t="s">
        <v>104</v>
      </c>
      <c r="B405" t="s">
        <v>26</v>
      </c>
      <c r="C405" s="4" t="s">
        <v>2338</v>
      </c>
      <c r="D405" s="44">
        <v>0</v>
      </c>
      <c r="E405" s="18">
        <v>11.466666666666667</v>
      </c>
      <c r="F405" s="44">
        <v>65.955555555555563</v>
      </c>
      <c r="G405" s="18">
        <v>7.192222222222223</v>
      </c>
      <c r="H405" s="27">
        <v>260</v>
      </c>
      <c r="I405" s="18">
        <v>7.6888888888888891</v>
      </c>
      <c r="J405" s="44">
        <v>112.74444444444445</v>
      </c>
      <c r="K405" s="44">
        <v>4.4555555555555557</v>
      </c>
    </row>
    <row r="406" spans="1:11" x14ac:dyDescent="0.35">
      <c r="A406" s="51" t="s">
        <v>104</v>
      </c>
      <c r="B406" t="s">
        <v>25</v>
      </c>
      <c r="C406" s="4" t="s">
        <v>2338</v>
      </c>
      <c r="D406" s="44">
        <v>29.527559055118111</v>
      </c>
      <c r="E406" s="18">
        <v>10.321999999999999</v>
      </c>
      <c r="F406" s="44">
        <v>63.31</v>
      </c>
      <c r="G406" s="18">
        <v>7.0869999999999989</v>
      </c>
      <c r="H406" s="27">
        <v>270.3</v>
      </c>
      <c r="I406" s="18">
        <v>7.6400000000000006</v>
      </c>
      <c r="J406" s="44">
        <v>142.29000000000002</v>
      </c>
      <c r="K406" s="44">
        <v>11.190000000000001</v>
      </c>
    </row>
    <row r="407" spans="1:11" x14ac:dyDescent="0.35">
      <c r="A407" s="51" t="s">
        <v>104</v>
      </c>
      <c r="B407" t="s">
        <v>25</v>
      </c>
      <c r="C407" s="4" t="s">
        <v>2338</v>
      </c>
      <c r="D407" s="44">
        <v>0</v>
      </c>
      <c r="E407" s="18">
        <v>11.558</v>
      </c>
      <c r="F407" s="44">
        <v>63.040000000000006</v>
      </c>
      <c r="G407" s="18">
        <v>6.8559999999999999</v>
      </c>
      <c r="H407" s="27">
        <v>256.2</v>
      </c>
      <c r="I407" s="18">
        <v>7.6440000000000001</v>
      </c>
      <c r="J407" s="44">
        <v>130.6</v>
      </c>
      <c r="K407" s="44">
        <v>2.8400000000000007</v>
      </c>
    </row>
    <row r="408" spans="1:11" x14ac:dyDescent="0.35">
      <c r="A408" s="51" t="s">
        <v>104</v>
      </c>
      <c r="B408" t="s">
        <v>167</v>
      </c>
      <c r="C408" s="4" t="s">
        <v>2338</v>
      </c>
      <c r="D408" s="44">
        <v>13.123359580052494</v>
      </c>
      <c r="E408" s="18">
        <v>11.409090909090908</v>
      </c>
      <c r="F408" s="44">
        <v>67.054545454545462</v>
      </c>
      <c r="G408" s="18">
        <v>7.3190909090909093</v>
      </c>
      <c r="H408" s="27">
        <v>260.90909090909093</v>
      </c>
      <c r="I408" s="18">
        <v>7.6263636363636351</v>
      </c>
      <c r="J408" s="44">
        <v>133.59090909090912</v>
      </c>
      <c r="K408" s="44">
        <v>3.3090909090909091</v>
      </c>
    </row>
    <row r="409" spans="1:11" x14ac:dyDescent="0.35">
      <c r="A409" s="51" t="s">
        <v>104</v>
      </c>
      <c r="B409" t="s">
        <v>167</v>
      </c>
      <c r="C409" s="4" t="s">
        <v>2338</v>
      </c>
      <c r="D409" s="44">
        <v>0</v>
      </c>
      <c r="E409" s="18">
        <v>11.400000000000002</v>
      </c>
      <c r="F409" s="44">
        <v>63.618181818181831</v>
      </c>
      <c r="G409" s="18">
        <v>6.9463636363636363</v>
      </c>
      <c r="H409" s="27">
        <v>261</v>
      </c>
      <c r="I409" s="18">
        <v>7.6072727272727265</v>
      </c>
      <c r="J409" s="44">
        <v>121.60909090909091</v>
      </c>
      <c r="K409" s="44">
        <v>3.2363636363636363</v>
      </c>
    </row>
    <row r="410" spans="1:11" x14ac:dyDescent="0.35">
      <c r="A410" s="51" t="s">
        <v>104</v>
      </c>
      <c r="B410" t="s">
        <v>60</v>
      </c>
      <c r="C410" s="4" t="s">
        <v>2338</v>
      </c>
      <c r="D410" s="44">
        <v>98.425196850393704</v>
      </c>
      <c r="E410" s="18">
        <v>10.291666666666666</v>
      </c>
      <c r="F410" s="44">
        <v>59.050000000000004</v>
      </c>
      <c r="G410" s="18">
        <v>6.6149999999999993</v>
      </c>
      <c r="H410" s="27">
        <v>318</v>
      </c>
      <c r="I410" s="18">
        <v>7.7749999999999995</v>
      </c>
      <c r="J410" s="44">
        <v>114.7</v>
      </c>
      <c r="K410" s="44">
        <v>5.1666666666666661</v>
      </c>
    </row>
    <row r="411" spans="1:11" x14ac:dyDescent="0.35">
      <c r="A411" s="51" t="s">
        <v>104</v>
      </c>
      <c r="B411" t="s">
        <v>60</v>
      </c>
      <c r="C411" s="4" t="s">
        <v>2338</v>
      </c>
      <c r="D411" s="44">
        <v>83.2</v>
      </c>
      <c r="E411" s="18">
        <v>10.459</v>
      </c>
      <c r="F411" s="44">
        <v>57.989999999999995</v>
      </c>
      <c r="G411" s="18">
        <v>6.4679999999999991</v>
      </c>
      <c r="H411" s="27">
        <v>320.60000000000002</v>
      </c>
      <c r="I411" s="18">
        <v>7.7299999999999995</v>
      </c>
      <c r="J411" s="44">
        <v>107.35999999999999</v>
      </c>
      <c r="K411" s="44">
        <v>5.05</v>
      </c>
    </row>
    <row r="412" spans="1:11" x14ac:dyDescent="0.35">
      <c r="A412" s="100" t="s">
        <v>104</v>
      </c>
      <c r="B412" s="101" t="s">
        <v>60</v>
      </c>
      <c r="C412" s="102" t="s">
        <v>2338</v>
      </c>
      <c r="D412" s="103">
        <v>75.787401574803155</v>
      </c>
      <c r="E412" s="104">
        <v>10.708749999999998</v>
      </c>
      <c r="F412" s="103">
        <v>55.4</v>
      </c>
      <c r="G412" s="104">
        <v>6.1462499999999993</v>
      </c>
      <c r="H412" s="105">
        <v>309.125</v>
      </c>
      <c r="I412" s="104">
        <v>7.7024999999999988</v>
      </c>
      <c r="J412" s="103">
        <v>103.3625</v>
      </c>
      <c r="K412" s="103">
        <v>5.2750000000000004</v>
      </c>
    </row>
    <row r="413" spans="1:11" x14ac:dyDescent="0.35">
      <c r="A413" s="51" t="s">
        <v>104</v>
      </c>
      <c r="B413" t="s">
        <v>60</v>
      </c>
      <c r="C413" s="4" t="s">
        <v>2338</v>
      </c>
      <c r="D413" s="44">
        <v>66.60104986876641</v>
      </c>
      <c r="E413" s="18">
        <v>11.4275</v>
      </c>
      <c r="F413" s="44">
        <v>42.662500000000001</v>
      </c>
      <c r="G413" s="18">
        <v>4.6537500000000005</v>
      </c>
      <c r="H413" s="27">
        <v>273.125</v>
      </c>
      <c r="I413" s="18">
        <v>7.6749999999999998</v>
      </c>
      <c r="J413" s="44">
        <v>103.18749999999999</v>
      </c>
      <c r="K413" s="44">
        <v>3.8374999999999995</v>
      </c>
    </row>
    <row r="414" spans="1:11" x14ac:dyDescent="0.35">
      <c r="A414" s="51" t="s">
        <v>104</v>
      </c>
      <c r="B414" t="s">
        <v>60</v>
      </c>
      <c r="C414" s="4" t="s">
        <v>2338</v>
      </c>
      <c r="D414" s="44">
        <v>56.758530183727032</v>
      </c>
      <c r="E414" s="18">
        <v>11.814444444444444</v>
      </c>
      <c r="F414" s="44">
        <v>44.644444444444453</v>
      </c>
      <c r="G414" s="18">
        <v>4.8288888888888888</v>
      </c>
      <c r="H414" s="27">
        <v>265.77777777777777</v>
      </c>
      <c r="I414" s="18">
        <v>7.6266666666666669</v>
      </c>
      <c r="J414" s="44">
        <v>99.86666666666666</v>
      </c>
      <c r="K414" s="44">
        <v>3.7000000000000006</v>
      </c>
    </row>
    <row r="415" spans="1:11" x14ac:dyDescent="0.35">
      <c r="A415" s="51" t="s">
        <v>104</v>
      </c>
      <c r="B415" t="s">
        <v>60</v>
      </c>
      <c r="C415" s="4" t="s">
        <v>2338</v>
      </c>
      <c r="D415" s="44">
        <v>47.572178477690287</v>
      </c>
      <c r="E415" s="18">
        <v>12.12</v>
      </c>
      <c r="F415" s="44">
        <v>48.16</v>
      </c>
      <c r="G415" s="18">
        <v>5.1719999999999997</v>
      </c>
      <c r="H415" s="27">
        <v>260</v>
      </c>
      <c r="I415" s="18">
        <v>7.6100000000000012</v>
      </c>
      <c r="J415" s="44">
        <v>98</v>
      </c>
      <c r="K415" s="44">
        <v>2.7399999999999998</v>
      </c>
    </row>
    <row r="416" spans="1:11" x14ac:dyDescent="0.35">
      <c r="A416" s="51" t="s">
        <v>104</v>
      </c>
      <c r="B416" t="s">
        <v>60</v>
      </c>
      <c r="C416" s="4" t="s">
        <v>2338</v>
      </c>
      <c r="D416" s="44">
        <v>38.057742782152232</v>
      </c>
      <c r="E416" s="18">
        <v>12.122222222222224</v>
      </c>
      <c r="F416" s="44">
        <v>49.1</v>
      </c>
      <c r="G416" s="18">
        <v>5.2711111111111109</v>
      </c>
      <c r="H416" s="27">
        <v>260</v>
      </c>
      <c r="I416" s="18">
        <v>7.5866666666666669</v>
      </c>
      <c r="J416" s="44">
        <v>96.511111111111092</v>
      </c>
      <c r="K416" s="44">
        <v>2.411111111111111</v>
      </c>
    </row>
    <row r="417" spans="1:11" x14ac:dyDescent="0.35">
      <c r="A417" s="51" t="s">
        <v>104</v>
      </c>
      <c r="B417" t="s">
        <v>60</v>
      </c>
      <c r="C417" s="4" t="s">
        <v>2338</v>
      </c>
      <c r="D417" s="44">
        <v>28.543307086614174</v>
      </c>
      <c r="E417" s="18">
        <v>12.150000000000002</v>
      </c>
      <c r="F417" s="44">
        <v>48.777777777777779</v>
      </c>
      <c r="G417" s="18">
        <v>5.2344444444444456</v>
      </c>
      <c r="H417" s="27">
        <v>261</v>
      </c>
      <c r="I417" s="18">
        <v>7.5644444444444439</v>
      </c>
      <c r="J417" s="44">
        <v>95.12222222222222</v>
      </c>
      <c r="K417" s="44">
        <v>2.1666666666666665</v>
      </c>
    </row>
    <row r="418" spans="1:11" x14ac:dyDescent="0.35">
      <c r="A418" s="51" t="s">
        <v>104</v>
      </c>
      <c r="B418" t="s">
        <v>60</v>
      </c>
      <c r="C418" s="4" t="s">
        <v>2338</v>
      </c>
      <c r="D418" s="44">
        <v>18.700787401574804</v>
      </c>
      <c r="E418" s="18">
        <v>12.158333333333333</v>
      </c>
      <c r="F418" s="44">
        <v>48.816666666666663</v>
      </c>
      <c r="G418" s="18">
        <v>5.2400000000000011</v>
      </c>
      <c r="H418" s="27">
        <v>261</v>
      </c>
      <c r="I418" s="18">
        <v>7.5583333333333336</v>
      </c>
      <c r="J418" s="44">
        <v>93.533333333333346</v>
      </c>
      <c r="K418" s="44">
        <v>2.1333333333333333</v>
      </c>
    </row>
    <row r="419" spans="1:11" x14ac:dyDescent="0.35">
      <c r="A419" s="51" t="s">
        <v>104</v>
      </c>
      <c r="B419" t="s">
        <v>60</v>
      </c>
      <c r="C419" s="4" t="s">
        <v>2338</v>
      </c>
      <c r="D419" s="44">
        <v>9.1863517060367457</v>
      </c>
      <c r="E419" s="18">
        <v>12.148571428571429</v>
      </c>
      <c r="F419" s="44">
        <v>49</v>
      </c>
      <c r="G419" s="18">
        <v>5.2585714285714289</v>
      </c>
      <c r="H419" s="27">
        <v>261</v>
      </c>
      <c r="I419" s="18">
        <v>7.5557142857142852</v>
      </c>
      <c r="J419" s="44">
        <v>92.200000000000017</v>
      </c>
      <c r="K419" s="44">
        <v>2.1999999999999997</v>
      </c>
    </row>
    <row r="420" spans="1:11" x14ac:dyDescent="0.35">
      <c r="A420" s="51" t="s">
        <v>104</v>
      </c>
      <c r="B420" t="s">
        <v>60</v>
      </c>
      <c r="C420" s="4" t="s">
        <v>2338</v>
      </c>
      <c r="D420" s="44">
        <v>0.3</v>
      </c>
      <c r="E420" s="18">
        <v>12.133333333333333</v>
      </c>
      <c r="F420" s="44">
        <v>49.266666666666673</v>
      </c>
      <c r="G420" s="18">
        <v>5.2966666666666669</v>
      </c>
      <c r="H420" s="27">
        <v>261</v>
      </c>
      <c r="I420" s="18">
        <v>7.5333333333333341</v>
      </c>
      <c r="J420" s="44">
        <v>92.1</v>
      </c>
      <c r="K420" s="44">
        <v>2.1</v>
      </c>
    </row>
    <row r="421" spans="1:11" x14ac:dyDescent="0.35">
      <c r="A421" s="51" t="s">
        <v>104</v>
      </c>
      <c r="B421" t="s">
        <v>9</v>
      </c>
      <c r="C421" s="4" t="s">
        <v>2358</v>
      </c>
      <c r="D421" s="44">
        <v>3.0000000000000001E-3</v>
      </c>
      <c r="E421" s="18">
        <v>7.44</v>
      </c>
      <c r="F421" s="44">
        <v>80.3</v>
      </c>
      <c r="G421" s="18">
        <v>9.6199999999999992</v>
      </c>
      <c r="H421" s="27">
        <v>368</v>
      </c>
      <c r="I421" s="18">
        <v>7.69</v>
      </c>
      <c r="J421" s="44">
        <v>80.599999999999994</v>
      </c>
      <c r="K421" s="65">
        <v>-1.7</v>
      </c>
    </row>
    <row r="422" spans="1:11" x14ac:dyDescent="0.35">
      <c r="A422" s="51" t="s">
        <v>104</v>
      </c>
      <c r="B422" t="s">
        <v>9</v>
      </c>
      <c r="C422" s="4" t="s">
        <v>2358</v>
      </c>
      <c r="D422" s="44">
        <v>5.9770000000000003</v>
      </c>
      <c r="E422" s="18">
        <v>6.21</v>
      </c>
      <c r="F422" s="44">
        <v>81.8</v>
      </c>
      <c r="G422" s="18">
        <v>10.119999999999999</v>
      </c>
      <c r="H422" s="27">
        <v>448</v>
      </c>
      <c r="I422" s="18">
        <v>7.7</v>
      </c>
      <c r="J422" s="44">
        <v>80</v>
      </c>
      <c r="K422" s="44">
        <v>-4</v>
      </c>
    </row>
    <row r="423" spans="1:11" x14ac:dyDescent="0.35">
      <c r="A423" s="51" t="s">
        <v>104</v>
      </c>
      <c r="B423" t="s">
        <v>14</v>
      </c>
      <c r="C423" s="4" t="s">
        <v>2358</v>
      </c>
      <c r="D423" s="44">
        <v>9.2999999999999999E-2</v>
      </c>
      <c r="E423" s="18">
        <v>8.4499999999999993</v>
      </c>
      <c r="F423" s="44">
        <v>87.5</v>
      </c>
      <c r="G423" s="18">
        <v>7.47</v>
      </c>
      <c r="H423" s="27">
        <v>321</v>
      </c>
      <c r="I423" s="18">
        <v>7.76</v>
      </c>
      <c r="J423" s="44">
        <v>93.1</v>
      </c>
      <c r="K423" s="44">
        <v>0.2</v>
      </c>
    </row>
    <row r="424" spans="1:11" x14ac:dyDescent="0.35">
      <c r="A424" s="51" t="s">
        <v>104</v>
      </c>
      <c r="B424" t="s">
        <v>14</v>
      </c>
      <c r="C424" s="4" t="s">
        <v>2358</v>
      </c>
      <c r="D424" s="44">
        <v>4.375</v>
      </c>
      <c r="E424" s="18">
        <v>8.2200000000000006</v>
      </c>
      <c r="F424" s="44">
        <v>74.900000000000006</v>
      </c>
      <c r="G424" s="18">
        <v>8.74</v>
      </c>
      <c r="H424" s="27">
        <v>326</v>
      </c>
      <c r="I424" s="18">
        <v>7.75</v>
      </c>
      <c r="J424" s="44">
        <v>91.1</v>
      </c>
      <c r="K424" s="65">
        <v>-0.4</v>
      </c>
    </row>
    <row r="425" spans="1:11" x14ac:dyDescent="0.35">
      <c r="A425" s="51" t="s">
        <v>104</v>
      </c>
      <c r="B425" t="s">
        <v>18</v>
      </c>
      <c r="C425" s="4" t="s">
        <v>2358</v>
      </c>
      <c r="D425" s="44">
        <v>2.5000000000000001E-2</v>
      </c>
      <c r="E425" s="18">
        <v>8.6300000000000008</v>
      </c>
      <c r="F425" s="44">
        <v>77.2</v>
      </c>
      <c r="G425" s="18">
        <v>8.98</v>
      </c>
      <c r="H425" s="27">
        <v>320</v>
      </c>
      <c r="I425" s="18">
        <v>7.84</v>
      </c>
      <c r="J425" s="44">
        <v>98.8</v>
      </c>
      <c r="K425" s="44">
        <v>0.4</v>
      </c>
    </row>
    <row r="426" spans="1:11" x14ac:dyDescent="0.35">
      <c r="A426" s="51" t="s">
        <v>104</v>
      </c>
      <c r="B426" t="s">
        <v>18</v>
      </c>
      <c r="C426" s="4" t="s">
        <v>2358</v>
      </c>
      <c r="D426" s="44">
        <v>5.2270000000000003</v>
      </c>
      <c r="E426" s="18">
        <v>8.08</v>
      </c>
      <c r="F426" s="44">
        <v>76</v>
      </c>
      <c r="G426" s="18">
        <v>8.94</v>
      </c>
      <c r="H426" s="27">
        <v>336</v>
      </c>
      <c r="I426" s="18">
        <v>7.77</v>
      </c>
      <c r="J426" s="44">
        <v>99.2</v>
      </c>
      <c r="K426" s="65">
        <v>-0.3</v>
      </c>
    </row>
    <row r="427" spans="1:11" x14ac:dyDescent="0.35">
      <c r="A427" s="51" t="s">
        <v>104</v>
      </c>
      <c r="B427" t="s">
        <v>25</v>
      </c>
      <c r="C427" s="4" t="s">
        <v>2358</v>
      </c>
      <c r="D427" s="44">
        <v>0.09</v>
      </c>
      <c r="E427" s="18">
        <v>10.53</v>
      </c>
      <c r="F427" s="44">
        <v>64.3</v>
      </c>
      <c r="G427" s="18">
        <v>7.16</v>
      </c>
      <c r="H427" s="27">
        <v>262</v>
      </c>
      <c r="I427" s="18">
        <v>7.82</v>
      </c>
      <c r="J427" s="44">
        <v>104.7</v>
      </c>
      <c r="K427" s="44">
        <v>1.7</v>
      </c>
    </row>
    <row r="428" spans="1:11" x14ac:dyDescent="0.35">
      <c r="A428" s="51" t="s">
        <v>104</v>
      </c>
      <c r="B428" t="s">
        <v>25</v>
      </c>
      <c r="C428" s="4" t="s">
        <v>2358</v>
      </c>
      <c r="D428" s="44">
        <v>24.917000000000002</v>
      </c>
      <c r="E428" s="18">
        <v>10.15</v>
      </c>
      <c r="F428" s="44">
        <v>59.4</v>
      </c>
      <c r="G428" s="18">
        <v>6.68</v>
      </c>
      <c r="H428" s="27">
        <v>268</v>
      </c>
      <c r="I428" s="18">
        <v>7.69</v>
      </c>
      <c r="J428" s="44">
        <v>87.7</v>
      </c>
      <c r="K428" s="44">
        <v>2.4</v>
      </c>
    </row>
    <row r="429" spans="1:11" x14ac:dyDescent="0.35">
      <c r="A429" s="51" t="s">
        <v>104</v>
      </c>
      <c r="B429" t="s">
        <v>26</v>
      </c>
      <c r="C429" s="4" t="s">
        <v>2358</v>
      </c>
      <c r="D429" s="44">
        <v>4.7E-2</v>
      </c>
      <c r="E429" s="18">
        <v>10.5</v>
      </c>
      <c r="F429" s="44">
        <v>64.400000000000006</v>
      </c>
      <c r="G429" s="18">
        <v>7.17</v>
      </c>
      <c r="H429" s="27">
        <v>263</v>
      </c>
      <c r="I429" s="18">
        <v>7.8</v>
      </c>
      <c r="J429" s="44">
        <v>127.2</v>
      </c>
      <c r="K429" s="44">
        <v>1.6</v>
      </c>
    </row>
    <row r="430" spans="1:11" x14ac:dyDescent="0.35">
      <c r="A430" s="51" t="s">
        <v>104</v>
      </c>
      <c r="B430" t="s">
        <v>26</v>
      </c>
      <c r="C430" s="4" t="s">
        <v>2358</v>
      </c>
      <c r="D430" s="44">
        <v>27.448</v>
      </c>
      <c r="E430" s="18">
        <v>10.34</v>
      </c>
      <c r="F430" s="44">
        <v>62.7</v>
      </c>
      <c r="G430" s="18">
        <v>7.02</v>
      </c>
      <c r="H430" s="27">
        <v>266</v>
      </c>
      <c r="I430" s="18">
        <v>7.7</v>
      </c>
      <c r="J430" s="44">
        <v>118</v>
      </c>
      <c r="K430" s="44">
        <v>1.8</v>
      </c>
    </row>
    <row r="431" spans="1:11" x14ac:dyDescent="0.35">
      <c r="A431" s="51" t="s">
        <v>104</v>
      </c>
      <c r="B431" t="s">
        <v>167</v>
      </c>
      <c r="C431" s="4" t="s">
        <v>2358</v>
      </c>
      <c r="D431" s="44">
        <v>0.24099999999999999</v>
      </c>
      <c r="E431" s="18">
        <v>10.5</v>
      </c>
      <c r="F431" s="44">
        <v>64.400000000000006</v>
      </c>
      <c r="G431" s="18">
        <v>7.18</v>
      </c>
      <c r="H431" s="27">
        <v>263</v>
      </c>
      <c r="I431" s="18">
        <v>7.68</v>
      </c>
      <c r="J431" s="44">
        <v>96.1</v>
      </c>
      <c r="K431" s="44">
        <v>1.8</v>
      </c>
    </row>
    <row r="432" spans="1:11" x14ac:dyDescent="0.35">
      <c r="A432" s="51" t="s">
        <v>104</v>
      </c>
      <c r="B432" t="s">
        <v>167</v>
      </c>
      <c r="C432" s="4" t="s">
        <v>2358</v>
      </c>
      <c r="D432" s="44">
        <v>7.0679999999999996</v>
      </c>
      <c r="E432" s="18">
        <v>10.58</v>
      </c>
      <c r="F432" s="44">
        <v>64</v>
      </c>
      <c r="G432" s="18">
        <v>7.18</v>
      </c>
      <c r="H432" s="27">
        <v>264</v>
      </c>
      <c r="I432" s="18">
        <v>7.66</v>
      </c>
      <c r="J432" s="44">
        <v>96</v>
      </c>
      <c r="K432" s="44">
        <v>1.8</v>
      </c>
    </row>
    <row r="433" spans="1:11" x14ac:dyDescent="0.35">
      <c r="A433" s="51" t="s">
        <v>104</v>
      </c>
      <c r="B433" t="s">
        <v>69</v>
      </c>
      <c r="C433" s="4" t="s">
        <v>2359</v>
      </c>
      <c r="D433" s="44">
        <v>0.85099999999999998</v>
      </c>
      <c r="E433" s="18">
        <v>11.14</v>
      </c>
      <c r="F433" s="44">
        <v>68.599999999999994</v>
      </c>
      <c r="G433" s="18">
        <v>7.53</v>
      </c>
      <c r="H433" s="27">
        <v>264</v>
      </c>
      <c r="I433" s="18">
        <v>6.59</v>
      </c>
      <c r="J433" s="44">
        <v>85.4</v>
      </c>
      <c r="K433" s="44">
        <v>1.1000000000000001</v>
      </c>
    </row>
    <row r="434" spans="1:11" x14ac:dyDescent="0.35">
      <c r="A434" s="51" t="s">
        <v>104</v>
      </c>
      <c r="B434" t="s">
        <v>69</v>
      </c>
      <c r="C434" s="4" t="s">
        <v>2359</v>
      </c>
      <c r="D434" s="44">
        <v>59.055</v>
      </c>
      <c r="E434" s="18">
        <v>9.82</v>
      </c>
      <c r="F434" s="44">
        <v>57.2</v>
      </c>
      <c r="G434" s="18">
        <v>6.48</v>
      </c>
      <c r="H434" s="27">
        <v>285</v>
      </c>
      <c r="I434" s="18">
        <v>6.82</v>
      </c>
      <c r="J434" s="44">
        <v>73.2</v>
      </c>
      <c r="K434" s="44">
        <v>3.6</v>
      </c>
    </row>
    <row r="435" spans="1:11" x14ac:dyDescent="0.35">
      <c r="A435" s="51" t="s">
        <v>104</v>
      </c>
      <c r="B435" t="s">
        <v>60</v>
      </c>
      <c r="C435" s="4" t="s">
        <v>2359</v>
      </c>
      <c r="D435" s="44">
        <v>0.14199999999999999</v>
      </c>
      <c r="E435" s="18">
        <v>10.99</v>
      </c>
      <c r="F435" s="44">
        <v>62.2</v>
      </c>
      <c r="G435" s="18">
        <v>6.85</v>
      </c>
      <c r="H435" s="27">
        <v>267</v>
      </c>
      <c r="I435" s="18">
        <v>7.28</v>
      </c>
      <c r="J435" s="44">
        <v>98</v>
      </c>
      <c r="K435" s="44">
        <v>2</v>
      </c>
    </row>
    <row r="436" spans="1:11" x14ac:dyDescent="0.35">
      <c r="A436" s="51" t="s">
        <v>104</v>
      </c>
      <c r="B436" t="s">
        <v>60</v>
      </c>
      <c r="C436" s="4" t="s">
        <v>2359</v>
      </c>
      <c r="D436" s="44">
        <v>98</v>
      </c>
      <c r="E436" s="18">
        <v>9.61</v>
      </c>
      <c r="F436" s="44">
        <v>46.8</v>
      </c>
      <c r="G436" s="18">
        <v>5.33</v>
      </c>
      <c r="H436" s="27">
        <v>277</v>
      </c>
      <c r="I436" s="18">
        <v>7.25</v>
      </c>
      <c r="J436" s="44">
        <v>96.9</v>
      </c>
      <c r="K436" s="44">
        <v>1.2</v>
      </c>
    </row>
  </sheetData>
  <sortState xmlns:xlrd2="http://schemas.microsoft.com/office/spreadsheetml/2017/richdata2" ref="A216:C227">
    <sortCondition ref="B216:B227"/>
  </sortState>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1462"/>
  <sheetViews>
    <sheetView topLeftCell="A2" zoomScale="80" zoomScaleNormal="80" workbookViewId="0">
      <pane ySplit="1" topLeftCell="A1417" activePane="bottomLeft" state="frozen"/>
      <selection activeCell="A2" sqref="A2"/>
      <selection pane="bottomLeft" activeCell="J1431" sqref="J1431"/>
    </sheetView>
  </sheetViews>
  <sheetFormatPr defaultRowHeight="14.5" x14ac:dyDescent="0.35"/>
  <cols>
    <col min="1" max="1" width="15.6328125" customWidth="1"/>
    <col min="2" max="2" width="18.453125" customWidth="1"/>
    <col min="4" max="4" width="14.90625" customWidth="1"/>
    <col min="6" max="6" width="11.54296875" bestFit="1" customWidth="1"/>
    <col min="7" max="7" width="12.08984375" customWidth="1"/>
  </cols>
  <sheetData>
    <row r="1" spans="1:16" hidden="1" x14ac:dyDescent="0.35">
      <c r="A1" s="111" t="s">
        <v>134</v>
      </c>
      <c r="B1" s="111"/>
      <c r="C1" s="111"/>
      <c r="D1" s="111"/>
      <c r="E1" s="111"/>
      <c r="F1" s="111"/>
      <c r="G1" s="111"/>
      <c r="H1" s="111"/>
      <c r="I1" s="111"/>
      <c r="J1" s="111"/>
      <c r="K1" s="111"/>
      <c r="L1" s="111"/>
      <c r="M1" s="111"/>
      <c r="N1" s="111"/>
      <c r="O1" s="111"/>
      <c r="P1" s="111"/>
    </row>
    <row r="2" spans="1:16" ht="29" x14ac:dyDescent="0.35">
      <c r="A2" s="1" t="s">
        <v>143</v>
      </c>
      <c r="B2" s="1" t="s">
        <v>1095</v>
      </c>
      <c r="C2" s="1" t="s">
        <v>2</v>
      </c>
      <c r="D2" s="1" t="s">
        <v>1</v>
      </c>
      <c r="E2" s="1" t="s">
        <v>133</v>
      </c>
      <c r="F2" s="69" t="s">
        <v>7</v>
      </c>
      <c r="G2" s="3" t="s">
        <v>6</v>
      </c>
    </row>
    <row r="3" spans="1:16" x14ac:dyDescent="0.35">
      <c r="A3" s="2">
        <v>42131</v>
      </c>
      <c r="B3" s="93" t="s">
        <v>105</v>
      </c>
      <c r="C3" t="s">
        <v>8</v>
      </c>
      <c r="D3" t="s">
        <v>9</v>
      </c>
      <c r="E3" t="s">
        <v>10</v>
      </c>
      <c r="F3" s="12" t="s">
        <v>105</v>
      </c>
      <c r="G3" s="4" t="s">
        <v>11</v>
      </c>
    </row>
    <row r="4" spans="1:16" x14ac:dyDescent="0.35">
      <c r="A4" s="2">
        <v>42131</v>
      </c>
      <c r="B4" s="93" t="s">
        <v>105</v>
      </c>
      <c r="C4" t="s">
        <v>8</v>
      </c>
      <c r="D4" t="s">
        <v>9</v>
      </c>
      <c r="E4" t="s">
        <v>10</v>
      </c>
      <c r="F4" s="12" t="s">
        <v>105</v>
      </c>
      <c r="G4" s="4" t="s">
        <v>12</v>
      </c>
    </row>
    <row r="5" spans="1:16" x14ac:dyDescent="0.35">
      <c r="A5" s="2">
        <v>42131</v>
      </c>
      <c r="B5" s="93" t="s">
        <v>105</v>
      </c>
      <c r="C5" t="s">
        <v>8</v>
      </c>
      <c r="D5" t="s">
        <v>9</v>
      </c>
      <c r="E5" t="s">
        <v>10</v>
      </c>
      <c r="F5" s="12" t="s">
        <v>105</v>
      </c>
      <c r="G5" s="4" t="s">
        <v>13</v>
      </c>
    </row>
    <row r="6" spans="1:16" x14ac:dyDescent="0.35">
      <c r="A6" s="2">
        <v>42131</v>
      </c>
      <c r="B6" s="93" t="s">
        <v>105</v>
      </c>
      <c r="C6" t="s">
        <v>8</v>
      </c>
      <c r="D6" t="s">
        <v>14</v>
      </c>
      <c r="E6" t="s">
        <v>10</v>
      </c>
      <c r="F6" s="12" t="s">
        <v>105</v>
      </c>
      <c r="G6" s="4" t="s">
        <v>15</v>
      </c>
    </row>
    <row r="7" spans="1:16" x14ac:dyDescent="0.35">
      <c r="A7" s="2">
        <v>42131</v>
      </c>
      <c r="B7" s="93" t="s">
        <v>105</v>
      </c>
      <c r="C7" t="s">
        <v>8</v>
      </c>
      <c r="D7" t="s">
        <v>14</v>
      </c>
      <c r="E7" t="s">
        <v>10</v>
      </c>
      <c r="F7" s="12" t="s">
        <v>105</v>
      </c>
      <c r="G7" s="4" t="s">
        <v>16</v>
      </c>
    </row>
    <row r="8" spans="1:16" x14ac:dyDescent="0.35">
      <c r="A8" s="2">
        <v>42131</v>
      </c>
      <c r="B8" s="93" t="s">
        <v>105</v>
      </c>
      <c r="C8" t="s">
        <v>8</v>
      </c>
      <c r="D8" t="s">
        <v>14</v>
      </c>
      <c r="E8" t="s">
        <v>10</v>
      </c>
      <c r="F8" s="12" t="s">
        <v>105</v>
      </c>
      <c r="G8" s="4" t="s">
        <v>17</v>
      </c>
    </row>
    <row r="9" spans="1:16" x14ac:dyDescent="0.35">
      <c r="A9" s="2">
        <v>42131</v>
      </c>
      <c r="B9" s="93" t="s">
        <v>105</v>
      </c>
      <c r="C9" t="s">
        <v>8</v>
      </c>
      <c r="D9" t="s">
        <v>18</v>
      </c>
      <c r="E9" t="s">
        <v>10</v>
      </c>
      <c r="F9" s="12" t="s">
        <v>105</v>
      </c>
      <c r="G9" s="4" t="s">
        <v>19</v>
      </c>
    </row>
    <row r="10" spans="1:16" x14ac:dyDescent="0.35">
      <c r="A10" s="2">
        <v>42131</v>
      </c>
      <c r="B10" s="93" t="s">
        <v>105</v>
      </c>
      <c r="C10" t="s">
        <v>8</v>
      </c>
      <c r="D10" t="s">
        <v>18</v>
      </c>
      <c r="E10" t="s">
        <v>10</v>
      </c>
      <c r="F10" s="12" t="s">
        <v>105</v>
      </c>
      <c r="G10" s="4" t="s">
        <v>20</v>
      </c>
    </row>
    <row r="11" spans="1:16" x14ac:dyDescent="0.35">
      <c r="A11" s="2">
        <v>42131</v>
      </c>
      <c r="B11" s="93" t="s">
        <v>105</v>
      </c>
      <c r="C11" t="s">
        <v>8</v>
      </c>
      <c r="D11" t="s">
        <v>18</v>
      </c>
      <c r="E11" t="s">
        <v>10</v>
      </c>
      <c r="F11" s="12" t="s">
        <v>105</v>
      </c>
      <c r="G11" s="4" t="s">
        <v>21</v>
      </c>
    </row>
    <row r="12" spans="1:16" x14ac:dyDescent="0.35">
      <c r="A12" s="2">
        <v>42131</v>
      </c>
      <c r="B12" s="93" t="s">
        <v>105</v>
      </c>
      <c r="C12" t="s">
        <v>8</v>
      </c>
      <c r="D12" t="s">
        <v>26</v>
      </c>
      <c r="E12" t="s">
        <v>10</v>
      </c>
      <c r="F12" s="12" t="s">
        <v>105</v>
      </c>
      <c r="G12" s="4" t="s">
        <v>22</v>
      </c>
    </row>
    <row r="13" spans="1:16" x14ac:dyDescent="0.35">
      <c r="A13" s="2">
        <v>42131</v>
      </c>
      <c r="B13" s="93" t="s">
        <v>105</v>
      </c>
      <c r="C13" t="s">
        <v>8</v>
      </c>
      <c r="D13" t="s">
        <v>26</v>
      </c>
      <c r="E13" t="s">
        <v>10</v>
      </c>
      <c r="F13" s="12" t="s">
        <v>105</v>
      </c>
      <c r="G13" s="4" t="s">
        <v>23</v>
      </c>
    </row>
    <row r="14" spans="1:16" x14ac:dyDescent="0.35">
      <c r="A14" s="2">
        <v>42131</v>
      </c>
      <c r="B14" s="93" t="s">
        <v>105</v>
      </c>
      <c r="C14" t="s">
        <v>8</v>
      </c>
      <c r="D14" t="s">
        <v>26</v>
      </c>
      <c r="E14" t="s">
        <v>10</v>
      </c>
      <c r="F14" s="12" t="s">
        <v>105</v>
      </c>
      <c r="G14" s="4" t="s">
        <v>24</v>
      </c>
    </row>
    <row r="15" spans="1:16" x14ac:dyDescent="0.35">
      <c r="A15" s="2">
        <v>42136</v>
      </c>
      <c r="B15" s="93" t="s">
        <v>105</v>
      </c>
      <c r="C15" t="s">
        <v>3</v>
      </c>
      <c r="D15" t="s">
        <v>4</v>
      </c>
      <c r="E15" t="s">
        <v>10</v>
      </c>
      <c r="F15" s="12" t="s">
        <v>105</v>
      </c>
      <c r="G15" s="4" t="s">
        <v>27</v>
      </c>
    </row>
    <row r="16" spans="1:16" x14ac:dyDescent="0.35">
      <c r="A16" s="2">
        <v>42136</v>
      </c>
      <c r="B16" s="93" t="s">
        <v>105</v>
      </c>
      <c r="C16" t="s">
        <v>3</v>
      </c>
      <c r="D16" t="s">
        <v>4</v>
      </c>
      <c r="E16" t="s">
        <v>10</v>
      </c>
      <c r="F16" s="12" t="s">
        <v>105</v>
      </c>
      <c r="G16" s="4" t="s">
        <v>28</v>
      </c>
    </row>
    <row r="17" spans="1:7" x14ac:dyDescent="0.35">
      <c r="A17" s="2">
        <v>42136</v>
      </c>
      <c r="B17" s="93" t="s">
        <v>105</v>
      </c>
      <c r="C17" t="s">
        <v>3</v>
      </c>
      <c r="D17" t="s">
        <v>4</v>
      </c>
      <c r="E17" t="s">
        <v>10</v>
      </c>
      <c r="F17" s="12" t="s">
        <v>105</v>
      </c>
      <c r="G17" s="4" t="s">
        <v>29</v>
      </c>
    </row>
    <row r="18" spans="1:7" x14ac:dyDescent="0.35">
      <c r="A18" s="2">
        <v>42136</v>
      </c>
      <c r="B18" s="93" t="s">
        <v>105</v>
      </c>
      <c r="C18" t="s">
        <v>3</v>
      </c>
      <c r="D18" t="s">
        <v>5</v>
      </c>
      <c r="E18" t="s">
        <v>10</v>
      </c>
      <c r="F18" s="12" t="s">
        <v>105</v>
      </c>
      <c r="G18" s="4" t="s">
        <v>30</v>
      </c>
    </row>
    <row r="19" spans="1:7" x14ac:dyDescent="0.35">
      <c r="A19" s="2">
        <v>42144</v>
      </c>
      <c r="B19" s="93" t="s">
        <v>105</v>
      </c>
      <c r="C19" t="s">
        <v>8</v>
      </c>
      <c r="D19" t="s">
        <v>18</v>
      </c>
      <c r="E19" t="s">
        <v>10</v>
      </c>
      <c r="F19" s="12" t="s">
        <v>105</v>
      </c>
      <c r="G19" s="4" t="s">
        <v>31</v>
      </c>
    </row>
    <row r="20" spans="1:7" x14ac:dyDescent="0.35">
      <c r="A20" s="2">
        <v>42144</v>
      </c>
      <c r="B20" s="93" t="s">
        <v>105</v>
      </c>
      <c r="C20" t="s">
        <v>8</v>
      </c>
      <c r="D20" t="s">
        <v>18</v>
      </c>
      <c r="E20" t="s">
        <v>10</v>
      </c>
      <c r="F20" s="12" t="s">
        <v>105</v>
      </c>
      <c r="G20" s="4" t="s">
        <v>32</v>
      </c>
    </row>
    <row r="21" spans="1:7" x14ac:dyDescent="0.35">
      <c r="A21" s="2">
        <v>42144</v>
      </c>
      <c r="B21" s="93" t="s">
        <v>105</v>
      </c>
      <c r="C21" t="s">
        <v>8</v>
      </c>
      <c r="D21" t="s">
        <v>18</v>
      </c>
      <c r="E21" t="s">
        <v>10</v>
      </c>
      <c r="F21" s="12" t="s">
        <v>105</v>
      </c>
      <c r="G21" s="4" t="s">
        <v>33</v>
      </c>
    </row>
    <row r="22" spans="1:7" x14ac:dyDescent="0.35">
      <c r="A22" s="2">
        <v>42144</v>
      </c>
      <c r="B22" s="93" t="s">
        <v>105</v>
      </c>
      <c r="C22" t="s">
        <v>8</v>
      </c>
      <c r="D22" t="s">
        <v>14</v>
      </c>
      <c r="E22" t="s">
        <v>10</v>
      </c>
      <c r="F22" s="12" t="s">
        <v>105</v>
      </c>
      <c r="G22" s="4" t="s">
        <v>34</v>
      </c>
    </row>
    <row r="23" spans="1:7" x14ac:dyDescent="0.35">
      <c r="A23" s="2">
        <v>42144</v>
      </c>
      <c r="B23" s="93" t="s">
        <v>105</v>
      </c>
      <c r="C23" t="s">
        <v>8</v>
      </c>
      <c r="D23" t="s">
        <v>14</v>
      </c>
      <c r="E23" t="s">
        <v>10</v>
      </c>
      <c r="F23" s="12" t="s">
        <v>105</v>
      </c>
      <c r="G23" s="4" t="s">
        <v>35</v>
      </c>
    </row>
    <row r="24" spans="1:7" x14ac:dyDescent="0.35">
      <c r="A24" s="2">
        <v>42144</v>
      </c>
      <c r="B24" s="93" t="s">
        <v>105</v>
      </c>
      <c r="C24" t="s">
        <v>8</v>
      </c>
      <c r="D24" t="s">
        <v>14</v>
      </c>
      <c r="E24" t="s">
        <v>10</v>
      </c>
      <c r="F24" s="12" t="s">
        <v>105</v>
      </c>
      <c r="G24" s="4" t="s">
        <v>36</v>
      </c>
    </row>
    <row r="25" spans="1:7" x14ac:dyDescent="0.35">
      <c r="A25" s="2">
        <v>42144</v>
      </c>
      <c r="B25" s="93" t="s">
        <v>105</v>
      </c>
      <c r="C25" t="s">
        <v>8</v>
      </c>
      <c r="D25" t="s">
        <v>9</v>
      </c>
      <c r="E25" t="s">
        <v>10</v>
      </c>
      <c r="F25" s="12" t="s">
        <v>105</v>
      </c>
      <c r="G25" s="4" t="s">
        <v>37</v>
      </c>
    </row>
    <row r="26" spans="1:7" x14ac:dyDescent="0.35">
      <c r="A26" s="2">
        <v>42144</v>
      </c>
      <c r="B26" s="93" t="s">
        <v>105</v>
      </c>
      <c r="C26" t="s">
        <v>8</v>
      </c>
      <c r="D26" t="s">
        <v>9</v>
      </c>
      <c r="E26" t="s">
        <v>10</v>
      </c>
      <c r="F26" s="12" t="s">
        <v>105</v>
      </c>
      <c r="G26" s="4" t="s">
        <v>38</v>
      </c>
    </row>
    <row r="27" spans="1:7" x14ac:dyDescent="0.35">
      <c r="A27" s="2">
        <v>42144</v>
      </c>
      <c r="B27" s="93" t="s">
        <v>105</v>
      </c>
      <c r="C27" t="s">
        <v>8</v>
      </c>
      <c r="D27" t="s">
        <v>9</v>
      </c>
      <c r="E27" t="s">
        <v>10</v>
      </c>
      <c r="F27" s="12" t="s">
        <v>105</v>
      </c>
      <c r="G27" s="4" t="s">
        <v>39</v>
      </c>
    </row>
    <row r="28" spans="1:7" x14ac:dyDescent="0.35">
      <c r="A28" s="2">
        <v>42144</v>
      </c>
      <c r="B28" s="93" t="s">
        <v>105</v>
      </c>
      <c r="C28" t="s">
        <v>8</v>
      </c>
      <c r="D28" t="s">
        <v>26</v>
      </c>
      <c r="E28" t="s">
        <v>10</v>
      </c>
      <c r="F28" s="12" t="s">
        <v>105</v>
      </c>
      <c r="G28" s="4" t="s">
        <v>40</v>
      </c>
    </row>
    <row r="29" spans="1:7" x14ac:dyDescent="0.35">
      <c r="A29" s="2">
        <v>42144</v>
      </c>
      <c r="B29" s="93" t="s">
        <v>105</v>
      </c>
      <c r="C29" t="s">
        <v>8</v>
      </c>
      <c r="D29" t="s">
        <v>26</v>
      </c>
      <c r="E29" t="s">
        <v>10</v>
      </c>
      <c r="F29" s="12" t="s">
        <v>105</v>
      </c>
      <c r="G29" s="4" t="s">
        <v>41</v>
      </c>
    </row>
    <row r="30" spans="1:7" x14ac:dyDescent="0.35">
      <c r="A30" s="2">
        <v>42144</v>
      </c>
      <c r="B30" s="93" t="s">
        <v>105</v>
      </c>
      <c r="C30" t="s">
        <v>8</v>
      </c>
      <c r="D30" t="s">
        <v>26</v>
      </c>
      <c r="E30" t="s">
        <v>10</v>
      </c>
      <c r="F30" s="12" t="s">
        <v>105</v>
      </c>
      <c r="G30" s="4" t="s">
        <v>42</v>
      </c>
    </row>
    <row r="31" spans="1:7" x14ac:dyDescent="0.35">
      <c r="A31" s="2">
        <v>42151</v>
      </c>
      <c r="B31" s="93" t="s">
        <v>105</v>
      </c>
      <c r="C31" t="s">
        <v>3</v>
      </c>
      <c r="D31" t="s">
        <v>5</v>
      </c>
      <c r="E31" t="s">
        <v>10</v>
      </c>
      <c r="F31" s="12" t="s">
        <v>105</v>
      </c>
      <c r="G31" s="4" t="s">
        <v>43</v>
      </c>
    </row>
    <row r="32" spans="1:7" x14ac:dyDescent="0.35">
      <c r="A32" s="2">
        <v>42151</v>
      </c>
      <c r="B32" s="93" t="s">
        <v>105</v>
      </c>
      <c r="C32" t="s">
        <v>3</v>
      </c>
      <c r="D32" t="s">
        <v>5</v>
      </c>
      <c r="E32" t="s">
        <v>10</v>
      </c>
      <c r="F32" s="12" t="s">
        <v>105</v>
      </c>
      <c r="G32" s="4" t="s">
        <v>44</v>
      </c>
    </row>
    <row r="33" spans="1:7" x14ac:dyDescent="0.35">
      <c r="A33" s="2">
        <v>42151</v>
      </c>
      <c r="B33" s="93" t="s">
        <v>105</v>
      </c>
      <c r="C33" t="s">
        <v>3</v>
      </c>
      <c r="D33" t="s">
        <v>5</v>
      </c>
      <c r="E33" t="s">
        <v>10</v>
      </c>
      <c r="F33" s="12" t="s">
        <v>105</v>
      </c>
      <c r="G33" s="4" t="s">
        <v>45</v>
      </c>
    </row>
    <row r="34" spans="1:7" x14ac:dyDescent="0.35">
      <c r="A34" s="2">
        <v>42158</v>
      </c>
      <c r="B34" s="93" t="s">
        <v>105</v>
      </c>
      <c r="C34" t="s">
        <v>8</v>
      </c>
      <c r="D34" t="s">
        <v>9</v>
      </c>
      <c r="E34" t="s">
        <v>10</v>
      </c>
      <c r="F34" s="12" t="s">
        <v>105</v>
      </c>
      <c r="G34" s="4" t="s">
        <v>46</v>
      </c>
    </row>
    <row r="35" spans="1:7" x14ac:dyDescent="0.35">
      <c r="A35" s="2">
        <v>42158</v>
      </c>
      <c r="B35" s="93" t="s">
        <v>105</v>
      </c>
      <c r="C35" t="s">
        <v>8</v>
      </c>
      <c r="D35" t="s">
        <v>9</v>
      </c>
      <c r="E35" t="s">
        <v>10</v>
      </c>
      <c r="F35" s="12" t="s">
        <v>105</v>
      </c>
      <c r="G35" s="4" t="s">
        <v>47</v>
      </c>
    </row>
    <row r="36" spans="1:7" x14ac:dyDescent="0.35">
      <c r="A36" s="2">
        <v>42158</v>
      </c>
      <c r="B36" s="93" t="s">
        <v>105</v>
      </c>
      <c r="C36" t="s">
        <v>8</v>
      </c>
      <c r="D36" t="s">
        <v>9</v>
      </c>
      <c r="E36" t="s">
        <v>10</v>
      </c>
      <c r="F36" s="12" t="s">
        <v>105</v>
      </c>
      <c r="G36" s="4" t="s">
        <v>48</v>
      </c>
    </row>
    <row r="37" spans="1:7" x14ac:dyDescent="0.35">
      <c r="A37" s="2">
        <v>42158</v>
      </c>
      <c r="B37" s="93" t="s">
        <v>105</v>
      </c>
      <c r="C37" t="s">
        <v>8</v>
      </c>
      <c r="D37" t="s">
        <v>14</v>
      </c>
      <c r="E37" t="s">
        <v>10</v>
      </c>
      <c r="F37" s="12" t="s">
        <v>105</v>
      </c>
      <c r="G37" s="4" t="s">
        <v>49</v>
      </c>
    </row>
    <row r="38" spans="1:7" x14ac:dyDescent="0.35">
      <c r="A38" s="2">
        <v>42158</v>
      </c>
      <c r="B38" s="93" t="s">
        <v>105</v>
      </c>
      <c r="C38" t="s">
        <v>8</v>
      </c>
      <c r="D38" t="s">
        <v>14</v>
      </c>
      <c r="E38" t="s">
        <v>10</v>
      </c>
      <c r="F38" s="12" t="s">
        <v>105</v>
      </c>
      <c r="G38" s="4" t="s">
        <v>50</v>
      </c>
    </row>
    <row r="39" spans="1:7" x14ac:dyDescent="0.35">
      <c r="A39" s="2">
        <v>42158</v>
      </c>
      <c r="B39" s="93" t="s">
        <v>105</v>
      </c>
      <c r="C39" t="s">
        <v>8</v>
      </c>
      <c r="D39" t="s">
        <v>14</v>
      </c>
      <c r="E39" t="s">
        <v>10</v>
      </c>
      <c r="F39" s="12" t="s">
        <v>105</v>
      </c>
      <c r="G39" s="4" t="s">
        <v>51</v>
      </c>
    </row>
    <row r="40" spans="1:7" x14ac:dyDescent="0.35">
      <c r="A40" s="2">
        <v>42158</v>
      </c>
      <c r="B40" s="93" t="s">
        <v>105</v>
      </c>
      <c r="C40" t="s">
        <v>8</v>
      </c>
      <c r="D40" t="s">
        <v>18</v>
      </c>
      <c r="E40" t="s">
        <v>10</v>
      </c>
      <c r="F40" s="12" t="s">
        <v>105</v>
      </c>
      <c r="G40" s="4" t="s">
        <v>52</v>
      </c>
    </row>
    <row r="41" spans="1:7" x14ac:dyDescent="0.35">
      <c r="A41" s="2">
        <v>42158</v>
      </c>
      <c r="B41" s="93" t="s">
        <v>105</v>
      </c>
      <c r="C41" t="s">
        <v>8</v>
      </c>
      <c r="D41" t="s">
        <v>18</v>
      </c>
      <c r="E41" t="s">
        <v>10</v>
      </c>
      <c r="F41" s="12" t="s">
        <v>105</v>
      </c>
      <c r="G41" s="4" t="s">
        <v>53</v>
      </c>
    </row>
    <row r="42" spans="1:7" x14ac:dyDescent="0.35">
      <c r="A42" s="2">
        <v>42158</v>
      </c>
      <c r="B42" s="93" t="s">
        <v>105</v>
      </c>
      <c r="C42" t="s">
        <v>8</v>
      </c>
      <c r="D42" t="s">
        <v>18</v>
      </c>
      <c r="E42" t="s">
        <v>10</v>
      </c>
      <c r="F42" s="12" t="s">
        <v>105</v>
      </c>
      <c r="G42" s="4" t="s">
        <v>54</v>
      </c>
    </row>
    <row r="43" spans="1:7" x14ac:dyDescent="0.35">
      <c r="A43" s="2">
        <v>42158</v>
      </c>
      <c r="B43" s="93" t="s">
        <v>105</v>
      </c>
      <c r="C43" t="s">
        <v>8</v>
      </c>
      <c r="D43" t="s">
        <v>25</v>
      </c>
      <c r="E43" t="s">
        <v>10</v>
      </c>
      <c r="F43" s="12" t="s">
        <v>105</v>
      </c>
      <c r="G43" s="4" t="s">
        <v>55</v>
      </c>
    </row>
    <row r="44" spans="1:7" x14ac:dyDescent="0.35">
      <c r="A44" s="2">
        <v>42158</v>
      </c>
      <c r="B44" s="93" t="s">
        <v>105</v>
      </c>
      <c r="C44" t="s">
        <v>8</v>
      </c>
      <c r="D44" t="s">
        <v>25</v>
      </c>
      <c r="E44" t="s">
        <v>10</v>
      </c>
      <c r="F44" s="12" t="s">
        <v>105</v>
      </c>
      <c r="G44" s="4" t="s">
        <v>56</v>
      </c>
    </row>
    <row r="45" spans="1:7" x14ac:dyDescent="0.35">
      <c r="A45" s="2">
        <v>42158</v>
      </c>
      <c r="B45" s="93" t="s">
        <v>105</v>
      </c>
      <c r="C45" t="s">
        <v>8</v>
      </c>
      <c r="D45" t="s">
        <v>26</v>
      </c>
      <c r="E45" t="s">
        <v>10</v>
      </c>
      <c r="F45" s="12" t="s">
        <v>105</v>
      </c>
      <c r="G45" s="4" t="s">
        <v>57</v>
      </c>
    </row>
    <row r="46" spans="1:7" x14ac:dyDescent="0.35">
      <c r="A46" s="2">
        <v>42158</v>
      </c>
      <c r="B46" s="93" t="s">
        <v>105</v>
      </c>
      <c r="C46" t="s">
        <v>8</v>
      </c>
      <c r="D46" t="s">
        <v>26</v>
      </c>
      <c r="E46" t="s">
        <v>10</v>
      </c>
      <c r="F46" s="12" t="s">
        <v>105</v>
      </c>
      <c r="G46" s="4" t="s">
        <v>58</v>
      </c>
    </row>
    <row r="47" spans="1:7" x14ac:dyDescent="0.35">
      <c r="A47" s="2">
        <v>42158</v>
      </c>
      <c r="B47" s="93" t="s">
        <v>105</v>
      </c>
      <c r="C47" t="s">
        <v>8</v>
      </c>
      <c r="D47" t="s">
        <v>26</v>
      </c>
      <c r="E47" t="s">
        <v>10</v>
      </c>
      <c r="F47" s="12" t="s">
        <v>105</v>
      </c>
      <c r="G47" s="4" t="s">
        <v>59</v>
      </c>
    </row>
    <row r="48" spans="1:7" x14ac:dyDescent="0.35">
      <c r="A48" s="2">
        <v>42158</v>
      </c>
      <c r="B48" s="93" t="s">
        <v>105</v>
      </c>
      <c r="C48" t="s">
        <v>8</v>
      </c>
      <c r="D48" t="s">
        <v>60</v>
      </c>
      <c r="E48" t="s">
        <v>10</v>
      </c>
      <c r="F48" s="12" t="s">
        <v>105</v>
      </c>
      <c r="G48" s="4" t="s">
        <v>61</v>
      </c>
    </row>
    <row r="49" spans="1:7" x14ac:dyDescent="0.35">
      <c r="A49" s="2">
        <v>42158</v>
      </c>
      <c r="B49" s="93" t="s">
        <v>105</v>
      </c>
      <c r="C49" t="s">
        <v>8</v>
      </c>
      <c r="D49" t="s">
        <v>60</v>
      </c>
      <c r="E49" t="s">
        <v>10</v>
      </c>
      <c r="F49" s="12" t="s">
        <v>105</v>
      </c>
      <c r="G49" s="4" t="s">
        <v>62</v>
      </c>
    </row>
    <row r="50" spans="1:7" x14ac:dyDescent="0.35">
      <c r="A50" s="2">
        <v>42158</v>
      </c>
      <c r="B50" s="93" t="s">
        <v>105</v>
      </c>
      <c r="C50" t="s">
        <v>8</v>
      </c>
      <c r="D50" t="s">
        <v>60</v>
      </c>
      <c r="E50" t="s">
        <v>10</v>
      </c>
      <c r="F50" s="12" t="s">
        <v>105</v>
      </c>
      <c r="G50" s="4" t="s">
        <v>63</v>
      </c>
    </row>
    <row r="51" spans="1:7" x14ac:dyDescent="0.35">
      <c r="A51" s="2">
        <v>42158</v>
      </c>
      <c r="B51" s="93" t="s">
        <v>105</v>
      </c>
      <c r="C51" t="s">
        <v>8</v>
      </c>
      <c r="D51" t="s">
        <v>64</v>
      </c>
      <c r="E51" t="s">
        <v>10</v>
      </c>
      <c r="F51" s="12" t="s">
        <v>105</v>
      </c>
      <c r="G51" s="4" t="s">
        <v>65</v>
      </c>
    </row>
    <row r="52" spans="1:7" x14ac:dyDescent="0.35">
      <c r="A52" s="2">
        <v>42158</v>
      </c>
      <c r="B52" s="93" t="s">
        <v>105</v>
      </c>
      <c r="C52" t="s">
        <v>8</v>
      </c>
      <c r="D52" t="s">
        <v>64</v>
      </c>
      <c r="E52" t="s">
        <v>10</v>
      </c>
      <c r="F52" s="12" t="s">
        <v>105</v>
      </c>
      <c r="G52" s="4" t="s">
        <v>66</v>
      </c>
    </row>
    <row r="53" spans="1:7" x14ac:dyDescent="0.35">
      <c r="A53" s="2">
        <v>42158</v>
      </c>
      <c r="B53" s="93" t="s">
        <v>105</v>
      </c>
      <c r="C53" t="s">
        <v>8</v>
      </c>
      <c r="D53" t="s">
        <v>69</v>
      </c>
      <c r="E53" t="s">
        <v>10</v>
      </c>
      <c r="F53" s="12" t="s">
        <v>105</v>
      </c>
      <c r="G53" s="4" t="s">
        <v>67</v>
      </c>
    </row>
    <row r="54" spans="1:7" x14ac:dyDescent="0.35">
      <c r="A54" s="2">
        <v>42158</v>
      </c>
      <c r="B54" s="93" t="s">
        <v>105</v>
      </c>
      <c r="C54" t="s">
        <v>8</v>
      </c>
      <c r="D54" t="s">
        <v>69</v>
      </c>
      <c r="E54" t="s">
        <v>10</v>
      </c>
      <c r="F54" s="12" t="s">
        <v>105</v>
      </c>
      <c r="G54" s="4" t="s">
        <v>68</v>
      </c>
    </row>
    <row r="55" spans="1:7" x14ac:dyDescent="0.35">
      <c r="A55" s="2">
        <v>42165</v>
      </c>
      <c r="B55" s="93" t="s">
        <v>105</v>
      </c>
      <c r="C55" t="s">
        <v>8</v>
      </c>
      <c r="D55" t="s">
        <v>25</v>
      </c>
      <c r="E55" t="s">
        <v>10</v>
      </c>
      <c r="F55" s="12" t="s">
        <v>105</v>
      </c>
      <c r="G55" s="4" t="s">
        <v>2339</v>
      </c>
    </row>
    <row r="56" spans="1:7" x14ac:dyDescent="0.35">
      <c r="A56" s="2">
        <v>42165</v>
      </c>
      <c r="B56" s="93" t="s">
        <v>105</v>
      </c>
      <c r="C56" t="s">
        <v>8</v>
      </c>
      <c r="D56" t="s">
        <v>9</v>
      </c>
      <c r="E56" t="s">
        <v>74</v>
      </c>
      <c r="F56" s="12" t="s">
        <v>82</v>
      </c>
      <c r="G56" s="4" t="s">
        <v>76</v>
      </c>
    </row>
    <row r="57" spans="1:7" x14ac:dyDescent="0.35">
      <c r="A57" s="2">
        <v>42165</v>
      </c>
      <c r="B57" s="93" t="s">
        <v>105</v>
      </c>
      <c r="C57" t="s">
        <v>8</v>
      </c>
      <c r="D57" t="s">
        <v>9</v>
      </c>
      <c r="E57" t="s">
        <v>74</v>
      </c>
      <c r="F57" s="12" t="s">
        <v>75</v>
      </c>
      <c r="G57" s="4" t="s">
        <v>77</v>
      </c>
    </row>
    <row r="58" spans="1:7" x14ac:dyDescent="0.35">
      <c r="A58" s="2">
        <v>42165</v>
      </c>
      <c r="B58" s="93" t="s">
        <v>105</v>
      </c>
      <c r="C58" t="s">
        <v>8</v>
      </c>
      <c r="D58" t="s">
        <v>9</v>
      </c>
      <c r="E58" t="s">
        <v>10</v>
      </c>
      <c r="F58" s="12" t="s">
        <v>105</v>
      </c>
      <c r="G58" s="4" t="s">
        <v>71</v>
      </c>
    </row>
    <row r="59" spans="1:7" x14ac:dyDescent="0.35">
      <c r="A59" s="2">
        <v>42165</v>
      </c>
      <c r="B59" s="93" t="s">
        <v>105</v>
      </c>
      <c r="C59" t="s">
        <v>8</v>
      </c>
      <c r="D59" t="s">
        <v>9</v>
      </c>
      <c r="E59" t="s">
        <v>10</v>
      </c>
      <c r="F59" s="12" t="s">
        <v>105</v>
      </c>
      <c r="G59" s="4" t="s">
        <v>72</v>
      </c>
    </row>
    <row r="60" spans="1:7" x14ac:dyDescent="0.35">
      <c r="A60" s="2">
        <v>42165</v>
      </c>
      <c r="B60" s="93" t="s">
        <v>105</v>
      </c>
      <c r="C60" t="s">
        <v>8</v>
      </c>
      <c r="D60" t="s">
        <v>9</v>
      </c>
      <c r="E60" t="s">
        <v>10</v>
      </c>
      <c r="F60" s="12" t="s">
        <v>105</v>
      </c>
      <c r="G60" s="4" t="s">
        <v>73</v>
      </c>
    </row>
    <row r="61" spans="1:7" x14ac:dyDescent="0.35">
      <c r="A61" s="2">
        <v>42165</v>
      </c>
      <c r="B61" s="93" t="s">
        <v>105</v>
      </c>
      <c r="C61" t="s">
        <v>8</v>
      </c>
      <c r="D61" t="s">
        <v>9</v>
      </c>
      <c r="E61" t="s">
        <v>78</v>
      </c>
      <c r="F61" s="12" t="s">
        <v>105</v>
      </c>
      <c r="G61" s="4" t="s">
        <v>79</v>
      </c>
    </row>
    <row r="62" spans="1:7" x14ac:dyDescent="0.35">
      <c r="A62" s="2">
        <v>42165</v>
      </c>
      <c r="B62" s="93" t="s">
        <v>105</v>
      </c>
      <c r="C62" t="s">
        <v>8</v>
      </c>
      <c r="D62" t="s">
        <v>9</v>
      </c>
      <c r="E62" t="s">
        <v>78</v>
      </c>
      <c r="F62" s="12" t="s">
        <v>105</v>
      </c>
      <c r="G62" s="4" t="s">
        <v>80</v>
      </c>
    </row>
    <row r="63" spans="1:7" x14ac:dyDescent="0.35">
      <c r="A63" s="2">
        <v>42165</v>
      </c>
      <c r="B63" s="93" t="s">
        <v>105</v>
      </c>
      <c r="C63" t="s">
        <v>8</v>
      </c>
      <c r="D63" t="s">
        <v>9</v>
      </c>
      <c r="E63" t="s">
        <v>78</v>
      </c>
      <c r="F63" s="12" t="s">
        <v>105</v>
      </c>
      <c r="G63" s="4" t="s">
        <v>81</v>
      </c>
    </row>
    <row r="64" spans="1:7" x14ac:dyDescent="0.35">
      <c r="A64" s="2">
        <v>42165</v>
      </c>
      <c r="B64" s="93" t="s">
        <v>105</v>
      </c>
      <c r="C64" t="s">
        <v>8</v>
      </c>
      <c r="D64" t="s">
        <v>26</v>
      </c>
      <c r="E64" t="s">
        <v>74</v>
      </c>
      <c r="F64" s="12" t="s">
        <v>82</v>
      </c>
      <c r="G64" s="4" t="s">
        <v>83</v>
      </c>
    </row>
    <row r="65" spans="1:7" x14ac:dyDescent="0.35">
      <c r="A65" s="2">
        <v>42165</v>
      </c>
      <c r="B65" s="93" t="s">
        <v>105</v>
      </c>
      <c r="C65" t="s">
        <v>8</v>
      </c>
      <c r="D65" t="s">
        <v>26</v>
      </c>
      <c r="E65" t="s">
        <v>74</v>
      </c>
      <c r="F65" s="12" t="s">
        <v>75</v>
      </c>
      <c r="G65" s="4" t="s">
        <v>84</v>
      </c>
    </row>
    <row r="66" spans="1:7" x14ac:dyDescent="0.35">
      <c r="A66" s="2">
        <v>42165</v>
      </c>
      <c r="B66" s="93" t="s">
        <v>105</v>
      </c>
      <c r="C66" t="s">
        <v>8</v>
      </c>
      <c r="D66" t="s">
        <v>26</v>
      </c>
      <c r="E66" t="s">
        <v>10</v>
      </c>
      <c r="F66" s="12" t="s">
        <v>105</v>
      </c>
      <c r="G66" s="4" t="s">
        <v>94</v>
      </c>
    </row>
    <row r="67" spans="1:7" x14ac:dyDescent="0.35">
      <c r="A67" s="2">
        <v>42165</v>
      </c>
      <c r="B67" s="93" t="s">
        <v>105</v>
      </c>
      <c r="C67" t="s">
        <v>8</v>
      </c>
      <c r="D67" t="s">
        <v>26</v>
      </c>
      <c r="E67" t="s">
        <v>10</v>
      </c>
      <c r="F67" s="12" t="s">
        <v>105</v>
      </c>
      <c r="G67" s="4" t="s">
        <v>95</v>
      </c>
    </row>
    <row r="68" spans="1:7" x14ac:dyDescent="0.35">
      <c r="A68" s="2">
        <v>42165</v>
      </c>
      <c r="B68" s="93" t="s">
        <v>105</v>
      </c>
      <c r="C68" t="s">
        <v>8</v>
      </c>
      <c r="D68" t="s">
        <v>26</v>
      </c>
      <c r="E68" t="s">
        <v>10</v>
      </c>
      <c r="F68" s="12" t="s">
        <v>105</v>
      </c>
      <c r="G68" s="4" t="s">
        <v>96</v>
      </c>
    </row>
    <row r="69" spans="1:7" x14ac:dyDescent="0.35">
      <c r="A69" s="2">
        <v>42165</v>
      </c>
      <c r="B69" s="93" t="s">
        <v>105</v>
      </c>
      <c r="C69" t="s">
        <v>8</v>
      </c>
      <c r="D69" t="s">
        <v>26</v>
      </c>
      <c r="E69" t="s">
        <v>78</v>
      </c>
      <c r="F69" s="12" t="s">
        <v>105</v>
      </c>
      <c r="G69" s="4" t="s">
        <v>85</v>
      </c>
    </row>
    <row r="70" spans="1:7" x14ac:dyDescent="0.35">
      <c r="A70" s="2">
        <v>42165</v>
      </c>
      <c r="B70" s="93" t="s">
        <v>105</v>
      </c>
      <c r="C70" t="s">
        <v>8</v>
      </c>
      <c r="D70" t="s">
        <v>26</v>
      </c>
      <c r="E70" t="s">
        <v>78</v>
      </c>
      <c r="F70" s="12" t="s">
        <v>105</v>
      </c>
      <c r="G70" s="4" t="s">
        <v>86</v>
      </c>
    </row>
    <row r="71" spans="1:7" x14ac:dyDescent="0.35">
      <c r="A71" s="2">
        <v>42165</v>
      </c>
      <c r="B71" s="93" t="s">
        <v>105</v>
      </c>
      <c r="C71" t="s">
        <v>8</v>
      </c>
      <c r="D71" t="s">
        <v>26</v>
      </c>
      <c r="E71" t="s">
        <v>78</v>
      </c>
      <c r="F71" s="12" t="s">
        <v>105</v>
      </c>
      <c r="G71" s="4" t="s">
        <v>87</v>
      </c>
    </row>
    <row r="72" spans="1:7" x14ac:dyDescent="0.35">
      <c r="A72" s="2">
        <v>42165</v>
      </c>
      <c r="B72" s="93" t="s">
        <v>105</v>
      </c>
      <c r="C72" t="s">
        <v>8</v>
      </c>
      <c r="D72" t="s">
        <v>14</v>
      </c>
      <c r="E72" t="s">
        <v>10</v>
      </c>
      <c r="F72" s="12" t="s">
        <v>105</v>
      </c>
      <c r="G72" s="4" t="s">
        <v>88</v>
      </c>
    </row>
    <row r="73" spans="1:7" x14ac:dyDescent="0.35">
      <c r="A73" s="2">
        <v>42165</v>
      </c>
      <c r="B73" s="93" t="s">
        <v>105</v>
      </c>
      <c r="C73" t="s">
        <v>8</v>
      </c>
      <c r="D73" t="s">
        <v>14</v>
      </c>
      <c r="E73" t="s">
        <v>10</v>
      </c>
      <c r="F73" s="12" t="s">
        <v>105</v>
      </c>
      <c r="G73" s="4" t="s">
        <v>89</v>
      </c>
    </row>
    <row r="74" spans="1:7" x14ac:dyDescent="0.35">
      <c r="A74" s="2">
        <v>42165</v>
      </c>
      <c r="B74" s="93" t="s">
        <v>105</v>
      </c>
      <c r="C74" t="s">
        <v>8</v>
      </c>
      <c r="D74" t="s">
        <v>14</v>
      </c>
      <c r="E74" t="s">
        <v>10</v>
      </c>
      <c r="F74" s="12" t="s">
        <v>105</v>
      </c>
      <c r="G74" s="4" t="s">
        <v>90</v>
      </c>
    </row>
    <row r="75" spans="1:7" x14ac:dyDescent="0.35">
      <c r="A75" s="2">
        <v>42165</v>
      </c>
      <c r="B75" s="93" t="s">
        <v>105</v>
      </c>
      <c r="C75" t="s">
        <v>8</v>
      </c>
      <c r="D75" t="s">
        <v>18</v>
      </c>
      <c r="E75" t="s">
        <v>10</v>
      </c>
      <c r="F75" s="12" t="s">
        <v>105</v>
      </c>
      <c r="G75" s="4" t="s">
        <v>91</v>
      </c>
    </row>
    <row r="76" spans="1:7" x14ac:dyDescent="0.35">
      <c r="A76" s="2">
        <v>42165</v>
      </c>
      <c r="B76" s="93" t="s">
        <v>105</v>
      </c>
      <c r="C76" t="s">
        <v>8</v>
      </c>
      <c r="D76" t="s">
        <v>18</v>
      </c>
      <c r="E76" t="s">
        <v>10</v>
      </c>
      <c r="F76" s="12" t="s">
        <v>105</v>
      </c>
      <c r="G76" s="4" t="s">
        <v>92</v>
      </c>
    </row>
    <row r="77" spans="1:7" x14ac:dyDescent="0.35">
      <c r="A77" s="2">
        <v>42165</v>
      </c>
      <c r="B77" s="93" t="s">
        <v>105</v>
      </c>
      <c r="C77" t="s">
        <v>8</v>
      </c>
      <c r="D77" t="s">
        <v>18</v>
      </c>
      <c r="E77" t="s">
        <v>10</v>
      </c>
      <c r="F77" s="12" t="s">
        <v>105</v>
      </c>
      <c r="G77" s="4" t="s">
        <v>93</v>
      </c>
    </row>
    <row r="78" spans="1:7" x14ac:dyDescent="0.35">
      <c r="A78" s="2">
        <v>42179</v>
      </c>
      <c r="B78" s="93" t="s">
        <v>105</v>
      </c>
      <c r="C78" t="s">
        <v>3</v>
      </c>
      <c r="D78" t="s">
        <v>4</v>
      </c>
      <c r="E78" t="s">
        <v>74</v>
      </c>
      <c r="F78" s="12" t="s">
        <v>82</v>
      </c>
      <c r="G78" s="4" t="s">
        <v>2304</v>
      </c>
    </row>
    <row r="79" spans="1:7" x14ac:dyDescent="0.35">
      <c r="A79" s="2">
        <v>42179</v>
      </c>
      <c r="B79" s="93" t="s">
        <v>105</v>
      </c>
      <c r="C79" t="s">
        <v>3</v>
      </c>
      <c r="D79" t="s">
        <v>5</v>
      </c>
      <c r="E79" t="s">
        <v>74</v>
      </c>
      <c r="F79" s="12" t="s">
        <v>82</v>
      </c>
      <c r="G79" s="4" t="s">
        <v>2308</v>
      </c>
    </row>
    <row r="80" spans="1:7" x14ac:dyDescent="0.35">
      <c r="A80" s="2">
        <v>42179</v>
      </c>
      <c r="B80" s="93" t="s">
        <v>105</v>
      </c>
      <c r="C80" t="s">
        <v>3</v>
      </c>
      <c r="D80" t="s">
        <v>5</v>
      </c>
      <c r="E80" t="s">
        <v>74</v>
      </c>
      <c r="F80" s="12" t="s">
        <v>82</v>
      </c>
      <c r="G80" s="4" t="s">
        <v>2309</v>
      </c>
    </row>
    <row r="81" spans="1:7" x14ac:dyDescent="0.35">
      <c r="A81" s="2">
        <v>42179</v>
      </c>
      <c r="B81" s="93" t="s">
        <v>105</v>
      </c>
      <c r="C81" t="s">
        <v>3</v>
      </c>
      <c r="D81" t="s">
        <v>119</v>
      </c>
      <c r="E81" t="s">
        <v>74</v>
      </c>
      <c r="F81" s="75">
        <v>35.1</v>
      </c>
      <c r="G81" s="4" t="s">
        <v>121</v>
      </c>
    </row>
    <row r="82" spans="1:7" x14ac:dyDescent="0.35">
      <c r="A82" s="2">
        <v>42179</v>
      </c>
      <c r="B82" s="93" t="s">
        <v>105</v>
      </c>
      <c r="C82" t="s">
        <v>3</v>
      </c>
      <c r="D82" t="s">
        <v>119</v>
      </c>
      <c r="E82" t="s">
        <v>74</v>
      </c>
      <c r="F82" s="75">
        <v>31.82</v>
      </c>
      <c r="G82" s="4" t="s">
        <v>122</v>
      </c>
    </row>
    <row r="83" spans="1:7" x14ac:dyDescent="0.35">
      <c r="A83" s="2">
        <v>42179</v>
      </c>
      <c r="B83" s="93" t="s">
        <v>105</v>
      </c>
      <c r="C83" t="s">
        <v>3</v>
      </c>
      <c r="D83" t="s">
        <v>119</v>
      </c>
      <c r="E83" t="s">
        <v>74</v>
      </c>
      <c r="F83" s="75">
        <v>28.54</v>
      </c>
      <c r="G83" s="4" t="s">
        <v>123</v>
      </c>
    </row>
    <row r="84" spans="1:7" x14ac:dyDescent="0.35">
      <c r="A84" s="2">
        <v>42179</v>
      </c>
      <c r="B84" s="93" t="s">
        <v>105</v>
      </c>
      <c r="C84" t="s">
        <v>3</v>
      </c>
      <c r="D84" t="s">
        <v>119</v>
      </c>
      <c r="E84" t="s">
        <v>74</v>
      </c>
      <c r="F84" s="75">
        <v>25.26</v>
      </c>
      <c r="G84" s="4" t="s">
        <v>124</v>
      </c>
    </row>
    <row r="85" spans="1:7" x14ac:dyDescent="0.35">
      <c r="A85" s="2">
        <v>42179</v>
      </c>
      <c r="B85" s="93" t="s">
        <v>105</v>
      </c>
      <c r="C85" t="s">
        <v>3</v>
      </c>
      <c r="D85" t="s">
        <v>119</v>
      </c>
      <c r="E85" t="s">
        <v>74</v>
      </c>
      <c r="F85" s="75">
        <v>21.98</v>
      </c>
      <c r="G85" s="4" t="s">
        <v>125</v>
      </c>
    </row>
    <row r="86" spans="1:7" x14ac:dyDescent="0.35">
      <c r="A86" s="2">
        <v>42179</v>
      </c>
      <c r="B86" s="93" t="s">
        <v>105</v>
      </c>
      <c r="C86" t="s">
        <v>3</v>
      </c>
      <c r="D86" t="s">
        <v>119</v>
      </c>
      <c r="E86" t="s">
        <v>74</v>
      </c>
      <c r="F86" s="75">
        <v>18.7</v>
      </c>
      <c r="G86" s="4" t="s">
        <v>126</v>
      </c>
    </row>
    <row r="87" spans="1:7" x14ac:dyDescent="0.35">
      <c r="A87" s="2">
        <v>42179</v>
      </c>
      <c r="B87" s="93" t="s">
        <v>105</v>
      </c>
      <c r="C87" t="s">
        <v>3</v>
      </c>
      <c r="D87" t="s">
        <v>119</v>
      </c>
      <c r="E87" t="s">
        <v>74</v>
      </c>
      <c r="F87" s="75">
        <v>15.42</v>
      </c>
      <c r="G87" s="4" t="s">
        <v>127</v>
      </c>
    </row>
    <row r="88" spans="1:7" x14ac:dyDescent="0.35">
      <c r="A88" s="2">
        <v>42179</v>
      </c>
      <c r="B88" s="93" t="s">
        <v>105</v>
      </c>
      <c r="C88" t="s">
        <v>3</v>
      </c>
      <c r="D88" t="s">
        <v>119</v>
      </c>
      <c r="E88" t="s">
        <v>74</v>
      </c>
      <c r="F88" s="75">
        <v>12.14</v>
      </c>
      <c r="G88" s="4" t="s">
        <v>128</v>
      </c>
    </row>
    <row r="89" spans="1:7" x14ac:dyDescent="0.35">
      <c r="A89" s="2">
        <v>42179</v>
      </c>
      <c r="B89" s="93" t="s">
        <v>105</v>
      </c>
      <c r="C89" t="s">
        <v>3</v>
      </c>
      <c r="D89" t="s">
        <v>119</v>
      </c>
      <c r="E89" t="s">
        <v>74</v>
      </c>
      <c r="F89" s="75">
        <v>8.86</v>
      </c>
      <c r="G89" s="4" t="s">
        <v>129</v>
      </c>
    </row>
    <row r="90" spans="1:7" x14ac:dyDescent="0.35">
      <c r="A90" s="2">
        <v>42179</v>
      </c>
      <c r="B90" s="93" t="s">
        <v>105</v>
      </c>
      <c r="C90" t="s">
        <v>3</v>
      </c>
      <c r="D90" t="s">
        <v>119</v>
      </c>
      <c r="E90" t="s">
        <v>74</v>
      </c>
      <c r="F90" s="75">
        <v>5.58</v>
      </c>
      <c r="G90" s="4" t="s">
        <v>130</v>
      </c>
    </row>
    <row r="91" spans="1:7" x14ac:dyDescent="0.35">
      <c r="A91" s="2">
        <v>42179</v>
      </c>
      <c r="B91" s="93" t="s">
        <v>105</v>
      </c>
      <c r="C91" t="s">
        <v>3</v>
      </c>
      <c r="D91" t="s">
        <v>119</v>
      </c>
      <c r="E91" t="s">
        <v>74</v>
      </c>
      <c r="F91" s="12" t="s">
        <v>82</v>
      </c>
      <c r="G91" s="4" t="s">
        <v>131</v>
      </c>
    </row>
    <row r="92" spans="1:7" x14ac:dyDescent="0.35">
      <c r="A92" s="2">
        <v>42179</v>
      </c>
      <c r="B92" s="93" t="s">
        <v>105</v>
      </c>
      <c r="C92" t="s">
        <v>3</v>
      </c>
      <c r="D92" t="s">
        <v>119</v>
      </c>
      <c r="E92" t="s">
        <v>136</v>
      </c>
      <c r="F92" s="12" t="s">
        <v>105</v>
      </c>
      <c r="G92" s="4" t="s">
        <v>137</v>
      </c>
    </row>
    <row r="93" spans="1:7" x14ac:dyDescent="0.35">
      <c r="A93" s="2">
        <v>42179</v>
      </c>
      <c r="B93" s="93" t="s">
        <v>105</v>
      </c>
      <c r="C93" t="s">
        <v>3</v>
      </c>
      <c r="D93" t="s">
        <v>119</v>
      </c>
      <c r="E93" t="s">
        <v>136</v>
      </c>
      <c r="F93" s="12" t="s">
        <v>105</v>
      </c>
      <c r="G93" s="4" t="s">
        <v>138</v>
      </c>
    </row>
    <row r="94" spans="1:7" x14ac:dyDescent="0.35">
      <c r="A94" s="2">
        <v>42179</v>
      </c>
      <c r="B94" s="93" t="s">
        <v>105</v>
      </c>
      <c r="C94" t="s">
        <v>3</v>
      </c>
      <c r="D94" t="s">
        <v>119</v>
      </c>
      <c r="E94" t="s">
        <v>136</v>
      </c>
      <c r="F94" s="12" t="s">
        <v>105</v>
      </c>
      <c r="G94" s="4" t="s">
        <v>139</v>
      </c>
    </row>
    <row r="95" spans="1:7" x14ac:dyDescent="0.35">
      <c r="A95" s="2">
        <v>42179</v>
      </c>
      <c r="B95" s="93" t="s">
        <v>105</v>
      </c>
      <c r="C95" t="s">
        <v>3</v>
      </c>
      <c r="D95" t="s">
        <v>5</v>
      </c>
      <c r="E95" t="s">
        <v>136</v>
      </c>
      <c r="F95" s="12" t="s">
        <v>105</v>
      </c>
      <c r="G95" s="4" t="s">
        <v>140</v>
      </c>
    </row>
    <row r="96" spans="1:7" x14ac:dyDescent="0.35">
      <c r="A96" s="2">
        <v>42179</v>
      </c>
      <c r="B96" s="93" t="s">
        <v>105</v>
      </c>
      <c r="C96" t="s">
        <v>3</v>
      </c>
      <c r="D96" t="s">
        <v>5</v>
      </c>
      <c r="E96" t="s">
        <v>136</v>
      </c>
      <c r="F96" s="12" t="s">
        <v>105</v>
      </c>
      <c r="G96" s="4" t="s">
        <v>141</v>
      </c>
    </row>
    <row r="97" spans="1:7" x14ac:dyDescent="0.35">
      <c r="A97" s="2">
        <v>42179</v>
      </c>
      <c r="B97" s="93" t="s">
        <v>105</v>
      </c>
      <c r="C97" t="s">
        <v>3</v>
      </c>
      <c r="D97" t="s">
        <v>5</v>
      </c>
      <c r="E97" t="s">
        <v>136</v>
      </c>
      <c r="F97" s="12" t="s">
        <v>105</v>
      </c>
      <c r="G97" s="4" t="s">
        <v>142</v>
      </c>
    </row>
    <row r="98" spans="1:7" x14ac:dyDescent="0.35">
      <c r="A98" s="2">
        <v>42179</v>
      </c>
      <c r="B98" s="93" t="s">
        <v>105</v>
      </c>
      <c r="C98" t="s">
        <v>3</v>
      </c>
      <c r="D98" t="s">
        <v>5</v>
      </c>
      <c r="E98" t="s">
        <v>144</v>
      </c>
      <c r="F98" s="12" t="s">
        <v>105</v>
      </c>
      <c r="G98" s="4" t="s">
        <v>145</v>
      </c>
    </row>
    <row r="99" spans="1:7" x14ac:dyDescent="0.35">
      <c r="A99" s="2">
        <v>42179</v>
      </c>
      <c r="B99" s="93" t="s">
        <v>105</v>
      </c>
      <c r="C99" t="s">
        <v>3</v>
      </c>
      <c r="D99" t="s">
        <v>5</v>
      </c>
      <c r="E99" t="s">
        <v>144</v>
      </c>
      <c r="F99" s="12" t="s">
        <v>105</v>
      </c>
      <c r="G99" s="4" t="s">
        <v>146</v>
      </c>
    </row>
    <row r="100" spans="1:7" x14ac:dyDescent="0.35">
      <c r="A100" s="2">
        <v>42179</v>
      </c>
      <c r="B100" s="93" t="s">
        <v>105</v>
      </c>
      <c r="C100" t="s">
        <v>3</v>
      </c>
      <c r="D100" t="s">
        <v>5</v>
      </c>
      <c r="E100" t="s">
        <v>144</v>
      </c>
      <c r="F100" s="12" t="s">
        <v>105</v>
      </c>
      <c r="G100" s="4" t="s">
        <v>147</v>
      </c>
    </row>
    <row r="101" spans="1:7" x14ac:dyDescent="0.35">
      <c r="A101" s="2">
        <v>42179</v>
      </c>
      <c r="B101" s="93" t="s">
        <v>105</v>
      </c>
      <c r="C101" t="s">
        <v>3</v>
      </c>
      <c r="D101" t="s">
        <v>4</v>
      </c>
      <c r="E101" t="s">
        <v>144</v>
      </c>
      <c r="F101" s="12" t="s">
        <v>105</v>
      </c>
      <c r="G101" s="4" t="s">
        <v>70</v>
      </c>
    </row>
    <row r="102" spans="1:7" x14ac:dyDescent="0.35">
      <c r="A102" s="2">
        <v>42179</v>
      </c>
      <c r="B102" s="93" t="s">
        <v>105</v>
      </c>
      <c r="C102" t="s">
        <v>3</v>
      </c>
      <c r="D102" t="s">
        <v>4</v>
      </c>
      <c r="E102" t="s">
        <v>144</v>
      </c>
      <c r="F102" s="12" t="s">
        <v>105</v>
      </c>
      <c r="G102" s="4" t="s">
        <v>149</v>
      </c>
    </row>
    <row r="103" spans="1:7" x14ac:dyDescent="0.35">
      <c r="A103" s="2">
        <v>42179</v>
      </c>
      <c r="B103" s="93" t="s">
        <v>105</v>
      </c>
      <c r="C103" t="s">
        <v>3</v>
      </c>
      <c r="D103" t="s">
        <v>4</v>
      </c>
      <c r="E103" t="s">
        <v>144</v>
      </c>
      <c r="F103" s="12" t="s">
        <v>105</v>
      </c>
      <c r="G103" s="4" t="s">
        <v>148</v>
      </c>
    </row>
    <row r="104" spans="1:7" x14ac:dyDescent="0.35">
      <c r="A104" s="2">
        <v>42179</v>
      </c>
      <c r="B104" s="93" t="s">
        <v>105</v>
      </c>
      <c r="C104" t="s">
        <v>3</v>
      </c>
      <c r="D104" t="s">
        <v>119</v>
      </c>
      <c r="E104" t="s">
        <v>78</v>
      </c>
      <c r="F104" s="12" t="s">
        <v>105</v>
      </c>
      <c r="G104" s="4" t="s">
        <v>2305</v>
      </c>
    </row>
    <row r="105" spans="1:7" x14ac:dyDescent="0.35">
      <c r="A105" s="2">
        <v>42179</v>
      </c>
      <c r="B105" s="93" t="s">
        <v>105</v>
      </c>
      <c r="C105" t="s">
        <v>3</v>
      </c>
      <c r="D105" t="s">
        <v>119</v>
      </c>
      <c r="E105" t="s">
        <v>78</v>
      </c>
      <c r="F105" s="12" t="s">
        <v>105</v>
      </c>
      <c r="G105" s="4" t="s">
        <v>2306</v>
      </c>
    </row>
    <row r="106" spans="1:7" x14ac:dyDescent="0.35">
      <c r="A106" s="2">
        <v>42179</v>
      </c>
      <c r="B106" s="93" t="s">
        <v>105</v>
      </c>
      <c r="C106" t="s">
        <v>3</v>
      </c>
      <c r="D106" t="s">
        <v>119</v>
      </c>
      <c r="E106" t="s">
        <v>78</v>
      </c>
      <c r="F106" s="12" t="s">
        <v>105</v>
      </c>
      <c r="G106" s="4" t="s">
        <v>2307</v>
      </c>
    </row>
    <row r="107" spans="1:7" x14ac:dyDescent="0.35">
      <c r="A107" s="2">
        <v>42186</v>
      </c>
      <c r="B107" s="93" t="s">
        <v>105</v>
      </c>
      <c r="C107" t="s">
        <v>8</v>
      </c>
      <c r="D107" t="s">
        <v>9</v>
      </c>
      <c r="E107" t="s">
        <v>136</v>
      </c>
      <c r="F107" s="12" t="s">
        <v>105</v>
      </c>
      <c r="G107" s="4" t="s">
        <v>150</v>
      </c>
    </row>
    <row r="108" spans="1:7" x14ac:dyDescent="0.35">
      <c r="A108" s="2">
        <v>42186</v>
      </c>
      <c r="B108" s="93" t="s">
        <v>105</v>
      </c>
      <c r="C108" t="s">
        <v>8</v>
      </c>
      <c r="D108" t="s">
        <v>9</v>
      </c>
      <c r="E108" t="s">
        <v>136</v>
      </c>
      <c r="F108" s="12" t="s">
        <v>105</v>
      </c>
      <c r="G108" s="4" t="s">
        <v>151</v>
      </c>
    </row>
    <row r="109" spans="1:7" x14ac:dyDescent="0.35">
      <c r="A109" s="2">
        <v>42186</v>
      </c>
      <c r="B109" s="93" t="s">
        <v>105</v>
      </c>
      <c r="C109" t="s">
        <v>8</v>
      </c>
      <c r="D109" t="s">
        <v>9</v>
      </c>
      <c r="E109" t="s">
        <v>136</v>
      </c>
      <c r="F109" s="12" t="s">
        <v>105</v>
      </c>
      <c r="G109" s="4" t="s">
        <v>152</v>
      </c>
    </row>
    <row r="110" spans="1:7" x14ac:dyDescent="0.35">
      <c r="A110" s="2">
        <v>42186</v>
      </c>
      <c r="B110" s="93" t="s">
        <v>105</v>
      </c>
      <c r="C110" t="s">
        <v>8</v>
      </c>
      <c r="D110" t="s">
        <v>9</v>
      </c>
      <c r="E110" t="s">
        <v>74</v>
      </c>
      <c r="F110" s="12" t="s">
        <v>82</v>
      </c>
      <c r="G110" s="4" t="s">
        <v>171</v>
      </c>
    </row>
    <row r="111" spans="1:7" x14ac:dyDescent="0.35">
      <c r="A111" s="2">
        <v>42186</v>
      </c>
      <c r="B111" s="93" t="s">
        <v>105</v>
      </c>
      <c r="C111" t="s">
        <v>8</v>
      </c>
      <c r="D111" t="s">
        <v>9</v>
      </c>
      <c r="E111" t="s">
        <v>74</v>
      </c>
      <c r="F111" s="12" t="s">
        <v>82</v>
      </c>
      <c r="G111" s="4" t="s">
        <v>173</v>
      </c>
    </row>
    <row r="112" spans="1:7" x14ac:dyDescent="0.35">
      <c r="A112" s="2">
        <v>42186</v>
      </c>
      <c r="B112" s="93" t="s">
        <v>105</v>
      </c>
      <c r="C112" t="s">
        <v>8</v>
      </c>
      <c r="D112" t="s">
        <v>9</v>
      </c>
      <c r="E112" t="s">
        <v>78</v>
      </c>
      <c r="F112" s="12" t="s">
        <v>105</v>
      </c>
      <c r="G112" s="4" t="s">
        <v>184</v>
      </c>
    </row>
    <row r="113" spans="1:7" x14ac:dyDescent="0.35">
      <c r="A113" s="2">
        <v>42186</v>
      </c>
      <c r="B113" s="93" t="s">
        <v>105</v>
      </c>
      <c r="C113" t="s">
        <v>8</v>
      </c>
      <c r="D113" t="s">
        <v>9</v>
      </c>
      <c r="E113" t="s">
        <v>78</v>
      </c>
      <c r="F113" s="12" t="s">
        <v>105</v>
      </c>
      <c r="G113" s="4" t="s">
        <v>185</v>
      </c>
    </row>
    <row r="114" spans="1:7" x14ac:dyDescent="0.35">
      <c r="A114" s="2">
        <v>42186</v>
      </c>
      <c r="B114" s="93" t="s">
        <v>105</v>
      </c>
      <c r="C114" t="s">
        <v>8</v>
      </c>
      <c r="D114" t="s">
        <v>9</v>
      </c>
      <c r="E114" t="s">
        <v>78</v>
      </c>
      <c r="F114" s="12" t="s">
        <v>105</v>
      </c>
      <c r="G114" s="4" t="s">
        <v>172</v>
      </c>
    </row>
    <row r="115" spans="1:7" x14ac:dyDescent="0.35">
      <c r="A115" s="2">
        <v>42186</v>
      </c>
      <c r="B115" s="93" t="s">
        <v>105</v>
      </c>
      <c r="C115" t="s">
        <v>8</v>
      </c>
      <c r="D115" t="s">
        <v>14</v>
      </c>
      <c r="E115" t="s">
        <v>136</v>
      </c>
      <c r="F115" s="12" t="s">
        <v>105</v>
      </c>
      <c r="G115" s="4" t="s">
        <v>154</v>
      </c>
    </row>
    <row r="116" spans="1:7" x14ac:dyDescent="0.35">
      <c r="A116" s="2">
        <v>42186</v>
      </c>
      <c r="B116" s="93" t="s">
        <v>105</v>
      </c>
      <c r="C116" t="s">
        <v>8</v>
      </c>
      <c r="D116" t="s">
        <v>14</v>
      </c>
      <c r="E116" t="s">
        <v>136</v>
      </c>
      <c r="F116" s="12" t="s">
        <v>105</v>
      </c>
      <c r="G116" s="4" t="s">
        <v>155</v>
      </c>
    </row>
    <row r="117" spans="1:7" x14ac:dyDescent="0.35">
      <c r="A117" s="2">
        <v>42186</v>
      </c>
      <c r="B117" s="93" t="s">
        <v>105</v>
      </c>
      <c r="C117" t="s">
        <v>8</v>
      </c>
      <c r="D117" t="s">
        <v>14</v>
      </c>
      <c r="E117" t="s">
        <v>136</v>
      </c>
      <c r="F117" s="12" t="s">
        <v>105</v>
      </c>
      <c r="G117" s="4" t="s">
        <v>156</v>
      </c>
    </row>
    <row r="118" spans="1:7" x14ac:dyDescent="0.35">
      <c r="A118" s="2">
        <v>42186</v>
      </c>
      <c r="B118" s="93" t="s">
        <v>105</v>
      </c>
      <c r="C118" t="s">
        <v>8</v>
      </c>
      <c r="D118" t="s">
        <v>14</v>
      </c>
      <c r="E118" t="s">
        <v>74</v>
      </c>
      <c r="F118" s="12" t="s">
        <v>82</v>
      </c>
      <c r="G118" s="4" t="s">
        <v>174</v>
      </c>
    </row>
    <row r="119" spans="1:7" x14ac:dyDescent="0.35">
      <c r="A119" s="2">
        <v>42186</v>
      </c>
      <c r="B119" s="93" t="s">
        <v>105</v>
      </c>
      <c r="C119" t="s">
        <v>8</v>
      </c>
      <c r="D119" t="s">
        <v>14</v>
      </c>
      <c r="E119" t="s">
        <v>74</v>
      </c>
      <c r="F119" s="12" t="s">
        <v>82</v>
      </c>
      <c r="G119" s="4" t="s">
        <v>175</v>
      </c>
    </row>
    <row r="120" spans="1:7" x14ac:dyDescent="0.35">
      <c r="A120" s="2">
        <v>42186</v>
      </c>
      <c r="B120" s="93" t="s">
        <v>105</v>
      </c>
      <c r="C120" t="s">
        <v>8</v>
      </c>
      <c r="D120" t="s">
        <v>18</v>
      </c>
      <c r="E120" t="s">
        <v>136</v>
      </c>
      <c r="F120" s="12" t="s">
        <v>105</v>
      </c>
      <c r="G120" s="4" t="s">
        <v>158</v>
      </c>
    </row>
    <row r="121" spans="1:7" x14ac:dyDescent="0.35">
      <c r="A121" s="2">
        <v>42186</v>
      </c>
      <c r="B121" s="93" t="s">
        <v>105</v>
      </c>
      <c r="C121" t="s">
        <v>8</v>
      </c>
      <c r="D121" t="s">
        <v>18</v>
      </c>
      <c r="E121" t="s">
        <v>136</v>
      </c>
      <c r="F121" s="12" t="s">
        <v>105</v>
      </c>
      <c r="G121" s="4" t="s">
        <v>159</v>
      </c>
    </row>
    <row r="122" spans="1:7" x14ac:dyDescent="0.35">
      <c r="A122" s="2">
        <v>42186</v>
      </c>
      <c r="B122" s="93" t="s">
        <v>105</v>
      </c>
      <c r="C122" t="s">
        <v>8</v>
      </c>
      <c r="D122" t="s">
        <v>18</v>
      </c>
      <c r="E122" t="s">
        <v>136</v>
      </c>
      <c r="F122" s="12" t="s">
        <v>105</v>
      </c>
      <c r="G122" s="4" t="s">
        <v>160</v>
      </c>
    </row>
    <row r="123" spans="1:7" x14ac:dyDescent="0.35">
      <c r="A123" s="2">
        <v>42186</v>
      </c>
      <c r="B123" s="93" t="s">
        <v>105</v>
      </c>
      <c r="C123" t="s">
        <v>8</v>
      </c>
      <c r="D123" t="s">
        <v>18</v>
      </c>
      <c r="E123" t="s">
        <v>74</v>
      </c>
      <c r="F123" s="12" t="s">
        <v>82</v>
      </c>
      <c r="G123" s="4" t="s">
        <v>176</v>
      </c>
    </row>
    <row r="124" spans="1:7" x14ac:dyDescent="0.35">
      <c r="A124" s="2">
        <v>42186</v>
      </c>
      <c r="B124" s="93" t="s">
        <v>105</v>
      </c>
      <c r="C124" t="s">
        <v>8</v>
      </c>
      <c r="D124" t="s">
        <v>18</v>
      </c>
      <c r="E124" t="s">
        <v>74</v>
      </c>
      <c r="F124" s="12" t="s">
        <v>82</v>
      </c>
      <c r="G124" s="4" t="s">
        <v>177</v>
      </c>
    </row>
    <row r="125" spans="1:7" x14ac:dyDescent="0.35">
      <c r="A125" s="2">
        <v>42186</v>
      </c>
      <c r="B125" s="93" t="s">
        <v>105</v>
      </c>
      <c r="C125" t="s">
        <v>8</v>
      </c>
      <c r="D125" t="s">
        <v>25</v>
      </c>
      <c r="E125" t="s">
        <v>136</v>
      </c>
      <c r="F125" s="12" t="s">
        <v>105</v>
      </c>
      <c r="G125" s="4" t="s">
        <v>161</v>
      </c>
    </row>
    <row r="126" spans="1:7" x14ac:dyDescent="0.35">
      <c r="A126" s="2">
        <v>42186</v>
      </c>
      <c r="B126" s="93" t="s">
        <v>105</v>
      </c>
      <c r="C126" t="s">
        <v>8</v>
      </c>
      <c r="D126" t="s">
        <v>25</v>
      </c>
      <c r="E126" t="s">
        <v>136</v>
      </c>
      <c r="F126" s="12" t="s">
        <v>105</v>
      </c>
      <c r="G126" s="4" t="s">
        <v>162</v>
      </c>
    </row>
    <row r="127" spans="1:7" x14ac:dyDescent="0.35">
      <c r="A127" s="2">
        <v>42186</v>
      </c>
      <c r="B127" s="93" t="s">
        <v>105</v>
      </c>
      <c r="C127" t="s">
        <v>8</v>
      </c>
      <c r="D127" t="s">
        <v>25</v>
      </c>
      <c r="E127" t="s">
        <v>136</v>
      </c>
      <c r="F127" s="12" t="s">
        <v>105</v>
      </c>
      <c r="G127" s="4" t="s">
        <v>163</v>
      </c>
    </row>
    <row r="128" spans="1:7" x14ac:dyDescent="0.35">
      <c r="A128" s="2">
        <v>42186</v>
      </c>
      <c r="B128" s="93" t="s">
        <v>105</v>
      </c>
      <c r="C128" t="s">
        <v>8</v>
      </c>
      <c r="D128" t="s">
        <v>25</v>
      </c>
      <c r="E128" t="s">
        <v>74</v>
      </c>
      <c r="F128" s="12" t="s">
        <v>82</v>
      </c>
      <c r="G128" s="4" t="s">
        <v>178</v>
      </c>
    </row>
    <row r="129" spans="1:7" x14ac:dyDescent="0.35">
      <c r="A129" s="2">
        <v>42186</v>
      </c>
      <c r="B129" s="93" t="s">
        <v>105</v>
      </c>
      <c r="C129" t="s">
        <v>8</v>
      </c>
      <c r="D129" t="s">
        <v>25</v>
      </c>
      <c r="E129" t="s">
        <v>74</v>
      </c>
      <c r="F129" s="12" t="s">
        <v>82</v>
      </c>
      <c r="G129" s="4" t="s">
        <v>179</v>
      </c>
    </row>
    <row r="130" spans="1:7" x14ac:dyDescent="0.35">
      <c r="A130" s="2">
        <v>42186</v>
      </c>
      <c r="B130" s="93" t="s">
        <v>105</v>
      </c>
      <c r="C130" t="s">
        <v>8</v>
      </c>
      <c r="D130" t="s">
        <v>25</v>
      </c>
      <c r="E130" t="s">
        <v>78</v>
      </c>
      <c r="F130" s="12" t="s">
        <v>105</v>
      </c>
      <c r="G130" s="4" t="s">
        <v>186</v>
      </c>
    </row>
    <row r="131" spans="1:7" x14ac:dyDescent="0.35">
      <c r="A131" s="2">
        <v>42186</v>
      </c>
      <c r="B131" s="93" t="s">
        <v>105</v>
      </c>
      <c r="C131" t="s">
        <v>8</v>
      </c>
      <c r="D131" t="s">
        <v>25</v>
      </c>
      <c r="E131" t="s">
        <v>78</v>
      </c>
      <c r="F131" s="12" t="s">
        <v>105</v>
      </c>
      <c r="G131" s="4" t="s">
        <v>187</v>
      </c>
    </row>
    <row r="132" spans="1:7" x14ac:dyDescent="0.35">
      <c r="A132" s="2">
        <v>42186</v>
      </c>
      <c r="B132" s="93" t="s">
        <v>105</v>
      </c>
      <c r="C132" t="s">
        <v>8</v>
      </c>
      <c r="D132" t="s">
        <v>25</v>
      </c>
      <c r="E132" t="s">
        <v>78</v>
      </c>
      <c r="F132" s="12" t="s">
        <v>105</v>
      </c>
      <c r="G132" s="4" t="s">
        <v>188</v>
      </c>
    </row>
    <row r="133" spans="1:7" x14ac:dyDescent="0.35">
      <c r="A133" s="2">
        <v>42186</v>
      </c>
      <c r="B133" s="93" t="s">
        <v>105</v>
      </c>
      <c r="C133" t="s">
        <v>8</v>
      </c>
      <c r="D133" t="s">
        <v>26</v>
      </c>
      <c r="E133" t="s">
        <v>136</v>
      </c>
      <c r="F133" s="12" t="s">
        <v>105</v>
      </c>
      <c r="G133" s="4" t="s">
        <v>164</v>
      </c>
    </row>
    <row r="134" spans="1:7" x14ac:dyDescent="0.35">
      <c r="A134" s="2">
        <v>42186</v>
      </c>
      <c r="B134" s="93" t="s">
        <v>105</v>
      </c>
      <c r="C134" t="s">
        <v>8</v>
      </c>
      <c r="D134" t="s">
        <v>26</v>
      </c>
      <c r="E134" t="s">
        <v>136</v>
      </c>
      <c r="F134" s="12" t="s">
        <v>105</v>
      </c>
      <c r="G134" s="4" t="s">
        <v>165</v>
      </c>
    </row>
    <row r="135" spans="1:7" x14ac:dyDescent="0.35">
      <c r="A135" s="2">
        <v>42186</v>
      </c>
      <c r="B135" s="93" t="s">
        <v>105</v>
      </c>
      <c r="C135" t="s">
        <v>8</v>
      </c>
      <c r="D135" t="s">
        <v>26</v>
      </c>
      <c r="E135" t="s">
        <v>136</v>
      </c>
      <c r="F135" s="12" t="s">
        <v>105</v>
      </c>
      <c r="G135" s="4" t="s">
        <v>166</v>
      </c>
    </row>
    <row r="136" spans="1:7" x14ac:dyDescent="0.35">
      <c r="A136" s="2">
        <v>42186</v>
      </c>
      <c r="B136" s="93" t="s">
        <v>105</v>
      </c>
      <c r="C136" t="s">
        <v>8</v>
      </c>
      <c r="D136" t="s">
        <v>26</v>
      </c>
      <c r="E136" t="s">
        <v>74</v>
      </c>
      <c r="F136" s="12" t="s">
        <v>82</v>
      </c>
      <c r="G136" s="4" t="s">
        <v>180</v>
      </c>
    </row>
    <row r="137" spans="1:7" x14ac:dyDescent="0.35">
      <c r="A137" s="2">
        <v>42186</v>
      </c>
      <c r="B137" s="93" t="s">
        <v>105</v>
      </c>
      <c r="C137" t="s">
        <v>8</v>
      </c>
      <c r="D137" t="s">
        <v>26</v>
      </c>
      <c r="E137" t="s">
        <v>74</v>
      </c>
      <c r="F137" s="12" t="s">
        <v>82</v>
      </c>
      <c r="G137" s="4" t="s">
        <v>181</v>
      </c>
    </row>
    <row r="138" spans="1:7" x14ac:dyDescent="0.35">
      <c r="A138" s="2">
        <v>42186</v>
      </c>
      <c r="B138" s="93" t="s">
        <v>105</v>
      </c>
      <c r="C138" t="s">
        <v>8</v>
      </c>
      <c r="D138" t="s">
        <v>167</v>
      </c>
      <c r="E138" t="s">
        <v>136</v>
      </c>
      <c r="F138" s="12" t="s">
        <v>105</v>
      </c>
      <c r="G138" s="4" t="s">
        <v>168</v>
      </c>
    </row>
    <row r="139" spans="1:7" x14ac:dyDescent="0.35">
      <c r="A139" s="2">
        <v>42186</v>
      </c>
      <c r="B139" s="93" t="s">
        <v>105</v>
      </c>
      <c r="C139" t="s">
        <v>8</v>
      </c>
      <c r="D139" t="s">
        <v>167</v>
      </c>
      <c r="E139" t="s">
        <v>136</v>
      </c>
      <c r="F139" s="12" t="s">
        <v>105</v>
      </c>
      <c r="G139" s="4" t="s">
        <v>169</v>
      </c>
    </row>
    <row r="140" spans="1:7" x14ac:dyDescent="0.35">
      <c r="A140" s="2">
        <v>42186</v>
      </c>
      <c r="B140" s="93" t="s">
        <v>105</v>
      </c>
      <c r="C140" t="s">
        <v>8</v>
      </c>
      <c r="D140" t="s">
        <v>167</v>
      </c>
      <c r="E140" t="s">
        <v>136</v>
      </c>
      <c r="F140" s="12" t="s">
        <v>105</v>
      </c>
      <c r="G140" s="4" t="s">
        <v>170</v>
      </c>
    </row>
    <row r="141" spans="1:7" x14ac:dyDescent="0.35">
      <c r="A141" s="2">
        <v>42186</v>
      </c>
      <c r="B141" s="93" t="s">
        <v>105</v>
      </c>
      <c r="C141" t="s">
        <v>8</v>
      </c>
      <c r="D141" t="s">
        <v>167</v>
      </c>
      <c r="E141" t="s">
        <v>74</v>
      </c>
      <c r="F141" s="12" t="s">
        <v>82</v>
      </c>
      <c r="G141" s="4" t="s">
        <v>182</v>
      </c>
    </row>
    <row r="142" spans="1:7" x14ac:dyDescent="0.35">
      <c r="A142" s="2">
        <v>42186</v>
      </c>
      <c r="B142" s="93" t="s">
        <v>105</v>
      </c>
      <c r="C142" t="s">
        <v>8</v>
      </c>
      <c r="D142" t="s">
        <v>167</v>
      </c>
      <c r="E142" t="s">
        <v>74</v>
      </c>
      <c r="F142" s="12" t="s">
        <v>82</v>
      </c>
      <c r="G142" s="4" t="s">
        <v>183</v>
      </c>
    </row>
    <row r="143" spans="1:7" x14ac:dyDescent="0.35">
      <c r="A143" s="2">
        <v>42186</v>
      </c>
      <c r="B143" s="93" t="s">
        <v>105</v>
      </c>
      <c r="C143" t="s">
        <v>8</v>
      </c>
      <c r="D143" t="s">
        <v>69</v>
      </c>
      <c r="E143" t="s">
        <v>136</v>
      </c>
      <c r="F143" s="12" t="s">
        <v>105</v>
      </c>
      <c r="G143" s="4" t="s">
        <v>2152</v>
      </c>
    </row>
    <row r="144" spans="1:7" x14ac:dyDescent="0.35">
      <c r="A144" s="2">
        <v>42186</v>
      </c>
      <c r="B144" s="93" t="s">
        <v>105</v>
      </c>
      <c r="C144" t="s">
        <v>8</v>
      </c>
      <c r="D144" t="s">
        <v>69</v>
      </c>
      <c r="E144" t="s">
        <v>136</v>
      </c>
      <c r="F144" s="12" t="s">
        <v>105</v>
      </c>
      <c r="G144" s="4" t="s">
        <v>2153</v>
      </c>
    </row>
    <row r="145" spans="1:7" x14ac:dyDescent="0.35">
      <c r="A145" s="2">
        <v>42186</v>
      </c>
      <c r="B145" s="93" t="s">
        <v>105</v>
      </c>
      <c r="C145" t="s">
        <v>8</v>
      </c>
      <c r="D145" t="s">
        <v>69</v>
      </c>
      <c r="E145" t="s">
        <v>136</v>
      </c>
      <c r="F145" s="12" t="s">
        <v>105</v>
      </c>
      <c r="G145" s="4" t="s">
        <v>2154</v>
      </c>
    </row>
    <row r="146" spans="1:7" x14ac:dyDescent="0.35">
      <c r="A146" s="2">
        <v>42191</v>
      </c>
      <c r="B146" s="93" t="s">
        <v>105</v>
      </c>
      <c r="C146" t="s">
        <v>8</v>
      </c>
      <c r="D146" t="s">
        <v>60</v>
      </c>
      <c r="E146" t="s">
        <v>136</v>
      </c>
      <c r="F146" s="12" t="s">
        <v>105</v>
      </c>
      <c r="G146" s="4" t="s">
        <v>189</v>
      </c>
    </row>
    <row r="147" spans="1:7" x14ac:dyDescent="0.35">
      <c r="A147" s="2">
        <v>42191</v>
      </c>
      <c r="B147" s="93" t="s">
        <v>105</v>
      </c>
      <c r="C147" t="s">
        <v>8</v>
      </c>
      <c r="D147" t="s">
        <v>60</v>
      </c>
      <c r="E147" t="s">
        <v>136</v>
      </c>
      <c r="F147" s="12" t="s">
        <v>105</v>
      </c>
      <c r="G147" s="4" t="s">
        <v>190</v>
      </c>
    </row>
    <row r="148" spans="1:7" x14ac:dyDescent="0.35">
      <c r="A148" s="2">
        <v>42191</v>
      </c>
      <c r="B148" s="93" t="s">
        <v>105</v>
      </c>
      <c r="C148" t="s">
        <v>8</v>
      </c>
      <c r="D148" t="s">
        <v>60</v>
      </c>
      <c r="E148" t="s">
        <v>136</v>
      </c>
      <c r="F148" s="12" t="s">
        <v>105</v>
      </c>
      <c r="G148" s="4" t="s">
        <v>191</v>
      </c>
    </row>
    <row r="149" spans="1:7" x14ac:dyDescent="0.35">
      <c r="A149" s="2">
        <v>42191</v>
      </c>
      <c r="B149" s="93" t="s">
        <v>105</v>
      </c>
      <c r="C149" t="s">
        <v>8</v>
      </c>
      <c r="D149" t="s">
        <v>60</v>
      </c>
      <c r="E149" t="s">
        <v>78</v>
      </c>
      <c r="F149" s="12" t="s">
        <v>105</v>
      </c>
      <c r="G149" s="4" t="s">
        <v>202</v>
      </c>
    </row>
    <row r="150" spans="1:7" x14ac:dyDescent="0.35">
      <c r="A150" s="2">
        <v>42191</v>
      </c>
      <c r="B150" s="93" t="s">
        <v>105</v>
      </c>
      <c r="C150" t="s">
        <v>8</v>
      </c>
      <c r="D150" t="s">
        <v>60</v>
      </c>
      <c r="E150" t="s">
        <v>78</v>
      </c>
      <c r="F150" s="12" t="s">
        <v>105</v>
      </c>
      <c r="G150" s="4" t="s">
        <v>203</v>
      </c>
    </row>
    <row r="151" spans="1:7" x14ac:dyDescent="0.35">
      <c r="A151" s="2">
        <v>42191</v>
      </c>
      <c r="B151" s="93" t="s">
        <v>105</v>
      </c>
      <c r="C151" t="s">
        <v>8</v>
      </c>
      <c r="D151" t="s">
        <v>60</v>
      </c>
      <c r="E151" t="s">
        <v>78</v>
      </c>
      <c r="F151" s="12" t="s">
        <v>105</v>
      </c>
      <c r="G151" s="4" t="s">
        <v>204</v>
      </c>
    </row>
    <row r="152" spans="1:7" x14ac:dyDescent="0.35">
      <c r="A152" s="2">
        <v>42191</v>
      </c>
      <c r="B152" s="93" t="s">
        <v>105</v>
      </c>
      <c r="C152" t="s">
        <v>8</v>
      </c>
      <c r="D152" t="s">
        <v>60</v>
      </c>
      <c r="E152" t="s">
        <v>74</v>
      </c>
      <c r="F152" s="75">
        <v>100.696</v>
      </c>
      <c r="G152" s="4" t="s">
        <v>205</v>
      </c>
    </row>
    <row r="153" spans="1:7" x14ac:dyDescent="0.35">
      <c r="A153" s="2">
        <v>42191</v>
      </c>
      <c r="B153" s="93" t="s">
        <v>105</v>
      </c>
      <c r="C153" t="s">
        <v>8</v>
      </c>
      <c r="D153" t="s">
        <v>60</v>
      </c>
      <c r="E153" t="s">
        <v>74</v>
      </c>
      <c r="F153" s="75">
        <v>89.871999999999986</v>
      </c>
      <c r="G153" s="4" t="s">
        <v>206</v>
      </c>
    </row>
    <row r="154" spans="1:7" x14ac:dyDescent="0.35">
      <c r="A154" s="2">
        <v>42191</v>
      </c>
      <c r="B154" s="93" t="s">
        <v>105</v>
      </c>
      <c r="C154" t="s">
        <v>8</v>
      </c>
      <c r="D154" t="s">
        <v>60</v>
      </c>
      <c r="E154" t="s">
        <v>74</v>
      </c>
      <c r="F154" s="108">
        <v>79</v>
      </c>
      <c r="G154" s="4" t="s">
        <v>207</v>
      </c>
    </row>
    <row r="155" spans="1:7" x14ac:dyDescent="0.35">
      <c r="A155" s="2">
        <v>42191</v>
      </c>
      <c r="B155" s="93" t="s">
        <v>105</v>
      </c>
      <c r="C155" t="s">
        <v>8</v>
      </c>
      <c r="D155" t="s">
        <v>60</v>
      </c>
      <c r="E155" t="s">
        <v>74</v>
      </c>
      <c r="F155" s="75">
        <v>68.224000000000004</v>
      </c>
      <c r="G155" s="4" t="s">
        <v>208</v>
      </c>
    </row>
    <row r="156" spans="1:7" x14ac:dyDescent="0.35">
      <c r="A156" s="2">
        <v>42191</v>
      </c>
      <c r="B156" s="93" t="s">
        <v>105</v>
      </c>
      <c r="C156" t="s">
        <v>8</v>
      </c>
      <c r="D156" t="s">
        <v>60</v>
      </c>
      <c r="E156" t="s">
        <v>74</v>
      </c>
      <c r="F156" s="75">
        <v>57.4</v>
      </c>
      <c r="G156" s="4" t="s">
        <v>209</v>
      </c>
    </row>
    <row r="157" spans="1:7" x14ac:dyDescent="0.35">
      <c r="A157" s="2">
        <v>42191</v>
      </c>
      <c r="B157" s="93" t="s">
        <v>105</v>
      </c>
      <c r="C157" t="s">
        <v>8</v>
      </c>
      <c r="D157" t="s">
        <v>60</v>
      </c>
      <c r="E157" t="s">
        <v>74</v>
      </c>
      <c r="F157" s="75">
        <v>46.575999999999993</v>
      </c>
      <c r="G157" s="4" t="s">
        <v>210</v>
      </c>
    </row>
    <row r="158" spans="1:7" x14ac:dyDescent="0.35">
      <c r="A158" s="2">
        <v>42191</v>
      </c>
      <c r="B158" s="93" t="s">
        <v>105</v>
      </c>
      <c r="C158" t="s">
        <v>8</v>
      </c>
      <c r="D158" t="s">
        <v>60</v>
      </c>
      <c r="E158" t="s">
        <v>74</v>
      </c>
      <c r="F158" s="75">
        <v>35.752000000000002</v>
      </c>
      <c r="G158" s="4" t="s">
        <v>211</v>
      </c>
    </row>
    <row r="159" spans="1:7" x14ac:dyDescent="0.35">
      <c r="A159" s="2">
        <v>42191</v>
      </c>
      <c r="B159" s="93" t="s">
        <v>105</v>
      </c>
      <c r="C159" t="s">
        <v>8</v>
      </c>
      <c r="D159" t="s">
        <v>60</v>
      </c>
      <c r="E159" t="s">
        <v>74</v>
      </c>
      <c r="F159" s="75">
        <v>24.927999999999997</v>
      </c>
      <c r="G159" s="4" t="s">
        <v>212</v>
      </c>
    </row>
    <row r="160" spans="1:7" x14ac:dyDescent="0.35">
      <c r="A160" s="2">
        <v>42191</v>
      </c>
      <c r="B160" s="93" t="s">
        <v>105</v>
      </c>
      <c r="C160" t="s">
        <v>8</v>
      </c>
      <c r="D160" t="s">
        <v>60</v>
      </c>
      <c r="E160" t="s">
        <v>74</v>
      </c>
      <c r="F160" s="75">
        <v>14.103999999999999</v>
      </c>
      <c r="G160" s="4" t="s">
        <v>213</v>
      </c>
    </row>
    <row r="161" spans="1:7" x14ac:dyDescent="0.35">
      <c r="A161" s="2">
        <v>42191</v>
      </c>
      <c r="B161" s="93" t="s">
        <v>105</v>
      </c>
      <c r="C161" t="s">
        <v>8</v>
      </c>
      <c r="D161" t="s">
        <v>60</v>
      </c>
      <c r="E161" t="s">
        <v>74</v>
      </c>
      <c r="F161" s="75">
        <v>3.28</v>
      </c>
      <c r="G161" s="4" t="s">
        <v>214</v>
      </c>
    </row>
    <row r="162" spans="1:7" x14ac:dyDescent="0.35">
      <c r="A162" s="2">
        <v>42191</v>
      </c>
      <c r="B162" s="93" t="s">
        <v>105</v>
      </c>
      <c r="C162" t="s">
        <v>8</v>
      </c>
      <c r="D162" t="s">
        <v>60</v>
      </c>
      <c r="E162" t="s">
        <v>74</v>
      </c>
      <c r="F162" s="75">
        <v>0.33</v>
      </c>
      <c r="G162" s="4" t="s">
        <v>215</v>
      </c>
    </row>
    <row r="163" spans="1:7" x14ac:dyDescent="0.35">
      <c r="A163" s="2">
        <v>42191</v>
      </c>
      <c r="B163" s="93" t="s">
        <v>105</v>
      </c>
      <c r="C163" t="s">
        <v>8</v>
      </c>
      <c r="D163" t="s">
        <v>60</v>
      </c>
      <c r="E163" t="s">
        <v>74</v>
      </c>
      <c r="F163" s="75">
        <v>0.33</v>
      </c>
      <c r="G163" s="4" t="s">
        <v>216</v>
      </c>
    </row>
    <row r="164" spans="1:7" x14ac:dyDescent="0.35">
      <c r="A164" s="2">
        <v>42191</v>
      </c>
      <c r="B164" s="93" t="s">
        <v>105</v>
      </c>
      <c r="C164" t="s">
        <v>8</v>
      </c>
      <c r="D164" t="s">
        <v>64</v>
      </c>
      <c r="E164" t="s">
        <v>136</v>
      </c>
      <c r="F164" s="12" t="s">
        <v>105</v>
      </c>
      <c r="G164" s="4" t="s">
        <v>192</v>
      </c>
    </row>
    <row r="165" spans="1:7" x14ac:dyDescent="0.35">
      <c r="A165" s="2">
        <v>42191</v>
      </c>
      <c r="B165" s="93" t="s">
        <v>105</v>
      </c>
      <c r="C165" t="s">
        <v>8</v>
      </c>
      <c r="D165" t="s">
        <v>64</v>
      </c>
      <c r="E165" t="s">
        <v>136</v>
      </c>
      <c r="F165" s="12" t="s">
        <v>105</v>
      </c>
      <c r="G165" s="4" t="s">
        <v>193</v>
      </c>
    </row>
    <row r="166" spans="1:7" x14ac:dyDescent="0.35">
      <c r="A166" s="2">
        <v>42191</v>
      </c>
      <c r="B166" s="93" t="s">
        <v>105</v>
      </c>
      <c r="C166" t="s">
        <v>8</v>
      </c>
      <c r="D166" t="s">
        <v>64</v>
      </c>
      <c r="E166" t="s">
        <v>136</v>
      </c>
      <c r="F166" s="12" t="s">
        <v>105</v>
      </c>
      <c r="G166" s="4" t="s">
        <v>194</v>
      </c>
    </row>
    <row r="167" spans="1:7" x14ac:dyDescent="0.35">
      <c r="A167" s="2">
        <v>42191</v>
      </c>
      <c r="B167" s="93" t="s">
        <v>105</v>
      </c>
      <c r="C167" t="s">
        <v>8</v>
      </c>
      <c r="D167" t="s">
        <v>64</v>
      </c>
      <c r="E167" t="s">
        <v>74</v>
      </c>
      <c r="F167" s="12" t="s">
        <v>82</v>
      </c>
      <c r="G167" s="4" t="s">
        <v>198</v>
      </c>
    </row>
    <row r="168" spans="1:7" x14ac:dyDescent="0.35">
      <c r="A168" s="2">
        <v>42191</v>
      </c>
      <c r="B168" s="93" t="s">
        <v>105</v>
      </c>
      <c r="C168" t="s">
        <v>8</v>
      </c>
      <c r="D168" t="s">
        <v>64</v>
      </c>
      <c r="E168" t="s">
        <v>74</v>
      </c>
      <c r="F168" s="12" t="s">
        <v>82</v>
      </c>
      <c r="G168" s="4" t="s">
        <v>199</v>
      </c>
    </row>
    <row r="169" spans="1:7" x14ac:dyDescent="0.35">
      <c r="A169" s="2">
        <v>42191</v>
      </c>
      <c r="B169" s="93" t="s">
        <v>105</v>
      </c>
      <c r="C169" t="s">
        <v>8</v>
      </c>
      <c r="D169" t="s">
        <v>69</v>
      </c>
      <c r="E169" t="s">
        <v>136</v>
      </c>
      <c r="F169" s="12" t="s">
        <v>105</v>
      </c>
      <c r="G169" s="4" t="s">
        <v>195</v>
      </c>
    </row>
    <row r="170" spans="1:7" x14ac:dyDescent="0.35">
      <c r="A170" s="2">
        <v>42191</v>
      </c>
      <c r="B170" s="93" t="s">
        <v>105</v>
      </c>
      <c r="C170" t="s">
        <v>8</v>
      </c>
      <c r="D170" t="s">
        <v>69</v>
      </c>
      <c r="E170" t="s">
        <v>136</v>
      </c>
      <c r="F170" s="12" t="s">
        <v>105</v>
      </c>
      <c r="G170" s="4" t="s">
        <v>196</v>
      </c>
    </row>
    <row r="171" spans="1:7" x14ac:dyDescent="0.35">
      <c r="A171" s="2">
        <v>42191</v>
      </c>
      <c r="B171" s="93" t="s">
        <v>105</v>
      </c>
      <c r="C171" t="s">
        <v>8</v>
      </c>
      <c r="D171" t="s">
        <v>69</v>
      </c>
      <c r="E171" t="s">
        <v>136</v>
      </c>
      <c r="F171" s="12" t="s">
        <v>105</v>
      </c>
      <c r="G171" s="4" t="s">
        <v>197</v>
      </c>
    </row>
    <row r="172" spans="1:7" x14ac:dyDescent="0.35">
      <c r="A172" s="2">
        <v>42191</v>
      </c>
      <c r="B172" s="93" t="s">
        <v>105</v>
      </c>
      <c r="C172" t="s">
        <v>8</v>
      </c>
      <c r="D172" t="s">
        <v>69</v>
      </c>
      <c r="E172" t="s">
        <v>74</v>
      </c>
      <c r="F172" s="12" t="s">
        <v>82</v>
      </c>
      <c r="G172" s="4" t="s">
        <v>200</v>
      </c>
    </row>
    <row r="173" spans="1:7" x14ac:dyDescent="0.35">
      <c r="A173" s="2">
        <v>42191</v>
      </c>
      <c r="B173" s="93" t="s">
        <v>105</v>
      </c>
      <c r="C173" t="s">
        <v>8</v>
      </c>
      <c r="D173" t="s">
        <v>69</v>
      </c>
      <c r="E173" t="s">
        <v>74</v>
      </c>
      <c r="F173" s="12" t="s">
        <v>82</v>
      </c>
      <c r="G173" s="4" t="s">
        <v>201</v>
      </c>
    </row>
    <row r="174" spans="1:7" x14ac:dyDescent="0.35">
      <c r="A174" s="2">
        <v>42193</v>
      </c>
      <c r="B174" s="93" t="s">
        <v>105</v>
      </c>
      <c r="C174" t="s">
        <v>3</v>
      </c>
      <c r="D174" t="s">
        <v>5</v>
      </c>
      <c r="E174" t="s">
        <v>136</v>
      </c>
      <c r="F174" s="12" t="s">
        <v>105</v>
      </c>
      <c r="G174">
        <v>174</v>
      </c>
    </row>
    <row r="175" spans="1:7" x14ac:dyDescent="0.35">
      <c r="A175" s="2">
        <v>42193</v>
      </c>
      <c r="B175" s="93" t="s">
        <v>105</v>
      </c>
      <c r="C175" t="s">
        <v>3</v>
      </c>
      <c r="D175" t="s">
        <v>5</v>
      </c>
      <c r="E175" t="s">
        <v>136</v>
      </c>
      <c r="F175" s="12" t="s">
        <v>105</v>
      </c>
      <c r="G175">
        <v>175</v>
      </c>
    </row>
    <row r="176" spans="1:7" x14ac:dyDescent="0.35">
      <c r="A176" s="2">
        <v>42193</v>
      </c>
      <c r="B176" s="93" t="s">
        <v>105</v>
      </c>
      <c r="C176" t="s">
        <v>3</v>
      </c>
      <c r="D176" t="s">
        <v>5</v>
      </c>
      <c r="E176" t="s">
        <v>136</v>
      </c>
      <c r="F176" s="12" t="s">
        <v>105</v>
      </c>
      <c r="G176">
        <v>176</v>
      </c>
    </row>
    <row r="177" spans="1:7" x14ac:dyDescent="0.35">
      <c r="A177" s="2">
        <v>42193</v>
      </c>
      <c r="B177" s="93" t="s">
        <v>105</v>
      </c>
      <c r="C177" t="s">
        <v>3</v>
      </c>
      <c r="D177" t="s">
        <v>5</v>
      </c>
      <c r="E177" t="s">
        <v>74</v>
      </c>
      <c r="F177" s="12" t="s">
        <v>82</v>
      </c>
      <c r="G177">
        <v>179</v>
      </c>
    </row>
    <row r="178" spans="1:7" x14ac:dyDescent="0.35">
      <c r="A178" s="2">
        <v>42193</v>
      </c>
      <c r="B178" s="93" t="s">
        <v>105</v>
      </c>
      <c r="C178" t="s">
        <v>3</v>
      </c>
      <c r="D178" t="s">
        <v>5</v>
      </c>
      <c r="E178" t="s">
        <v>74</v>
      </c>
      <c r="F178" s="12" t="s">
        <v>82</v>
      </c>
      <c r="G178">
        <v>180</v>
      </c>
    </row>
    <row r="179" spans="1:7" x14ac:dyDescent="0.35">
      <c r="A179" s="2">
        <v>42193</v>
      </c>
      <c r="B179" s="93" t="s">
        <v>105</v>
      </c>
      <c r="C179" t="s">
        <v>3</v>
      </c>
      <c r="D179" t="s">
        <v>119</v>
      </c>
      <c r="E179" t="s">
        <v>136</v>
      </c>
      <c r="F179" s="12" t="s">
        <v>105</v>
      </c>
      <c r="G179">
        <v>181</v>
      </c>
    </row>
    <row r="180" spans="1:7" x14ac:dyDescent="0.35">
      <c r="A180" s="2">
        <v>42193</v>
      </c>
      <c r="B180" s="93" t="s">
        <v>105</v>
      </c>
      <c r="C180" t="s">
        <v>3</v>
      </c>
      <c r="D180" t="s">
        <v>119</v>
      </c>
      <c r="E180" t="s">
        <v>136</v>
      </c>
      <c r="F180" s="12" t="s">
        <v>105</v>
      </c>
      <c r="G180">
        <v>182</v>
      </c>
    </row>
    <row r="181" spans="1:7" x14ac:dyDescent="0.35">
      <c r="A181" s="2">
        <v>42193</v>
      </c>
      <c r="B181" s="93" t="s">
        <v>105</v>
      </c>
      <c r="C181" t="s">
        <v>3</v>
      </c>
      <c r="D181" t="s">
        <v>119</v>
      </c>
      <c r="E181" t="s">
        <v>136</v>
      </c>
      <c r="F181" s="12" t="s">
        <v>105</v>
      </c>
      <c r="G181">
        <v>183</v>
      </c>
    </row>
    <row r="182" spans="1:7" x14ac:dyDescent="0.35">
      <c r="A182" s="2">
        <v>42193</v>
      </c>
      <c r="B182" s="93" t="s">
        <v>105</v>
      </c>
      <c r="C182" t="s">
        <v>3</v>
      </c>
      <c r="D182" t="s">
        <v>119</v>
      </c>
      <c r="E182" t="s">
        <v>74</v>
      </c>
      <c r="F182" s="12" t="s">
        <v>82</v>
      </c>
      <c r="G182">
        <v>184</v>
      </c>
    </row>
    <row r="183" spans="1:7" x14ac:dyDescent="0.35">
      <c r="A183" s="2">
        <v>42193</v>
      </c>
      <c r="B183" s="93" t="s">
        <v>105</v>
      </c>
      <c r="C183" t="s">
        <v>3</v>
      </c>
      <c r="D183" t="s">
        <v>119</v>
      </c>
      <c r="E183" t="s">
        <v>74</v>
      </c>
      <c r="F183" s="12" t="s">
        <v>82</v>
      </c>
      <c r="G183">
        <v>185</v>
      </c>
    </row>
    <row r="184" spans="1:7" x14ac:dyDescent="0.35">
      <c r="A184" s="2">
        <v>42193</v>
      </c>
      <c r="B184" s="93" t="s">
        <v>105</v>
      </c>
      <c r="C184" t="s">
        <v>3</v>
      </c>
      <c r="D184" t="s">
        <v>4</v>
      </c>
      <c r="E184" t="s">
        <v>136</v>
      </c>
      <c r="F184" s="12" t="s">
        <v>105</v>
      </c>
      <c r="G184">
        <v>186</v>
      </c>
    </row>
    <row r="185" spans="1:7" x14ac:dyDescent="0.35">
      <c r="A185" s="2">
        <v>42193</v>
      </c>
      <c r="B185" s="93" t="s">
        <v>105</v>
      </c>
      <c r="C185" t="s">
        <v>3</v>
      </c>
      <c r="D185" t="s">
        <v>4</v>
      </c>
      <c r="E185" t="s">
        <v>136</v>
      </c>
      <c r="F185" s="12" t="s">
        <v>105</v>
      </c>
      <c r="G185">
        <v>187</v>
      </c>
    </row>
    <row r="186" spans="1:7" x14ac:dyDescent="0.35">
      <c r="A186" s="2">
        <v>42193</v>
      </c>
      <c r="B186" s="93" t="s">
        <v>105</v>
      </c>
      <c r="C186" t="s">
        <v>3</v>
      </c>
      <c r="D186" t="s">
        <v>4</v>
      </c>
      <c r="E186" t="s">
        <v>136</v>
      </c>
      <c r="F186" s="12" t="s">
        <v>105</v>
      </c>
      <c r="G186">
        <v>188</v>
      </c>
    </row>
    <row r="187" spans="1:7" x14ac:dyDescent="0.35">
      <c r="A187" s="2">
        <v>42193</v>
      </c>
      <c r="B187" s="93" t="s">
        <v>105</v>
      </c>
      <c r="C187" t="s">
        <v>3</v>
      </c>
      <c r="D187" t="s">
        <v>4</v>
      </c>
      <c r="E187" t="s">
        <v>74</v>
      </c>
      <c r="F187" s="12" t="s">
        <v>82</v>
      </c>
      <c r="G187">
        <v>189</v>
      </c>
    </row>
    <row r="188" spans="1:7" x14ac:dyDescent="0.35">
      <c r="A188" s="2">
        <v>42193</v>
      </c>
      <c r="B188" s="93" t="s">
        <v>105</v>
      </c>
      <c r="C188" t="s">
        <v>3</v>
      </c>
      <c r="D188" t="s">
        <v>4</v>
      </c>
      <c r="E188" t="s">
        <v>74</v>
      </c>
      <c r="F188" s="12" t="s">
        <v>82</v>
      </c>
      <c r="G188">
        <v>190</v>
      </c>
    </row>
    <row r="189" spans="1:7" x14ac:dyDescent="0.35">
      <c r="A189" s="2">
        <v>42193</v>
      </c>
      <c r="B189" s="93" t="s">
        <v>105</v>
      </c>
      <c r="C189" t="s">
        <v>3</v>
      </c>
      <c r="D189" t="s">
        <v>5</v>
      </c>
      <c r="E189" t="s">
        <v>78</v>
      </c>
      <c r="F189" s="12" t="s">
        <v>105</v>
      </c>
      <c r="G189">
        <v>177</v>
      </c>
    </row>
    <row r="190" spans="1:7" x14ac:dyDescent="0.35">
      <c r="A190" s="2">
        <v>42193</v>
      </c>
      <c r="B190" s="93" t="s">
        <v>105</v>
      </c>
      <c r="C190" t="s">
        <v>3</v>
      </c>
      <c r="D190" t="s">
        <v>5</v>
      </c>
      <c r="E190" t="s">
        <v>78</v>
      </c>
      <c r="F190" s="12" t="s">
        <v>105</v>
      </c>
      <c r="G190">
        <v>178</v>
      </c>
    </row>
    <row r="191" spans="1:7" x14ac:dyDescent="0.35">
      <c r="A191" s="2">
        <v>42200</v>
      </c>
      <c r="B191" s="93" t="s">
        <v>105</v>
      </c>
      <c r="C191" t="s">
        <v>8</v>
      </c>
      <c r="D191" t="s">
        <v>14</v>
      </c>
      <c r="E191" t="s">
        <v>136</v>
      </c>
      <c r="F191" s="12" t="s">
        <v>105</v>
      </c>
      <c r="G191" s="4" t="s">
        <v>720</v>
      </c>
    </row>
    <row r="192" spans="1:7" x14ac:dyDescent="0.35">
      <c r="A192" s="2">
        <v>42200</v>
      </c>
      <c r="B192" s="93" t="s">
        <v>105</v>
      </c>
      <c r="C192" t="s">
        <v>8</v>
      </c>
      <c r="D192" t="s">
        <v>14</v>
      </c>
      <c r="E192" t="s">
        <v>136</v>
      </c>
      <c r="F192" s="12" t="s">
        <v>105</v>
      </c>
      <c r="G192" s="4" t="s">
        <v>721</v>
      </c>
    </row>
    <row r="193" spans="1:7" x14ac:dyDescent="0.35">
      <c r="A193" s="2">
        <v>42200</v>
      </c>
      <c r="B193" s="93" t="s">
        <v>105</v>
      </c>
      <c r="C193" t="s">
        <v>8</v>
      </c>
      <c r="D193" t="s">
        <v>14</v>
      </c>
      <c r="E193" t="s">
        <v>136</v>
      </c>
      <c r="F193" s="12" t="s">
        <v>105</v>
      </c>
      <c r="G193" s="4" t="s">
        <v>722</v>
      </c>
    </row>
    <row r="194" spans="1:7" x14ac:dyDescent="0.35">
      <c r="A194" s="2">
        <v>42200</v>
      </c>
      <c r="B194" s="93" t="s">
        <v>105</v>
      </c>
      <c r="C194" t="s">
        <v>8</v>
      </c>
      <c r="D194" t="s">
        <v>14</v>
      </c>
      <c r="E194" t="s">
        <v>74</v>
      </c>
      <c r="F194" s="12" t="s">
        <v>82</v>
      </c>
      <c r="G194">
        <v>194</v>
      </c>
    </row>
    <row r="195" spans="1:7" x14ac:dyDescent="0.35">
      <c r="A195" s="2">
        <v>42200</v>
      </c>
      <c r="B195" s="93" t="s">
        <v>105</v>
      </c>
      <c r="C195" t="s">
        <v>8</v>
      </c>
      <c r="D195" t="s">
        <v>14</v>
      </c>
      <c r="E195" t="s">
        <v>74</v>
      </c>
      <c r="F195" s="12" t="s">
        <v>82</v>
      </c>
      <c r="G195">
        <v>195</v>
      </c>
    </row>
    <row r="196" spans="1:7" x14ac:dyDescent="0.35">
      <c r="A196" s="2">
        <v>42200</v>
      </c>
      <c r="B196" s="93" t="s">
        <v>105</v>
      </c>
      <c r="C196" t="s">
        <v>8</v>
      </c>
      <c r="D196" t="s">
        <v>167</v>
      </c>
      <c r="E196" t="s">
        <v>136</v>
      </c>
      <c r="F196" s="12" t="s">
        <v>105</v>
      </c>
      <c r="G196" s="4" t="s">
        <v>491</v>
      </c>
    </row>
    <row r="197" spans="1:7" x14ac:dyDescent="0.35">
      <c r="A197" s="2">
        <v>42200</v>
      </c>
      <c r="B197" s="93" t="s">
        <v>105</v>
      </c>
      <c r="C197" t="s">
        <v>8</v>
      </c>
      <c r="D197" t="s">
        <v>167</v>
      </c>
      <c r="E197" t="s">
        <v>136</v>
      </c>
      <c r="F197" s="12" t="s">
        <v>105</v>
      </c>
      <c r="G197" s="4" t="s">
        <v>723</v>
      </c>
    </row>
    <row r="198" spans="1:7" x14ac:dyDescent="0.35">
      <c r="A198" s="2">
        <v>42200</v>
      </c>
      <c r="B198" s="93" t="s">
        <v>105</v>
      </c>
      <c r="C198" t="s">
        <v>8</v>
      </c>
      <c r="D198" t="s">
        <v>167</v>
      </c>
      <c r="E198" t="s">
        <v>136</v>
      </c>
      <c r="F198" s="12" t="s">
        <v>105</v>
      </c>
      <c r="G198" s="4" t="s">
        <v>724</v>
      </c>
    </row>
    <row r="199" spans="1:7" x14ac:dyDescent="0.35">
      <c r="A199" s="2">
        <v>42200</v>
      </c>
      <c r="B199" s="93" t="s">
        <v>105</v>
      </c>
      <c r="C199" t="s">
        <v>8</v>
      </c>
      <c r="D199" t="s">
        <v>167</v>
      </c>
      <c r="E199" t="s">
        <v>74</v>
      </c>
      <c r="F199" s="12" t="s">
        <v>82</v>
      </c>
      <c r="G199">
        <v>199</v>
      </c>
    </row>
    <row r="200" spans="1:7" x14ac:dyDescent="0.35">
      <c r="A200" s="2">
        <v>42200</v>
      </c>
      <c r="B200" s="93" t="s">
        <v>105</v>
      </c>
      <c r="C200" t="s">
        <v>8</v>
      </c>
      <c r="D200" t="s">
        <v>167</v>
      </c>
      <c r="E200" t="s">
        <v>74</v>
      </c>
      <c r="F200" s="12" t="s">
        <v>82</v>
      </c>
      <c r="G200">
        <v>200</v>
      </c>
    </row>
    <row r="201" spans="1:7" x14ac:dyDescent="0.35">
      <c r="A201" s="2">
        <v>42200</v>
      </c>
      <c r="B201" s="93" t="s">
        <v>105</v>
      </c>
      <c r="C201" t="s">
        <v>8</v>
      </c>
      <c r="D201" t="s">
        <v>25</v>
      </c>
      <c r="E201" t="s">
        <v>136</v>
      </c>
      <c r="F201" s="12" t="s">
        <v>105</v>
      </c>
      <c r="G201" s="4" t="s">
        <v>725</v>
      </c>
    </row>
    <row r="202" spans="1:7" x14ac:dyDescent="0.35">
      <c r="A202" s="2">
        <v>42200</v>
      </c>
      <c r="B202" s="93" t="s">
        <v>105</v>
      </c>
      <c r="C202" t="s">
        <v>8</v>
      </c>
      <c r="D202" t="s">
        <v>25</v>
      </c>
      <c r="E202" t="s">
        <v>136</v>
      </c>
      <c r="F202" s="12" t="s">
        <v>105</v>
      </c>
      <c r="G202" s="4" t="s">
        <v>726</v>
      </c>
    </row>
    <row r="203" spans="1:7" x14ac:dyDescent="0.35">
      <c r="A203" s="2">
        <v>42200</v>
      </c>
      <c r="B203" s="93" t="s">
        <v>105</v>
      </c>
      <c r="C203" t="s">
        <v>8</v>
      </c>
      <c r="D203" t="s">
        <v>25</v>
      </c>
      <c r="E203" t="s">
        <v>136</v>
      </c>
      <c r="F203" s="12" t="s">
        <v>105</v>
      </c>
      <c r="G203" s="4" t="s">
        <v>727</v>
      </c>
    </row>
    <row r="204" spans="1:7" x14ac:dyDescent="0.35">
      <c r="A204" s="2">
        <v>42200</v>
      </c>
      <c r="B204" s="93" t="s">
        <v>105</v>
      </c>
      <c r="C204" t="s">
        <v>8</v>
      </c>
      <c r="D204" t="s">
        <v>25</v>
      </c>
      <c r="E204" t="s">
        <v>74</v>
      </c>
      <c r="F204" s="12" t="s">
        <v>82</v>
      </c>
      <c r="G204">
        <v>207</v>
      </c>
    </row>
    <row r="205" spans="1:7" x14ac:dyDescent="0.35">
      <c r="A205" s="2">
        <v>42200</v>
      </c>
      <c r="B205" s="93" t="s">
        <v>105</v>
      </c>
      <c r="C205" t="s">
        <v>8</v>
      </c>
      <c r="D205" t="s">
        <v>25</v>
      </c>
      <c r="E205" t="s">
        <v>74</v>
      </c>
      <c r="F205" s="12" t="s">
        <v>82</v>
      </c>
      <c r="G205">
        <v>208</v>
      </c>
    </row>
    <row r="206" spans="1:7" x14ac:dyDescent="0.35">
      <c r="A206" s="2">
        <v>42200</v>
      </c>
      <c r="B206" s="93" t="s">
        <v>105</v>
      </c>
      <c r="C206" t="s">
        <v>8</v>
      </c>
      <c r="D206" t="s">
        <v>69</v>
      </c>
      <c r="E206" t="s">
        <v>136</v>
      </c>
      <c r="F206" s="12" t="s">
        <v>105</v>
      </c>
      <c r="G206" s="4" t="s">
        <v>496</v>
      </c>
    </row>
    <row r="207" spans="1:7" x14ac:dyDescent="0.35">
      <c r="A207" s="2">
        <v>42200</v>
      </c>
      <c r="B207" s="93" t="s">
        <v>105</v>
      </c>
      <c r="C207" t="s">
        <v>8</v>
      </c>
      <c r="D207" t="s">
        <v>69</v>
      </c>
      <c r="E207" t="s">
        <v>136</v>
      </c>
      <c r="F207" s="12" t="s">
        <v>105</v>
      </c>
      <c r="G207" s="4" t="s">
        <v>495</v>
      </c>
    </row>
    <row r="208" spans="1:7" x14ac:dyDescent="0.35">
      <c r="A208" s="2">
        <v>42200</v>
      </c>
      <c r="B208" s="93" t="s">
        <v>105</v>
      </c>
      <c r="C208" t="s">
        <v>8</v>
      </c>
      <c r="D208" t="s">
        <v>69</v>
      </c>
      <c r="E208" t="s">
        <v>136</v>
      </c>
      <c r="F208" s="12" t="s">
        <v>105</v>
      </c>
      <c r="G208" s="4" t="s">
        <v>728</v>
      </c>
    </row>
    <row r="209" spans="1:7" x14ac:dyDescent="0.35">
      <c r="A209" s="2">
        <v>42200</v>
      </c>
      <c r="B209" s="93" t="s">
        <v>105</v>
      </c>
      <c r="C209" t="s">
        <v>8</v>
      </c>
      <c r="D209" t="s">
        <v>69</v>
      </c>
      <c r="E209" t="s">
        <v>74</v>
      </c>
      <c r="F209" s="12" t="s">
        <v>82</v>
      </c>
      <c r="G209">
        <v>212</v>
      </c>
    </row>
    <row r="210" spans="1:7" x14ac:dyDescent="0.35">
      <c r="A210" s="2">
        <v>42200</v>
      </c>
      <c r="B210" s="93" t="s">
        <v>105</v>
      </c>
      <c r="C210" t="s">
        <v>8</v>
      </c>
      <c r="D210" t="s">
        <v>69</v>
      </c>
      <c r="E210" t="s">
        <v>74</v>
      </c>
      <c r="F210" s="12" t="s">
        <v>82</v>
      </c>
      <c r="G210">
        <v>213</v>
      </c>
    </row>
    <row r="211" spans="1:7" x14ac:dyDescent="0.35">
      <c r="A211" s="2">
        <v>42200</v>
      </c>
      <c r="B211" s="93" t="s">
        <v>105</v>
      </c>
      <c r="C211" t="s">
        <v>8</v>
      </c>
      <c r="D211" t="s">
        <v>167</v>
      </c>
      <c r="E211" t="s">
        <v>78</v>
      </c>
      <c r="F211" s="12" t="s">
        <v>105</v>
      </c>
      <c r="G211">
        <v>201</v>
      </c>
    </row>
    <row r="212" spans="1:7" x14ac:dyDescent="0.35">
      <c r="A212" s="2">
        <v>42200</v>
      </c>
      <c r="B212" s="93" t="s">
        <v>105</v>
      </c>
      <c r="C212" t="s">
        <v>8</v>
      </c>
      <c r="D212" t="s">
        <v>167</v>
      </c>
      <c r="E212" t="s">
        <v>78</v>
      </c>
      <c r="F212" s="12" t="s">
        <v>105</v>
      </c>
      <c r="G212">
        <v>202</v>
      </c>
    </row>
    <row r="213" spans="1:7" x14ac:dyDescent="0.35">
      <c r="A213" s="2">
        <v>42200</v>
      </c>
      <c r="B213" s="93" t="s">
        <v>105</v>
      </c>
      <c r="C213" t="s">
        <v>8</v>
      </c>
      <c r="D213" t="s">
        <v>167</v>
      </c>
      <c r="E213" t="s">
        <v>78</v>
      </c>
      <c r="F213" s="12" t="s">
        <v>105</v>
      </c>
      <c r="G213">
        <v>203</v>
      </c>
    </row>
    <row r="214" spans="1:7" x14ac:dyDescent="0.35">
      <c r="A214" s="2">
        <v>42201</v>
      </c>
      <c r="B214" s="93" t="s">
        <v>105</v>
      </c>
      <c r="C214" t="s">
        <v>8</v>
      </c>
      <c r="D214" t="s">
        <v>18</v>
      </c>
      <c r="E214" t="s">
        <v>136</v>
      </c>
      <c r="F214" s="12" t="s">
        <v>105</v>
      </c>
      <c r="G214" s="4" t="s">
        <v>729</v>
      </c>
    </row>
    <row r="215" spans="1:7" x14ac:dyDescent="0.35">
      <c r="A215" s="2">
        <v>42201</v>
      </c>
      <c r="B215" s="93" t="s">
        <v>105</v>
      </c>
      <c r="C215" t="s">
        <v>8</v>
      </c>
      <c r="D215" t="s">
        <v>18</v>
      </c>
      <c r="E215" t="s">
        <v>136</v>
      </c>
      <c r="F215" s="12" t="s">
        <v>105</v>
      </c>
      <c r="G215" s="4" t="s">
        <v>730</v>
      </c>
    </row>
    <row r="216" spans="1:7" x14ac:dyDescent="0.35">
      <c r="A216" s="2">
        <v>42201</v>
      </c>
      <c r="B216" s="93" t="s">
        <v>105</v>
      </c>
      <c r="C216" t="s">
        <v>8</v>
      </c>
      <c r="D216" t="s">
        <v>18</v>
      </c>
      <c r="E216" t="s">
        <v>136</v>
      </c>
      <c r="F216" s="12" t="s">
        <v>105</v>
      </c>
      <c r="G216" s="4" t="s">
        <v>504</v>
      </c>
    </row>
    <row r="217" spans="1:7" x14ac:dyDescent="0.35">
      <c r="A217" s="2">
        <v>42201</v>
      </c>
      <c r="B217" s="93" t="s">
        <v>105</v>
      </c>
      <c r="C217" t="s">
        <v>8</v>
      </c>
      <c r="D217" t="s">
        <v>18</v>
      </c>
      <c r="E217" t="s">
        <v>74</v>
      </c>
      <c r="F217" s="12" t="s">
        <v>82</v>
      </c>
      <c r="G217">
        <v>217</v>
      </c>
    </row>
    <row r="218" spans="1:7" x14ac:dyDescent="0.35">
      <c r="A218" s="2">
        <v>42201</v>
      </c>
      <c r="B218" s="93" t="s">
        <v>105</v>
      </c>
      <c r="C218" t="s">
        <v>8</v>
      </c>
      <c r="D218" t="s">
        <v>18</v>
      </c>
      <c r="E218" t="s">
        <v>74</v>
      </c>
      <c r="F218" s="12" t="s">
        <v>82</v>
      </c>
      <c r="G218">
        <v>218</v>
      </c>
    </row>
    <row r="219" spans="1:7" x14ac:dyDescent="0.35">
      <c r="A219" s="2">
        <v>42201</v>
      </c>
      <c r="B219" s="93" t="s">
        <v>105</v>
      </c>
      <c r="C219" t="s">
        <v>8</v>
      </c>
      <c r="D219" t="s">
        <v>64</v>
      </c>
      <c r="E219" t="s">
        <v>136</v>
      </c>
      <c r="F219" s="12" t="s">
        <v>105</v>
      </c>
      <c r="G219" s="4" t="s">
        <v>502</v>
      </c>
    </row>
    <row r="220" spans="1:7" x14ac:dyDescent="0.35">
      <c r="A220" s="2">
        <v>42201</v>
      </c>
      <c r="B220" s="93" t="s">
        <v>105</v>
      </c>
      <c r="C220" t="s">
        <v>8</v>
      </c>
      <c r="D220" t="s">
        <v>64</v>
      </c>
      <c r="E220" t="s">
        <v>136</v>
      </c>
      <c r="F220" s="12" t="s">
        <v>105</v>
      </c>
      <c r="G220" s="4" t="s">
        <v>512</v>
      </c>
    </row>
    <row r="221" spans="1:7" x14ac:dyDescent="0.35">
      <c r="A221" s="2">
        <v>42201</v>
      </c>
      <c r="B221" s="93" t="s">
        <v>105</v>
      </c>
      <c r="C221" t="s">
        <v>8</v>
      </c>
      <c r="D221" t="s">
        <v>64</v>
      </c>
      <c r="E221" t="s">
        <v>136</v>
      </c>
      <c r="F221" s="12" t="s">
        <v>105</v>
      </c>
      <c r="G221" s="4" t="s">
        <v>497</v>
      </c>
    </row>
    <row r="222" spans="1:7" x14ac:dyDescent="0.35">
      <c r="A222" s="2">
        <v>42201</v>
      </c>
      <c r="B222" s="93" t="s">
        <v>105</v>
      </c>
      <c r="C222" t="s">
        <v>8</v>
      </c>
      <c r="D222" t="s">
        <v>64</v>
      </c>
      <c r="E222" t="s">
        <v>74</v>
      </c>
      <c r="F222" s="12" t="s">
        <v>82</v>
      </c>
      <c r="G222">
        <v>225</v>
      </c>
    </row>
    <row r="223" spans="1:7" x14ac:dyDescent="0.35">
      <c r="A223" s="2">
        <v>42201</v>
      </c>
      <c r="B223" s="93" t="s">
        <v>105</v>
      </c>
      <c r="C223" t="s">
        <v>8</v>
      </c>
      <c r="D223" t="s">
        <v>64</v>
      </c>
      <c r="E223" t="s">
        <v>74</v>
      </c>
      <c r="F223" s="12" t="s">
        <v>82</v>
      </c>
      <c r="G223">
        <v>226</v>
      </c>
    </row>
    <row r="224" spans="1:7" x14ac:dyDescent="0.35">
      <c r="A224" s="2">
        <v>42201</v>
      </c>
      <c r="B224" s="93" t="s">
        <v>105</v>
      </c>
      <c r="C224" t="s">
        <v>8</v>
      </c>
      <c r="D224" t="s">
        <v>60</v>
      </c>
      <c r="E224" t="s">
        <v>136</v>
      </c>
      <c r="F224" s="12" t="s">
        <v>105</v>
      </c>
      <c r="G224" s="4" t="s">
        <v>731</v>
      </c>
    </row>
    <row r="225" spans="1:7" x14ac:dyDescent="0.35">
      <c r="A225" s="2">
        <v>42201</v>
      </c>
      <c r="B225" s="93" t="s">
        <v>105</v>
      </c>
      <c r="C225" t="s">
        <v>8</v>
      </c>
      <c r="D225" t="s">
        <v>60</v>
      </c>
      <c r="E225" t="s">
        <v>136</v>
      </c>
      <c r="F225" s="12" t="s">
        <v>105</v>
      </c>
      <c r="G225" s="4" t="s">
        <v>732</v>
      </c>
    </row>
    <row r="226" spans="1:7" x14ac:dyDescent="0.35">
      <c r="A226" s="2">
        <v>42201</v>
      </c>
      <c r="B226" s="93" t="s">
        <v>105</v>
      </c>
      <c r="C226" t="s">
        <v>8</v>
      </c>
      <c r="D226" t="s">
        <v>60</v>
      </c>
      <c r="E226" t="s">
        <v>136</v>
      </c>
      <c r="F226" s="12" t="s">
        <v>105</v>
      </c>
      <c r="G226" s="4" t="s">
        <v>733</v>
      </c>
    </row>
    <row r="227" spans="1:7" x14ac:dyDescent="0.35">
      <c r="A227" s="2">
        <v>42201</v>
      </c>
      <c r="B227" s="93" t="s">
        <v>105</v>
      </c>
      <c r="C227" t="s">
        <v>8</v>
      </c>
      <c r="D227" t="s">
        <v>60</v>
      </c>
      <c r="E227" t="s">
        <v>74</v>
      </c>
      <c r="F227" s="12" t="s">
        <v>82</v>
      </c>
      <c r="G227">
        <v>233</v>
      </c>
    </row>
    <row r="228" spans="1:7" x14ac:dyDescent="0.35">
      <c r="A228" s="2">
        <v>42201</v>
      </c>
      <c r="B228" s="93" t="s">
        <v>105</v>
      </c>
      <c r="C228" t="s">
        <v>8</v>
      </c>
      <c r="D228" t="s">
        <v>60</v>
      </c>
      <c r="E228" t="s">
        <v>74</v>
      </c>
      <c r="F228" s="12" t="s">
        <v>82</v>
      </c>
      <c r="G228">
        <v>234</v>
      </c>
    </row>
    <row r="229" spans="1:7" x14ac:dyDescent="0.35">
      <c r="A229" s="2">
        <v>42201</v>
      </c>
      <c r="B229" s="93" t="s">
        <v>105</v>
      </c>
      <c r="C229" t="s">
        <v>8</v>
      </c>
      <c r="D229" t="s">
        <v>18</v>
      </c>
      <c r="E229" t="s">
        <v>78</v>
      </c>
      <c r="F229" s="12" t="s">
        <v>105</v>
      </c>
      <c r="G229">
        <v>219</v>
      </c>
    </row>
    <row r="230" spans="1:7" x14ac:dyDescent="0.35">
      <c r="A230" s="2">
        <v>42201</v>
      </c>
      <c r="B230" s="93" t="s">
        <v>105</v>
      </c>
      <c r="C230" t="s">
        <v>8</v>
      </c>
      <c r="D230" t="s">
        <v>18</v>
      </c>
      <c r="E230" t="s">
        <v>78</v>
      </c>
      <c r="F230" s="12" t="s">
        <v>105</v>
      </c>
      <c r="G230">
        <v>220</v>
      </c>
    </row>
    <row r="231" spans="1:7" x14ac:dyDescent="0.35">
      <c r="A231" s="2">
        <v>42201</v>
      </c>
      <c r="B231" s="93" t="s">
        <v>105</v>
      </c>
      <c r="C231" t="s">
        <v>8</v>
      </c>
      <c r="D231" t="s">
        <v>18</v>
      </c>
      <c r="E231" t="s">
        <v>78</v>
      </c>
      <c r="F231" s="12" t="s">
        <v>105</v>
      </c>
      <c r="G231">
        <v>221</v>
      </c>
    </row>
    <row r="232" spans="1:7" x14ac:dyDescent="0.35">
      <c r="A232" s="2">
        <v>42201</v>
      </c>
      <c r="B232" s="93" t="s">
        <v>105</v>
      </c>
      <c r="C232" t="s">
        <v>8</v>
      </c>
      <c r="D232" t="s">
        <v>64</v>
      </c>
      <c r="E232" t="s">
        <v>78</v>
      </c>
      <c r="F232" s="12" t="s">
        <v>105</v>
      </c>
      <c r="G232">
        <v>227</v>
      </c>
    </row>
    <row r="233" spans="1:7" x14ac:dyDescent="0.35">
      <c r="A233" s="2">
        <v>42201</v>
      </c>
      <c r="B233" s="93" t="s">
        <v>105</v>
      </c>
      <c r="C233" t="s">
        <v>8</v>
      </c>
      <c r="D233" t="s">
        <v>64</v>
      </c>
      <c r="E233" t="s">
        <v>78</v>
      </c>
      <c r="F233" s="12" t="s">
        <v>105</v>
      </c>
      <c r="G233">
        <v>228</v>
      </c>
    </row>
    <row r="234" spans="1:7" x14ac:dyDescent="0.35">
      <c r="A234" s="2">
        <v>42201</v>
      </c>
      <c r="B234" s="93" t="s">
        <v>105</v>
      </c>
      <c r="C234" t="s">
        <v>8</v>
      </c>
      <c r="D234" t="s">
        <v>64</v>
      </c>
      <c r="E234" t="s">
        <v>78</v>
      </c>
      <c r="F234" s="12" t="s">
        <v>105</v>
      </c>
      <c r="G234">
        <v>229</v>
      </c>
    </row>
    <row r="235" spans="1:7" x14ac:dyDescent="0.35">
      <c r="A235" s="2">
        <v>42207</v>
      </c>
      <c r="B235" s="93" t="s">
        <v>105</v>
      </c>
      <c r="C235" t="s">
        <v>8</v>
      </c>
      <c r="D235" t="s">
        <v>9</v>
      </c>
      <c r="E235" t="s">
        <v>136</v>
      </c>
      <c r="F235" s="12" t="s">
        <v>105</v>
      </c>
      <c r="G235" s="4" t="s">
        <v>492</v>
      </c>
    </row>
    <row r="236" spans="1:7" x14ac:dyDescent="0.35">
      <c r="A236" s="2">
        <v>42207</v>
      </c>
      <c r="B236" s="93" t="s">
        <v>105</v>
      </c>
      <c r="C236" t="s">
        <v>8</v>
      </c>
      <c r="D236" t="s">
        <v>9</v>
      </c>
      <c r="E236" t="s">
        <v>136</v>
      </c>
      <c r="F236" s="12" t="s">
        <v>105</v>
      </c>
      <c r="G236" s="4" t="s">
        <v>734</v>
      </c>
    </row>
    <row r="237" spans="1:7" x14ac:dyDescent="0.35">
      <c r="A237" s="2">
        <v>42207</v>
      </c>
      <c r="B237" s="93" t="s">
        <v>105</v>
      </c>
      <c r="C237" t="s">
        <v>8</v>
      </c>
      <c r="D237" t="s">
        <v>9</v>
      </c>
      <c r="E237" t="s">
        <v>136</v>
      </c>
      <c r="F237" s="12" t="s">
        <v>105</v>
      </c>
      <c r="G237" s="4" t="s">
        <v>735</v>
      </c>
    </row>
    <row r="238" spans="1:7" x14ac:dyDescent="0.35">
      <c r="A238" s="2">
        <v>42207</v>
      </c>
      <c r="B238" s="93" t="s">
        <v>105</v>
      </c>
      <c r="C238" t="s">
        <v>8</v>
      </c>
      <c r="D238" t="s">
        <v>9</v>
      </c>
      <c r="E238" t="s">
        <v>74</v>
      </c>
      <c r="F238" s="12" t="s">
        <v>82</v>
      </c>
      <c r="G238" s="4" t="s">
        <v>503</v>
      </c>
    </row>
    <row r="239" spans="1:7" x14ac:dyDescent="0.35">
      <c r="A239" s="2">
        <v>42207</v>
      </c>
      <c r="B239" s="93" t="s">
        <v>105</v>
      </c>
      <c r="C239" t="s">
        <v>8</v>
      </c>
      <c r="D239" t="s">
        <v>9</v>
      </c>
      <c r="E239" t="s">
        <v>74</v>
      </c>
      <c r="F239" s="12" t="s">
        <v>82</v>
      </c>
      <c r="G239" s="4" t="s">
        <v>736</v>
      </c>
    </row>
    <row r="240" spans="1:7" x14ac:dyDescent="0.35">
      <c r="A240" s="2">
        <v>42207</v>
      </c>
      <c r="B240" s="93" t="s">
        <v>105</v>
      </c>
      <c r="C240" t="s">
        <v>8</v>
      </c>
      <c r="D240" t="s">
        <v>9</v>
      </c>
      <c r="E240" t="s">
        <v>78</v>
      </c>
      <c r="F240" s="12" t="s">
        <v>105</v>
      </c>
      <c r="G240" s="4" t="s">
        <v>756</v>
      </c>
    </row>
    <row r="241" spans="1:7" x14ac:dyDescent="0.35">
      <c r="A241" s="2">
        <v>42207</v>
      </c>
      <c r="B241" s="93" t="s">
        <v>105</v>
      </c>
      <c r="C241" t="s">
        <v>8</v>
      </c>
      <c r="D241" t="s">
        <v>9</v>
      </c>
      <c r="E241" t="s">
        <v>78</v>
      </c>
      <c r="F241" s="12" t="s">
        <v>105</v>
      </c>
      <c r="G241" s="4" t="s">
        <v>507</v>
      </c>
    </row>
    <row r="242" spans="1:7" x14ac:dyDescent="0.35">
      <c r="A242" s="2">
        <v>42207</v>
      </c>
      <c r="B242" s="93" t="s">
        <v>105</v>
      </c>
      <c r="C242" t="s">
        <v>8</v>
      </c>
      <c r="D242" t="s">
        <v>9</v>
      </c>
      <c r="E242" t="s">
        <v>78</v>
      </c>
      <c r="F242" s="12" t="s">
        <v>105</v>
      </c>
      <c r="G242" s="4" t="s">
        <v>757</v>
      </c>
    </row>
    <row r="243" spans="1:7" x14ac:dyDescent="0.35">
      <c r="A243" s="2">
        <v>42207</v>
      </c>
      <c r="B243" s="93" t="s">
        <v>105</v>
      </c>
      <c r="C243" t="s">
        <v>8</v>
      </c>
      <c r="D243" t="s">
        <v>14</v>
      </c>
      <c r="E243" t="s">
        <v>136</v>
      </c>
      <c r="F243" s="12" t="s">
        <v>105</v>
      </c>
      <c r="G243" s="4" t="s">
        <v>737</v>
      </c>
    </row>
    <row r="244" spans="1:7" x14ac:dyDescent="0.35">
      <c r="A244" s="2">
        <v>42207</v>
      </c>
      <c r="B244" s="93" t="s">
        <v>105</v>
      </c>
      <c r="C244" t="s">
        <v>8</v>
      </c>
      <c r="D244" t="s">
        <v>14</v>
      </c>
      <c r="E244" t="s">
        <v>136</v>
      </c>
      <c r="F244" s="12" t="s">
        <v>105</v>
      </c>
      <c r="G244" s="4" t="s">
        <v>738</v>
      </c>
    </row>
    <row r="245" spans="1:7" x14ac:dyDescent="0.35">
      <c r="A245" s="2">
        <v>42207</v>
      </c>
      <c r="B245" s="93" t="s">
        <v>105</v>
      </c>
      <c r="C245" t="s">
        <v>8</v>
      </c>
      <c r="D245" t="s">
        <v>14</v>
      </c>
      <c r="E245" t="s">
        <v>136</v>
      </c>
      <c r="F245" s="12" t="s">
        <v>105</v>
      </c>
      <c r="G245" s="4" t="s">
        <v>739</v>
      </c>
    </row>
    <row r="246" spans="1:7" x14ac:dyDescent="0.35">
      <c r="A246" s="2">
        <v>42207</v>
      </c>
      <c r="B246" s="93" t="s">
        <v>105</v>
      </c>
      <c r="C246" t="s">
        <v>8</v>
      </c>
      <c r="D246" t="s">
        <v>14</v>
      </c>
      <c r="E246" t="s">
        <v>74</v>
      </c>
      <c r="F246" s="12" t="s">
        <v>82</v>
      </c>
      <c r="G246" s="4" t="s">
        <v>509</v>
      </c>
    </row>
    <row r="247" spans="1:7" x14ac:dyDescent="0.35">
      <c r="A247" s="2">
        <v>42207</v>
      </c>
      <c r="B247" s="93" t="s">
        <v>105</v>
      </c>
      <c r="C247" t="s">
        <v>8</v>
      </c>
      <c r="D247" t="s">
        <v>14</v>
      </c>
      <c r="E247" t="s">
        <v>74</v>
      </c>
      <c r="F247" s="12" t="s">
        <v>82</v>
      </c>
      <c r="G247" s="4" t="s">
        <v>508</v>
      </c>
    </row>
    <row r="248" spans="1:7" x14ac:dyDescent="0.35">
      <c r="A248" s="2">
        <v>42207</v>
      </c>
      <c r="B248" s="93" t="s">
        <v>105</v>
      </c>
      <c r="C248" t="s">
        <v>8</v>
      </c>
      <c r="D248" t="s">
        <v>18</v>
      </c>
      <c r="E248" t="s">
        <v>136</v>
      </c>
      <c r="F248" s="12" t="s">
        <v>105</v>
      </c>
      <c r="G248" s="4" t="s">
        <v>740</v>
      </c>
    </row>
    <row r="249" spans="1:7" x14ac:dyDescent="0.35">
      <c r="A249" s="2">
        <v>42207</v>
      </c>
      <c r="B249" s="93" t="s">
        <v>105</v>
      </c>
      <c r="C249" t="s">
        <v>8</v>
      </c>
      <c r="D249" t="s">
        <v>18</v>
      </c>
      <c r="E249" t="s">
        <v>136</v>
      </c>
      <c r="F249" s="12" t="s">
        <v>105</v>
      </c>
      <c r="G249" s="4" t="s">
        <v>741</v>
      </c>
    </row>
    <row r="250" spans="1:7" x14ac:dyDescent="0.35">
      <c r="A250" s="2">
        <v>42207</v>
      </c>
      <c r="B250" s="93" t="s">
        <v>105</v>
      </c>
      <c r="C250" t="s">
        <v>8</v>
      </c>
      <c r="D250" t="s">
        <v>18</v>
      </c>
      <c r="E250" t="s">
        <v>136</v>
      </c>
      <c r="F250" s="12" t="s">
        <v>105</v>
      </c>
      <c r="G250" s="4" t="s">
        <v>742</v>
      </c>
    </row>
    <row r="251" spans="1:7" x14ac:dyDescent="0.35">
      <c r="A251" s="2">
        <v>42207</v>
      </c>
      <c r="B251" s="93" t="s">
        <v>105</v>
      </c>
      <c r="C251" t="s">
        <v>8</v>
      </c>
      <c r="D251" t="s">
        <v>18</v>
      </c>
      <c r="E251" t="s">
        <v>74</v>
      </c>
      <c r="F251" s="12" t="s">
        <v>82</v>
      </c>
      <c r="G251" s="4" t="s">
        <v>743</v>
      </c>
    </row>
    <row r="252" spans="1:7" x14ac:dyDescent="0.35">
      <c r="A252" s="2">
        <v>42207</v>
      </c>
      <c r="B252" s="93" t="s">
        <v>105</v>
      </c>
      <c r="C252" t="s">
        <v>8</v>
      </c>
      <c r="D252" t="s">
        <v>18</v>
      </c>
      <c r="E252" t="s">
        <v>74</v>
      </c>
      <c r="F252" s="12" t="s">
        <v>82</v>
      </c>
      <c r="G252" s="4" t="s">
        <v>744</v>
      </c>
    </row>
    <row r="253" spans="1:7" x14ac:dyDescent="0.35">
      <c r="A253" s="2">
        <v>42207</v>
      </c>
      <c r="B253" s="93" t="s">
        <v>105</v>
      </c>
      <c r="C253" t="s">
        <v>8</v>
      </c>
      <c r="D253" t="s">
        <v>26</v>
      </c>
      <c r="E253" t="s">
        <v>136</v>
      </c>
      <c r="F253" s="12" t="s">
        <v>105</v>
      </c>
      <c r="G253" s="4" t="s">
        <v>292</v>
      </c>
    </row>
    <row r="254" spans="1:7" x14ac:dyDescent="0.35">
      <c r="A254" s="2">
        <v>42207</v>
      </c>
      <c r="B254" s="93" t="s">
        <v>105</v>
      </c>
      <c r="C254" t="s">
        <v>8</v>
      </c>
      <c r="D254" t="s">
        <v>26</v>
      </c>
      <c r="E254" t="s">
        <v>136</v>
      </c>
      <c r="F254" s="12" t="s">
        <v>105</v>
      </c>
      <c r="G254" s="4" t="s">
        <v>745</v>
      </c>
    </row>
    <row r="255" spans="1:7" x14ac:dyDescent="0.35">
      <c r="A255" s="2">
        <v>42207</v>
      </c>
      <c r="B255" s="93" t="s">
        <v>105</v>
      </c>
      <c r="C255" t="s">
        <v>8</v>
      </c>
      <c r="D255" t="s">
        <v>26</v>
      </c>
      <c r="E255" t="s">
        <v>136</v>
      </c>
      <c r="F255" s="12" t="s">
        <v>105</v>
      </c>
      <c r="G255" s="4" t="s">
        <v>746</v>
      </c>
    </row>
    <row r="256" spans="1:7" x14ac:dyDescent="0.35">
      <c r="A256" s="2">
        <v>42207</v>
      </c>
      <c r="B256" s="93" t="s">
        <v>105</v>
      </c>
      <c r="C256" t="s">
        <v>8</v>
      </c>
      <c r="D256" t="s">
        <v>26</v>
      </c>
      <c r="E256" t="s">
        <v>74</v>
      </c>
      <c r="F256" s="12" t="s">
        <v>82</v>
      </c>
      <c r="G256" s="4" t="s">
        <v>747</v>
      </c>
    </row>
    <row r="257" spans="1:7" x14ac:dyDescent="0.35">
      <c r="A257" s="2">
        <v>42207</v>
      </c>
      <c r="B257" s="93" t="s">
        <v>105</v>
      </c>
      <c r="C257" t="s">
        <v>8</v>
      </c>
      <c r="D257" t="s">
        <v>26</v>
      </c>
      <c r="E257" t="s">
        <v>74</v>
      </c>
      <c r="F257" s="12" t="s">
        <v>82</v>
      </c>
      <c r="G257" s="4" t="s">
        <v>748</v>
      </c>
    </row>
    <row r="258" spans="1:7" x14ac:dyDescent="0.35">
      <c r="A258" s="2">
        <v>42207</v>
      </c>
      <c r="B258" s="93" t="s">
        <v>105</v>
      </c>
      <c r="C258" t="s">
        <v>8</v>
      </c>
      <c r="D258" t="s">
        <v>25</v>
      </c>
      <c r="E258" t="s">
        <v>136</v>
      </c>
      <c r="F258" s="12" t="s">
        <v>105</v>
      </c>
      <c r="G258" s="4" t="s">
        <v>749</v>
      </c>
    </row>
    <row r="259" spans="1:7" x14ac:dyDescent="0.35">
      <c r="A259" s="2">
        <v>42207</v>
      </c>
      <c r="B259" s="93" t="s">
        <v>105</v>
      </c>
      <c r="C259" t="s">
        <v>8</v>
      </c>
      <c r="D259" t="s">
        <v>25</v>
      </c>
      <c r="E259" t="s">
        <v>136</v>
      </c>
      <c r="F259" s="12" t="s">
        <v>105</v>
      </c>
      <c r="G259" s="4" t="s">
        <v>293</v>
      </c>
    </row>
    <row r="260" spans="1:7" x14ac:dyDescent="0.35">
      <c r="A260" s="2">
        <v>42207</v>
      </c>
      <c r="B260" s="93" t="s">
        <v>105</v>
      </c>
      <c r="C260" t="s">
        <v>8</v>
      </c>
      <c r="D260" t="s">
        <v>25</v>
      </c>
      <c r="E260" t="s">
        <v>136</v>
      </c>
      <c r="F260" s="12" t="s">
        <v>105</v>
      </c>
      <c r="G260" s="4" t="s">
        <v>494</v>
      </c>
    </row>
    <row r="261" spans="1:7" x14ac:dyDescent="0.35">
      <c r="A261" s="2">
        <v>42207</v>
      </c>
      <c r="B261" s="93" t="s">
        <v>105</v>
      </c>
      <c r="C261" t="s">
        <v>8</v>
      </c>
      <c r="D261" t="s">
        <v>25</v>
      </c>
      <c r="E261" t="s">
        <v>74</v>
      </c>
      <c r="F261" s="12" t="s">
        <v>82</v>
      </c>
      <c r="G261" s="4" t="s">
        <v>750</v>
      </c>
    </row>
    <row r="262" spans="1:7" x14ac:dyDescent="0.35">
      <c r="A262" s="2">
        <v>42207</v>
      </c>
      <c r="B262" s="93" t="s">
        <v>105</v>
      </c>
      <c r="C262" t="s">
        <v>8</v>
      </c>
      <c r="D262" t="s">
        <v>25</v>
      </c>
      <c r="E262" t="s">
        <v>74</v>
      </c>
      <c r="F262" s="12" t="s">
        <v>82</v>
      </c>
      <c r="G262" s="4" t="s">
        <v>751</v>
      </c>
    </row>
    <row r="263" spans="1:7" x14ac:dyDescent="0.35">
      <c r="A263" s="2">
        <v>42207</v>
      </c>
      <c r="B263" s="93" t="s">
        <v>105</v>
      </c>
      <c r="C263" t="s">
        <v>8</v>
      </c>
      <c r="D263" t="s">
        <v>25</v>
      </c>
      <c r="E263" t="s">
        <v>78</v>
      </c>
      <c r="F263" s="12" t="s">
        <v>105</v>
      </c>
      <c r="G263" s="4" t="s">
        <v>758</v>
      </c>
    </row>
    <row r="264" spans="1:7" x14ac:dyDescent="0.35">
      <c r="A264" s="2">
        <v>42207</v>
      </c>
      <c r="B264" s="93" t="s">
        <v>105</v>
      </c>
      <c r="C264" t="s">
        <v>8</v>
      </c>
      <c r="D264" t="s">
        <v>25</v>
      </c>
      <c r="E264" t="s">
        <v>78</v>
      </c>
      <c r="F264" s="12" t="s">
        <v>105</v>
      </c>
      <c r="G264" s="4" t="s">
        <v>499</v>
      </c>
    </row>
    <row r="265" spans="1:7" x14ac:dyDescent="0.35">
      <c r="A265" s="2">
        <v>42207</v>
      </c>
      <c r="B265" s="93" t="s">
        <v>105</v>
      </c>
      <c r="C265" t="s">
        <v>8</v>
      </c>
      <c r="D265" t="s">
        <v>25</v>
      </c>
      <c r="E265" t="s">
        <v>78</v>
      </c>
      <c r="F265" s="12" t="s">
        <v>105</v>
      </c>
      <c r="G265" s="4" t="s">
        <v>511</v>
      </c>
    </row>
    <row r="266" spans="1:7" x14ac:dyDescent="0.35">
      <c r="A266" s="2">
        <v>42207</v>
      </c>
      <c r="B266" s="93" t="s">
        <v>105</v>
      </c>
      <c r="C266" t="s">
        <v>8</v>
      </c>
      <c r="D266" t="s">
        <v>167</v>
      </c>
      <c r="E266" t="s">
        <v>136</v>
      </c>
      <c r="F266" s="12" t="s">
        <v>105</v>
      </c>
      <c r="G266" s="4" t="s">
        <v>490</v>
      </c>
    </row>
    <row r="267" spans="1:7" x14ac:dyDescent="0.35">
      <c r="A267" s="2">
        <v>42207</v>
      </c>
      <c r="B267" s="93" t="s">
        <v>105</v>
      </c>
      <c r="C267" t="s">
        <v>8</v>
      </c>
      <c r="D267" t="s">
        <v>167</v>
      </c>
      <c r="E267" t="s">
        <v>136</v>
      </c>
      <c r="F267" s="12" t="s">
        <v>105</v>
      </c>
      <c r="G267" s="4" t="s">
        <v>752</v>
      </c>
    </row>
    <row r="268" spans="1:7" x14ac:dyDescent="0.35">
      <c r="A268" s="2">
        <v>42207</v>
      </c>
      <c r="B268" s="93" t="s">
        <v>105</v>
      </c>
      <c r="C268" t="s">
        <v>8</v>
      </c>
      <c r="D268" t="s">
        <v>167</v>
      </c>
      <c r="E268" t="s">
        <v>136</v>
      </c>
      <c r="F268" s="12" t="s">
        <v>105</v>
      </c>
      <c r="G268" s="4" t="s">
        <v>753</v>
      </c>
    </row>
    <row r="269" spans="1:7" x14ac:dyDescent="0.35">
      <c r="A269" s="2">
        <v>42207</v>
      </c>
      <c r="B269" s="93" t="s">
        <v>105</v>
      </c>
      <c r="C269" t="s">
        <v>8</v>
      </c>
      <c r="D269" t="s">
        <v>167</v>
      </c>
      <c r="E269" t="s">
        <v>74</v>
      </c>
      <c r="F269" s="12" t="s">
        <v>82</v>
      </c>
      <c r="G269" s="4" t="s">
        <v>754</v>
      </c>
    </row>
    <row r="270" spans="1:7" x14ac:dyDescent="0.35">
      <c r="A270" s="2">
        <v>42207</v>
      </c>
      <c r="B270" s="93" t="s">
        <v>105</v>
      </c>
      <c r="C270" t="s">
        <v>8</v>
      </c>
      <c r="D270" t="s">
        <v>167</v>
      </c>
      <c r="E270" t="s">
        <v>74</v>
      </c>
      <c r="F270" s="12" t="s">
        <v>82</v>
      </c>
      <c r="G270" s="4" t="s">
        <v>755</v>
      </c>
    </row>
    <row r="271" spans="1:7" x14ac:dyDescent="0.35">
      <c r="A271" s="2">
        <v>42208</v>
      </c>
      <c r="B271" s="93" t="s">
        <v>105</v>
      </c>
      <c r="C271" t="s">
        <v>8</v>
      </c>
      <c r="D271" t="s">
        <v>64</v>
      </c>
      <c r="E271" t="s">
        <v>136</v>
      </c>
      <c r="F271" s="12" t="s">
        <v>105</v>
      </c>
      <c r="G271" s="4" t="s">
        <v>759</v>
      </c>
    </row>
    <row r="272" spans="1:7" x14ac:dyDescent="0.35">
      <c r="A272" s="2">
        <v>42208</v>
      </c>
      <c r="B272" s="93" t="s">
        <v>105</v>
      </c>
      <c r="C272" t="s">
        <v>8</v>
      </c>
      <c r="D272" t="s">
        <v>64</v>
      </c>
      <c r="E272" t="s">
        <v>136</v>
      </c>
      <c r="F272" s="12" t="s">
        <v>105</v>
      </c>
      <c r="G272" s="4" t="s">
        <v>760</v>
      </c>
    </row>
    <row r="273" spans="1:7" x14ac:dyDescent="0.35">
      <c r="A273" s="2">
        <v>42208</v>
      </c>
      <c r="B273" s="93" t="s">
        <v>105</v>
      </c>
      <c r="C273" t="s">
        <v>8</v>
      </c>
      <c r="D273" t="s">
        <v>64</v>
      </c>
      <c r="E273" t="s">
        <v>136</v>
      </c>
      <c r="F273" s="12" t="s">
        <v>105</v>
      </c>
      <c r="G273" s="4" t="s">
        <v>761</v>
      </c>
    </row>
    <row r="274" spans="1:7" x14ac:dyDescent="0.35">
      <c r="A274" s="2">
        <v>42208</v>
      </c>
      <c r="B274" s="93" t="s">
        <v>105</v>
      </c>
      <c r="C274" t="s">
        <v>8</v>
      </c>
      <c r="D274" t="s">
        <v>64</v>
      </c>
      <c r="E274" t="s">
        <v>74</v>
      </c>
      <c r="F274" s="12" t="s">
        <v>82</v>
      </c>
      <c r="G274" s="4" t="s">
        <v>762</v>
      </c>
    </row>
    <row r="275" spans="1:7" x14ac:dyDescent="0.35">
      <c r="A275" s="2">
        <v>42208</v>
      </c>
      <c r="B275" s="93" t="s">
        <v>105</v>
      </c>
      <c r="C275" t="s">
        <v>8</v>
      </c>
      <c r="D275" t="s">
        <v>64</v>
      </c>
      <c r="E275" t="s">
        <v>74</v>
      </c>
      <c r="F275" s="12" t="s">
        <v>82</v>
      </c>
      <c r="G275" s="4" t="s">
        <v>763</v>
      </c>
    </row>
    <row r="276" spans="1:7" x14ac:dyDescent="0.35">
      <c r="A276" s="2">
        <v>42208</v>
      </c>
      <c r="B276" s="93" t="s">
        <v>105</v>
      </c>
      <c r="C276" t="s">
        <v>8</v>
      </c>
      <c r="D276" t="s">
        <v>64</v>
      </c>
      <c r="E276" t="s">
        <v>78</v>
      </c>
      <c r="F276" s="12" t="s">
        <v>105</v>
      </c>
      <c r="G276" s="4" t="s">
        <v>764</v>
      </c>
    </row>
    <row r="277" spans="1:7" x14ac:dyDescent="0.35">
      <c r="A277" s="2">
        <v>42208</v>
      </c>
      <c r="B277" s="93" t="s">
        <v>105</v>
      </c>
      <c r="C277" t="s">
        <v>8</v>
      </c>
      <c r="D277" t="s">
        <v>64</v>
      </c>
      <c r="E277" t="s">
        <v>78</v>
      </c>
      <c r="F277" s="12" t="s">
        <v>105</v>
      </c>
      <c r="G277" s="4" t="s">
        <v>765</v>
      </c>
    </row>
    <row r="278" spans="1:7" x14ac:dyDescent="0.35">
      <c r="A278" s="2">
        <v>42208</v>
      </c>
      <c r="B278" s="93" t="s">
        <v>105</v>
      </c>
      <c r="C278" t="s">
        <v>8</v>
      </c>
      <c r="D278" t="s">
        <v>64</v>
      </c>
      <c r="E278" t="s">
        <v>78</v>
      </c>
      <c r="F278" s="12" t="s">
        <v>105</v>
      </c>
      <c r="G278" s="4" t="s">
        <v>766</v>
      </c>
    </row>
    <row r="279" spans="1:7" x14ac:dyDescent="0.35">
      <c r="A279" s="2">
        <v>42208</v>
      </c>
      <c r="B279" s="93" t="s">
        <v>105</v>
      </c>
      <c r="C279" t="s">
        <v>8</v>
      </c>
      <c r="D279" t="s">
        <v>69</v>
      </c>
      <c r="E279" t="s">
        <v>136</v>
      </c>
      <c r="F279" s="12" t="s">
        <v>105</v>
      </c>
      <c r="G279" s="4" t="s">
        <v>501</v>
      </c>
    </row>
    <row r="280" spans="1:7" x14ac:dyDescent="0.35">
      <c r="A280" s="2">
        <v>42208</v>
      </c>
      <c r="B280" s="93" t="s">
        <v>105</v>
      </c>
      <c r="C280" t="s">
        <v>8</v>
      </c>
      <c r="D280" t="s">
        <v>69</v>
      </c>
      <c r="E280" t="s">
        <v>136</v>
      </c>
      <c r="F280" s="12" t="s">
        <v>105</v>
      </c>
      <c r="G280" s="4" t="s">
        <v>767</v>
      </c>
    </row>
    <row r="281" spans="1:7" x14ac:dyDescent="0.35">
      <c r="A281" s="2">
        <v>42208</v>
      </c>
      <c r="B281" s="93" t="s">
        <v>105</v>
      </c>
      <c r="C281" t="s">
        <v>8</v>
      </c>
      <c r="D281" t="s">
        <v>69</v>
      </c>
      <c r="E281" t="s">
        <v>136</v>
      </c>
      <c r="F281" s="12" t="s">
        <v>105</v>
      </c>
      <c r="G281" s="4" t="s">
        <v>768</v>
      </c>
    </row>
    <row r="282" spans="1:7" x14ac:dyDescent="0.35">
      <c r="A282" s="2">
        <v>42208</v>
      </c>
      <c r="B282" s="93" t="s">
        <v>105</v>
      </c>
      <c r="C282" t="s">
        <v>8</v>
      </c>
      <c r="D282" t="s">
        <v>69</v>
      </c>
      <c r="E282" t="s">
        <v>74</v>
      </c>
      <c r="F282" s="12" t="s">
        <v>82</v>
      </c>
      <c r="G282" s="4" t="s">
        <v>769</v>
      </c>
    </row>
    <row r="283" spans="1:7" x14ac:dyDescent="0.35">
      <c r="A283" s="2">
        <v>42208</v>
      </c>
      <c r="B283" s="93" t="s">
        <v>105</v>
      </c>
      <c r="C283" t="s">
        <v>8</v>
      </c>
      <c r="D283" t="s">
        <v>69</v>
      </c>
      <c r="E283" t="s">
        <v>74</v>
      </c>
      <c r="F283" s="12" t="s">
        <v>82</v>
      </c>
      <c r="G283" s="4" t="s">
        <v>770</v>
      </c>
    </row>
    <row r="284" spans="1:7" x14ac:dyDescent="0.35">
      <c r="A284" s="2">
        <v>42208</v>
      </c>
      <c r="B284" s="93" t="s">
        <v>105</v>
      </c>
      <c r="C284" t="s">
        <v>8</v>
      </c>
      <c r="D284" t="s">
        <v>60</v>
      </c>
      <c r="E284" t="s">
        <v>136</v>
      </c>
      <c r="F284" s="12" t="s">
        <v>105</v>
      </c>
      <c r="G284" s="4" t="s">
        <v>771</v>
      </c>
    </row>
    <row r="285" spans="1:7" x14ac:dyDescent="0.35">
      <c r="A285" s="2">
        <v>42208</v>
      </c>
      <c r="B285" s="93" t="s">
        <v>105</v>
      </c>
      <c r="C285" t="s">
        <v>8</v>
      </c>
      <c r="D285" t="s">
        <v>60</v>
      </c>
      <c r="E285" t="s">
        <v>136</v>
      </c>
      <c r="F285" s="12" t="s">
        <v>105</v>
      </c>
      <c r="G285" s="4" t="s">
        <v>772</v>
      </c>
    </row>
    <row r="286" spans="1:7" x14ac:dyDescent="0.35">
      <c r="A286" s="2">
        <v>42208</v>
      </c>
      <c r="B286" s="93" t="s">
        <v>105</v>
      </c>
      <c r="C286" t="s">
        <v>8</v>
      </c>
      <c r="D286" t="s">
        <v>60</v>
      </c>
      <c r="E286" t="s">
        <v>136</v>
      </c>
      <c r="F286" s="12" t="s">
        <v>105</v>
      </c>
      <c r="G286" s="4" t="s">
        <v>718</v>
      </c>
    </row>
    <row r="287" spans="1:7" x14ac:dyDescent="0.35">
      <c r="A287" s="2">
        <v>42208</v>
      </c>
      <c r="B287" s="93" t="s">
        <v>105</v>
      </c>
      <c r="C287" t="s">
        <v>8</v>
      </c>
      <c r="D287" t="s">
        <v>60</v>
      </c>
      <c r="E287" t="s">
        <v>74</v>
      </c>
      <c r="F287" s="12" t="s">
        <v>82</v>
      </c>
      <c r="G287" s="4" t="s">
        <v>773</v>
      </c>
    </row>
    <row r="288" spans="1:7" x14ac:dyDescent="0.35">
      <c r="A288" s="2">
        <v>42208</v>
      </c>
      <c r="B288" s="93" t="s">
        <v>105</v>
      </c>
      <c r="C288" t="s">
        <v>8</v>
      </c>
      <c r="D288" t="s">
        <v>60</v>
      </c>
      <c r="E288" t="s">
        <v>74</v>
      </c>
      <c r="F288" s="12" t="s">
        <v>82</v>
      </c>
      <c r="G288" s="4" t="s">
        <v>774</v>
      </c>
    </row>
    <row r="289" spans="1:7" x14ac:dyDescent="0.35">
      <c r="A289" s="2">
        <v>42212</v>
      </c>
      <c r="B289" s="93" t="s">
        <v>105</v>
      </c>
      <c r="C289" t="s">
        <v>8</v>
      </c>
      <c r="D289" t="s">
        <v>9</v>
      </c>
      <c r="E289" t="s">
        <v>136</v>
      </c>
      <c r="F289" s="12" t="s">
        <v>105</v>
      </c>
      <c r="G289" s="4" t="s">
        <v>775</v>
      </c>
    </row>
    <row r="290" spans="1:7" x14ac:dyDescent="0.35">
      <c r="A290" s="2">
        <v>42212</v>
      </c>
      <c r="B290" s="93" t="s">
        <v>105</v>
      </c>
      <c r="C290" t="s">
        <v>8</v>
      </c>
      <c r="D290" t="s">
        <v>9</v>
      </c>
      <c r="E290" t="s">
        <v>136</v>
      </c>
      <c r="F290" s="12" t="s">
        <v>105</v>
      </c>
      <c r="G290" s="4" t="s">
        <v>776</v>
      </c>
    </row>
    <row r="291" spans="1:7" x14ac:dyDescent="0.35">
      <c r="A291" s="2">
        <v>42212</v>
      </c>
      <c r="B291" s="93" t="s">
        <v>105</v>
      </c>
      <c r="C291" t="s">
        <v>8</v>
      </c>
      <c r="D291" t="s">
        <v>9</v>
      </c>
      <c r="E291" t="s">
        <v>136</v>
      </c>
      <c r="F291" s="12" t="s">
        <v>105</v>
      </c>
      <c r="G291" s="4" t="s">
        <v>777</v>
      </c>
    </row>
    <row r="292" spans="1:7" x14ac:dyDescent="0.35">
      <c r="A292" s="2">
        <v>42212</v>
      </c>
      <c r="B292" s="93" t="s">
        <v>105</v>
      </c>
      <c r="C292" t="s">
        <v>8</v>
      </c>
      <c r="D292" t="s">
        <v>9</v>
      </c>
      <c r="E292" t="s">
        <v>74</v>
      </c>
      <c r="F292" s="12" t="s">
        <v>82</v>
      </c>
      <c r="G292" s="4" t="s">
        <v>778</v>
      </c>
    </row>
    <row r="293" spans="1:7" x14ac:dyDescent="0.35">
      <c r="A293" s="2">
        <v>42212</v>
      </c>
      <c r="B293" s="93" t="s">
        <v>105</v>
      </c>
      <c r="C293" t="s">
        <v>8</v>
      </c>
      <c r="D293" t="s">
        <v>9</v>
      </c>
      <c r="E293" t="s">
        <v>74</v>
      </c>
      <c r="F293" s="12" t="s">
        <v>82</v>
      </c>
      <c r="G293" s="4" t="s">
        <v>779</v>
      </c>
    </row>
    <row r="294" spans="1:7" x14ac:dyDescent="0.35">
      <c r="A294" s="2">
        <v>42212</v>
      </c>
      <c r="B294" s="93" t="s">
        <v>105</v>
      </c>
      <c r="C294" t="s">
        <v>8</v>
      </c>
      <c r="D294" t="s">
        <v>9</v>
      </c>
      <c r="E294" t="s">
        <v>78</v>
      </c>
      <c r="F294" s="12" t="s">
        <v>105</v>
      </c>
      <c r="G294" s="4" t="s">
        <v>780</v>
      </c>
    </row>
    <row r="295" spans="1:7" x14ac:dyDescent="0.35">
      <c r="A295" s="2">
        <v>42212</v>
      </c>
      <c r="B295" s="93" t="s">
        <v>105</v>
      </c>
      <c r="C295" t="s">
        <v>8</v>
      </c>
      <c r="D295" t="s">
        <v>9</v>
      </c>
      <c r="E295" t="s">
        <v>78</v>
      </c>
      <c r="F295" s="12" t="s">
        <v>105</v>
      </c>
      <c r="G295" s="4" t="s">
        <v>781</v>
      </c>
    </row>
    <row r="296" spans="1:7" x14ac:dyDescent="0.35">
      <c r="A296" s="2">
        <v>42212</v>
      </c>
      <c r="B296" s="93" t="s">
        <v>105</v>
      </c>
      <c r="C296" t="s">
        <v>8</v>
      </c>
      <c r="D296" t="s">
        <v>9</v>
      </c>
      <c r="E296" t="s">
        <v>78</v>
      </c>
      <c r="F296" s="12" t="s">
        <v>105</v>
      </c>
      <c r="G296" s="4" t="s">
        <v>782</v>
      </c>
    </row>
    <row r="297" spans="1:7" x14ac:dyDescent="0.35">
      <c r="A297" s="2">
        <v>42212</v>
      </c>
      <c r="B297" s="93" t="s">
        <v>105</v>
      </c>
      <c r="C297" t="s">
        <v>8</v>
      </c>
      <c r="D297" t="s">
        <v>14</v>
      </c>
      <c r="E297" t="s">
        <v>136</v>
      </c>
      <c r="F297" s="12" t="s">
        <v>105</v>
      </c>
      <c r="G297" s="4" t="s">
        <v>783</v>
      </c>
    </row>
    <row r="298" spans="1:7" x14ac:dyDescent="0.35">
      <c r="A298" s="2">
        <v>42212</v>
      </c>
      <c r="B298" s="93" t="s">
        <v>105</v>
      </c>
      <c r="C298" t="s">
        <v>8</v>
      </c>
      <c r="D298" t="s">
        <v>14</v>
      </c>
      <c r="E298" t="s">
        <v>136</v>
      </c>
      <c r="F298" s="12" t="s">
        <v>105</v>
      </c>
      <c r="G298" s="4" t="s">
        <v>506</v>
      </c>
    </row>
    <row r="299" spans="1:7" x14ac:dyDescent="0.35">
      <c r="A299" s="2">
        <v>42212</v>
      </c>
      <c r="B299" s="93" t="s">
        <v>105</v>
      </c>
      <c r="C299" t="s">
        <v>8</v>
      </c>
      <c r="D299" t="s">
        <v>14</v>
      </c>
      <c r="E299" t="s">
        <v>136</v>
      </c>
      <c r="F299" s="12" t="s">
        <v>105</v>
      </c>
      <c r="G299" s="4" t="s">
        <v>784</v>
      </c>
    </row>
    <row r="300" spans="1:7" x14ac:dyDescent="0.35">
      <c r="A300" s="2">
        <v>42212</v>
      </c>
      <c r="B300" s="93" t="s">
        <v>105</v>
      </c>
      <c r="C300" t="s">
        <v>8</v>
      </c>
      <c r="D300" t="s">
        <v>14</v>
      </c>
      <c r="E300" t="s">
        <v>74</v>
      </c>
      <c r="F300" s="12" t="s">
        <v>82</v>
      </c>
      <c r="G300" s="4" t="s">
        <v>785</v>
      </c>
    </row>
    <row r="301" spans="1:7" x14ac:dyDescent="0.35">
      <c r="A301" s="2">
        <v>42212</v>
      </c>
      <c r="B301" s="93" t="s">
        <v>105</v>
      </c>
      <c r="C301" t="s">
        <v>8</v>
      </c>
      <c r="D301" t="s">
        <v>14</v>
      </c>
      <c r="E301" t="s">
        <v>74</v>
      </c>
      <c r="F301" s="12" t="s">
        <v>82</v>
      </c>
      <c r="G301" s="4" t="s">
        <v>786</v>
      </c>
    </row>
    <row r="302" spans="1:7" x14ac:dyDescent="0.35">
      <c r="A302" s="2">
        <v>42212</v>
      </c>
      <c r="B302" s="93" t="s">
        <v>105</v>
      </c>
      <c r="C302" t="s">
        <v>8</v>
      </c>
      <c r="D302" t="s">
        <v>18</v>
      </c>
      <c r="E302" t="s">
        <v>136</v>
      </c>
      <c r="F302" s="12" t="s">
        <v>105</v>
      </c>
      <c r="G302" s="4" t="s">
        <v>787</v>
      </c>
    </row>
    <row r="303" spans="1:7" x14ac:dyDescent="0.35">
      <c r="A303" s="2">
        <v>42212</v>
      </c>
      <c r="B303" s="93" t="s">
        <v>105</v>
      </c>
      <c r="C303" t="s">
        <v>8</v>
      </c>
      <c r="D303" t="s">
        <v>18</v>
      </c>
      <c r="E303" t="s">
        <v>136</v>
      </c>
      <c r="F303" s="12" t="s">
        <v>105</v>
      </c>
      <c r="G303" s="4" t="s">
        <v>788</v>
      </c>
    </row>
    <row r="304" spans="1:7" x14ac:dyDescent="0.35">
      <c r="A304" s="2">
        <v>42212</v>
      </c>
      <c r="B304" s="93" t="s">
        <v>105</v>
      </c>
      <c r="C304" t="s">
        <v>8</v>
      </c>
      <c r="D304" t="s">
        <v>18</v>
      </c>
      <c r="E304" t="s">
        <v>136</v>
      </c>
      <c r="F304" s="12" t="s">
        <v>105</v>
      </c>
      <c r="G304" s="4" t="s">
        <v>789</v>
      </c>
    </row>
    <row r="305" spans="1:7" x14ac:dyDescent="0.35">
      <c r="A305" s="2">
        <v>42212</v>
      </c>
      <c r="B305" s="93" t="s">
        <v>105</v>
      </c>
      <c r="C305" t="s">
        <v>8</v>
      </c>
      <c r="D305" t="s">
        <v>18</v>
      </c>
      <c r="E305" t="s">
        <v>74</v>
      </c>
      <c r="F305" s="12" t="s">
        <v>82</v>
      </c>
      <c r="G305" s="4" t="s">
        <v>790</v>
      </c>
    </row>
    <row r="306" spans="1:7" x14ac:dyDescent="0.35">
      <c r="A306" s="2">
        <v>42212</v>
      </c>
      <c r="B306" s="93" t="s">
        <v>105</v>
      </c>
      <c r="C306" t="s">
        <v>8</v>
      </c>
      <c r="D306" t="s">
        <v>18</v>
      </c>
      <c r="E306" t="s">
        <v>74</v>
      </c>
      <c r="F306" s="12" t="s">
        <v>82</v>
      </c>
      <c r="G306" s="4" t="s">
        <v>791</v>
      </c>
    </row>
    <row r="307" spans="1:7" x14ac:dyDescent="0.35">
      <c r="A307" s="2">
        <v>42212</v>
      </c>
      <c r="B307" s="93" t="s">
        <v>105</v>
      </c>
      <c r="C307" t="s">
        <v>8</v>
      </c>
      <c r="D307" t="s">
        <v>167</v>
      </c>
      <c r="E307" t="s">
        <v>136</v>
      </c>
      <c r="F307" s="12" t="s">
        <v>105</v>
      </c>
      <c r="G307" s="4" t="s">
        <v>792</v>
      </c>
    </row>
    <row r="308" spans="1:7" x14ac:dyDescent="0.35">
      <c r="A308" s="2">
        <v>42212</v>
      </c>
      <c r="B308" s="93" t="s">
        <v>105</v>
      </c>
      <c r="C308" t="s">
        <v>8</v>
      </c>
      <c r="D308" t="s">
        <v>167</v>
      </c>
      <c r="E308" t="s">
        <v>136</v>
      </c>
      <c r="F308" s="12" t="s">
        <v>105</v>
      </c>
      <c r="G308" s="4" t="s">
        <v>793</v>
      </c>
    </row>
    <row r="309" spans="1:7" x14ac:dyDescent="0.35">
      <c r="A309" s="2">
        <v>42212</v>
      </c>
      <c r="B309" s="93" t="s">
        <v>105</v>
      </c>
      <c r="C309" t="s">
        <v>8</v>
      </c>
      <c r="D309" t="s">
        <v>167</v>
      </c>
      <c r="E309" t="s">
        <v>136</v>
      </c>
      <c r="F309" s="12" t="s">
        <v>105</v>
      </c>
      <c r="G309" s="4" t="s">
        <v>794</v>
      </c>
    </row>
    <row r="310" spans="1:7" x14ac:dyDescent="0.35">
      <c r="A310" s="2">
        <v>42212</v>
      </c>
      <c r="B310" s="93" t="s">
        <v>105</v>
      </c>
      <c r="C310" t="s">
        <v>8</v>
      </c>
      <c r="D310" t="s">
        <v>167</v>
      </c>
      <c r="E310" t="s">
        <v>74</v>
      </c>
      <c r="F310" s="12" t="s">
        <v>82</v>
      </c>
      <c r="G310" s="4" t="s">
        <v>795</v>
      </c>
    </row>
    <row r="311" spans="1:7" x14ac:dyDescent="0.35">
      <c r="A311" s="2">
        <v>42212</v>
      </c>
      <c r="B311" s="93" t="s">
        <v>105</v>
      </c>
      <c r="C311" t="s">
        <v>8</v>
      </c>
      <c r="D311" t="s">
        <v>167</v>
      </c>
      <c r="E311" t="s">
        <v>74</v>
      </c>
      <c r="F311" s="12" t="s">
        <v>82</v>
      </c>
      <c r="G311" s="4" t="s">
        <v>796</v>
      </c>
    </row>
    <row r="312" spans="1:7" x14ac:dyDescent="0.35">
      <c r="A312" s="2">
        <v>42212</v>
      </c>
      <c r="B312" s="93" t="s">
        <v>105</v>
      </c>
      <c r="C312" t="s">
        <v>8</v>
      </c>
      <c r="D312" t="s">
        <v>167</v>
      </c>
      <c r="E312" t="s">
        <v>78</v>
      </c>
      <c r="F312" s="12" t="s">
        <v>105</v>
      </c>
      <c r="G312" s="4" t="s">
        <v>797</v>
      </c>
    </row>
    <row r="313" spans="1:7" x14ac:dyDescent="0.35">
      <c r="A313" s="2">
        <v>42212</v>
      </c>
      <c r="B313" s="93" t="s">
        <v>105</v>
      </c>
      <c r="C313" t="s">
        <v>8</v>
      </c>
      <c r="D313" t="s">
        <v>167</v>
      </c>
      <c r="E313" t="s">
        <v>78</v>
      </c>
      <c r="F313" s="12" t="s">
        <v>105</v>
      </c>
      <c r="G313" s="4" t="s">
        <v>798</v>
      </c>
    </row>
    <row r="314" spans="1:7" x14ac:dyDescent="0.35">
      <c r="A314" s="2">
        <v>42212</v>
      </c>
      <c r="B314" s="93" t="s">
        <v>105</v>
      </c>
      <c r="C314" t="s">
        <v>8</v>
      </c>
      <c r="D314" t="s">
        <v>167</v>
      </c>
      <c r="E314" t="s">
        <v>78</v>
      </c>
      <c r="F314" s="12" t="s">
        <v>105</v>
      </c>
      <c r="G314" s="4" t="s">
        <v>505</v>
      </c>
    </row>
    <row r="315" spans="1:7" x14ac:dyDescent="0.35">
      <c r="A315" s="2">
        <v>42212</v>
      </c>
      <c r="B315" s="93" t="s">
        <v>105</v>
      </c>
      <c r="C315" t="s">
        <v>8</v>
      </c>
      <c r="D315" t="s">
        <v>25</v>
      </c>
      <c r="E315" t="s">
        <v>136</v>
      </c>
      <c r="F315" s="12" t="s">
        <v>105</v>
      </c>
      <c r="G315" s="4" t="s">
        <v>799</v>
      </c>
    </row>
    <row r="316" spans="1:7" x14ac:dyDescent="0.35">
      <c r="A316" s="2">
        <v>42212</v>
      </c>
      <c r="B316" s="93" t="s">
        <v>105</v>
      </c>
      <c r="C316" t="s">
        <v>8</v>
      </c>
      <c r="D316" t="s">
        <v>25</v>
      </c>
      <c r="E316" t="s">
        <v>136</v>
      </c>
      <c r="F316" s="12" t="s">
        <v>105</v>
      </c>
      <c r="G316" s="4" t="s">
        <v>800</v>
      </c>
    </row>
    <row r="317" spans="1:7" x14ac:dyDescent="0.35">
      <c r="A317" s="2">
        <v>42212</v>
      </c>
      <c r="B317" s="93" t="s">
        <v>105</v>
      </c>
      <c r="C317" t="s">
        <v>8</v>
      </c>
      <c r="D317" t="s">
        <v>25</v>
      </c>
      <c r="E317" t="s">
        <v>136</v>
      </c>
      <c r="F317" s="12" t="s">
        <v>105</v>
      </c>
      <c r="G317" s="4" t="s">
        <v>801</v>
      </c>
    </row>
    <row r="318" spans="1:7" x14ac:dyDescent="0.35">
      <c r="A318" s="2">
        <v>42212</v>
      </c>
      <c r="B318" s="93" t="s">
        <v>105</v>
      </c>
      <c r="C318" t="s">
        <v>8</v>
      </c>
      <c r="D318" t="s">
        <v>25</v>
      </c>
      <c r="E318" t="s">
        <v>74</v>
      </c>
      <c r="F318" s="12" t="s">
        <v>82</v>
      </c>
      <c r="G318" s="4" t="s">
        <v>802</v>
      </c>
    </row>
    <row r="319" spans="1:7" x14ac:dyDescent="0.35">
      <c r="A319" s="2">
        <v>42212</v>
      </c>
      <c r="B319" s="93" t="s">
        <v>105</v>
      </c>
      <c r="C319" t="s">
        <v>8</v>
      </c>
      <c r="D319" t="s">
        <v>25</v>
      </c>
      <c r="E319" t="s">
        <v>74</v>
      </c>
      <c r="F319" s="12" t="s">
        <v>82</v>
      </c>
      <c r="G319" s="4" t="s">
        <v>803</v>
      </c>
    </row>
    <row r="320" spans="1:7" x14ac:dyDescent="0.35">
      <c r="A320" s="2">
        <v>42212</v>
      </c>
      <c r="B320" s="93" t="s">
        <v>105</v>
      </c>
      <c r="C320" t="s">
        <v>8</v>
      </c>
      <c r="D320" t="s">
        <v>26</v>
      </c>
      <c r="E320" t="s">
        <v>136</v>
      </c>
      <c r="F320" s="12" t="s">
        <v>105</v>
      </c>
      <c r="G320" s="4" t="s">
        <v>804</v>
      </c>
    </row>
    <row r="321" spans="1:7" x14ac:dyDescent="0.35">
      <c r="A321" s="2">
        <v>42212</v>
      </c>
      <c r="B321" s="93" t="s">
        <v>105</v>
      </c>
      <c r="C321" t="s">
        <v>8</v>
      </c>
      <c r="D321" t="s">
        <v>26</v>
      </c>
      <c r="E321" t="s">
        <v>136</v>
      </c>
      <c r="F321" s="12" t="s">
        <v>105</v>
      </c>
      <c r="G321" s="4" t="s">
        <v>805</v>
      </c>
    </row>
    <row r="322" spans="1:7" x14ac:dyDescent="0.35">
      <c r="A322" s="2">
        <v>42212</v>
      </c>
      <c r="B322" s="93" t="s">
        <v>105</v>
      </c>
      <c r="C322" t="s">
        <v>8</v>
      </c>
      <c r="D322" t="s">
        <v>26</v>
      </c>
      <c r="E322" t="s">
        <v>136</v>
      </c>
      <c r="F322" s="12" t="s">
        <v>105</v>
      </c>
      <c r="G322" s="4" t="s">
        <v>806</v>
      </c>
    </row>
    <row r="323" spans="1:7" x14ac:dyDescent="0.35">
      <c r="A323" s="2">
        <v>42212</v>
      </c>
      <c r="B323" s="93" t="s">
        <v>105</v>
      </c>
      <c r="C323" t="s">
        <v>8</v>
      </c>
      <c r="D323" t="s">
        <v>26</v>
      </c>
      <c r="E323" t="s">
        <v>74</v>
      </c>
      <c r="F323" s="12" t="s">
        <v>82</v>
      </c>
      <c r="G323" s="4" t="s">
        <v>807</v>
      </c>
    </row>
    <row r="324" spans="1:7" x14ac:dyDescent="0.35">
      <c r="A324" s="2">
        <v>42212</v>
      </c>
      <c r="B324" s="93" t="s">
        <v>105</v>
      </c>
      <c r="C324" t="s">
        <v>8</v>
      </c>
      <c r="D324" t="s">
        <v>26</v>
      </c>
      <c r="E324" t="s">
        <v>74</v>
      </c>
      <c r="F324" s="12" t="s">
        <v>82</v>
      </c>
      <c r="G324" s="4" t="s">
        <v>808</v>
      </c>
    </row>
    <row r="325" spans="1:7" x14ac:dyDescent="0.35">
      <c r="A325" s="2">
        <v>42214</v>
      </c>
      <c r="B325" s="93" t="s">
        <v>105</v>
      </c>
      <c r="C325" t="s">
        <v>8</v>
      </c>
      <c r="D325" t="s">
        <v>60</v>
      </c>
      <c r="E325" t="s">
        <v>136</v>
      </c>
      <c r="F325" s="12" t="s">
        <v>105</v>
      </c>
      <c r="G325" s="4" t="s">
        <v>809</v>
      </c>
    </row>
    <row r="326" spans="1:7" x14ac:dyDescent="0.35">
      <c r="A326" s="2">
        <v>42214</v>
      </c>
      <c r="B326" s="93" t="s">
        <v>105</v>
      </c>
      <c r="C326" t="s">
        <v>8</v>
      </c>
      <c r="D326" t="s">
        <v>60</v>
      </c>
      <c r="E326" t="s">
        <v>136</v>
      </c>
      <c r="F326" s="12" t="s">
        <v>105</v>
      </c>
      <c r="G326" s="4" t="s">
        <v>810</v>
      </c>
    </row>
    <row r="327" spans="1:7" x14ac:dyDescent="0.35">
      <c r="A327" s="2">
        <v>42214</v>
      </c>
      <c r="B327" s="93" t="s">
        <v>105</v>
      </c>
      <c r="C327" t="s">
        <v>8</v>
      </c>
      <c r="D327" t="s">
        <v>60</v>
      </c>
      <c r="E327" t="s">
        <v>136</v>
      </c>
      <c r="F327" s="12" t="s">
        <v>105</v>
      </c>
      <c r="G327" s="4" t="s">
        <v>811</v>
      </c>
    </row>
    <row r="328" spans="1:7" x14ac:dyDescent="0.35">
      <c r="A328" s="2">
        <v>42214</v>
      </c>
      <c r="B328" s="93" t="s">
        <v>105</v>
      </c>
      <c r="C328" t="s">
        <v>8</v>
      </c>
      <c r="D328" t="s">
        <v>60</v>
      </c>
      <c r="E328" t="s">
        <v>74</v>
      </c>
      <c r="F328" s="12" t="s">
        <v>82</v>
      </c>
      <c r="G328" s="4" t="s">
        <v>812</v>
      </c>
    </row>
    <row r="329" spans="1:7" x14ac:dyDescent="0.35">
      <c r="A329" s="2">
        <v>42214</v>
      </c>
      <c r="B329" s="93" t="s">
        <v>105</v>
      </c>
      <c r="C329" t="s">
        <v>8</v>
      </c>
      <c r="D329" t="s">
        <v>60</v>
      </c>
      <c r="E329" t="s">
        <v>74</v>
      </c>
      <c r="F329" s="12" t="s">
        <v>82</v>
      </c>
      <c r="G329" s="4" t="s">
        <v>813</v>
      </c>
    </row>
    <row r="330" spans="1:7" x14ac:dyDescent="0.35">
      <c r="A330" s="2">
        <v>42214</v>
      </c>
      <c r="B330" s="93" t="s">
        <v>105</v>
      </c>
      <c r="C330" t="s">
        <v>8</v>
      </c>
      <c r="D330" t="s">
        <v>60</v>
      </c>
      <c r="E330" t="s">
        <v>78</v>
      </c>
      <c r="F330" s="12" t="s">
        <v>105</v>
      </c>
      <c r="G330" s="4" t="s">
        <v>814</v>
      </c>
    </row>
    <row r="331" spans="1:7" x14ac:dyDescent="0.35">
      <c r="A331" s="2">
        <v>42214</v>
      </c>
      <c r="B331" s="93" t="s">
        <v>105</v>
      </c>
      <c r="C331" t="s">
        <v>8</v>
      </c>
      <c r="D331" t="s">
        <v>60</v>
      </c>
      <c r="E331" t="s">
        <v>78</v>
      </c>
      <c r="F331" s="12" t="s">
        <v>105</v>
      </c>
      <c r="G331" s="4" t="s">
        <v>815</v>
      </c>
    </row>
    <row r="332" spans="1:7" x14ac:dyDescent="0.35">
      <c r="A332" s="2">
        <v>42214</v>
      </c>
      <c r="B332" s="93" t="s">
        <v>105</v>
      </c>
      <c r="C332" t="s">
        <v>8</v>
      </c>
      <c r="D332" t="s">
        <v>60</v>
      </c>
      <c r="E332" t="s">
        <v>78</v>
      </c>
      <c r="F332" s="12" t="s">
        <v>105</v>
      </c>
      <c r="G332" s="4" t="s">
        <v>816</v>
      </c>
    </row>
    <row r="333" spans="1:7" x14ac:dyDescent="0.35">
      <c r="A333" s="2">
        <v>42214</v>
      </c>
      <c r="B333" s="93" t="s">
        <v>105</v>
      </c>
      <c r="C333" t="s">
        <v>8</v>
      </c>
      <c r="D333" t="s">
        <v>69</v>
      </c>
      <c r="E333" t="s">
        <v>136</v>
      </c>
      <c r="F333" s="12" t="s">
        <v>105</v>
      </c>
      <c r="G333" s="4" t="s">
        <v>817</v>
      </c>
    </row>
    <row r="334" spans="1:7" x14ac:dyDescent="0.35">
      <c r="A334" s="2">
        <v>42214</v>
      </c>
      <c r="B334" s="93" t="s">
        <v>105</v>
      </c>
      <c r="C334" t="s">
        <v>8</v>
      </c>
      <c r="D334" t="s">
        <v>69</v>
      </c>
      <c r="E334" t="s">
        <v>136</v>
      </c>
      <c r="F334" s="12" t="s">
        <v>105</v>
      </c>
      <c r="G334" s="4" t="s">
        <v>818</v>
      </c>
    </row>
    <row r="335" spans="1:7" x14ac:dyDescent="0.35">
      <c r="A335" s="2">
        <v>42214</v>
      </c>
      <c r="B335" s="93" t="s">
        <v>105</v>
      </c>
      <c r="C335" t="s">
        <v>8</v>
      </c>
      <c r="D335" t="s">
        <v>69</v>
      </c>
      <c r="E335" t="s">
        <v>136</v>
      </c>
      <c r="F335" s="12" t="s">
        <v>105</v>
      </c>
      <c r="G335" s="4" t="s">
        <v>819</v>
      </c>
    </row>
    <row r="336" spans="1:7" x14ac:dyDescent="0.35">
      <c r="A336" s="2">
        <v>42214</v>
      </c>
      <c r="B336" s="93" t="s">
        <v>105</v>
      </c>
      <c r="C336" t="s">
        <v>8</v>
      </c>
      <c r="D336" t="s">
        <v>69</v>
      </c>
      <c r="E336" t="s">
        <v>74</v>
      </c>
      <c r="F336" s="12" t="s">
        <v>82</v>
      </c>
      <c r="G336" s="4" t="s">
        <v>820</v>
      </c>
    </row>
    <row r="337" spans="1:7" x14ac:dyDescent="0.35">
      <c r="A337" s="2">
        <v>42214</v>
      </c>
      <c r="B337" s="93" t="s">
        <v>105</v>
      </c>
      <c r="C337" t="s">
        <v>8</v>
      </c>
      <c r="D337" t="s">
        <v>69</v>
      </c>
      <c r="E337" t="s">
        <v>74</v>
      </c>
      <c r="F337" s="12" t="s">
        <v>82</v>
      </c>
      <c r="G337" s="4" t="s">
        <v>821</v>
      </c>
    </row>
    <row r="338" spans="1:7" x14ac:dyDescent="0.35">
      <c r="A338" s="2">
        <v>42214</v>
      </c>
      <c r="B338" s="93" t="s">
        <v>105</v>
      </c>
      <c r="C338" t="s">
        <v>8</v>
      </c>
      <c r="D338" t="s">
        <v>64</v>
      </c>
      <c r="E338" t="s">
        <v>136</v>
      </c>
      <c r="F338" s="12" t="s">
        <v>105</v>
      </c>
      <c r="G338" s="4" t="s">
        <v>822</v>
      </c>
    </row>
    <row r="339" spans="1:7" x14ac:dyDescent="0.35">
      <c r="A339" s="2">
        <v>42214</v>
      </c>
      <c r="B339" s="93" t="s">
        <v>105</v>
      </c>
      <c r="C339" t="s">
        <v>8</v>
      </c>
      <c r="D339" t="s">
        <v>64</v>
      </c>
      <c r="E339" t="s">
        <v>136</v>
      </c>
      <c r="F339" s="12" t="s">
        <v>105</v>
      </c>
      <c r="G339" s="4" t="s">
        <v>823</v>
      </c>
    </row>
    <row r="340" spans="1:7" x14ac:dyDescent="0.35">
      <c r="A340" s="2">
        <v>42214</v>
      </c>
      <c r="B340" s="93" t="s">
        <v>105</v>
      </c>
      <c r="C340" t="s">
        <v>8</v>
      </c>
      <c r="D340" t="s">
        <v>64</v>
      </c>
      <c r="E340" t="s">
        <v>136</v>
      </c>
      <c r="F340" s="12" t="s">
        <v>105</v>
      </c>
      <c r="G340" s="4" t="s">
        <v>824</v>
      </c>
    </row>
    <row r="341" spans="1:7" x14ac:dyDescent="0.35">
      <c r="A341" s="2">
        <v>42214</v>
      </c>
      <c r="B341" s="93" t="s">
        <v>105</v>
      </c>
      <c r="C341" t="s">
        <v>8</v>
      </c>
      <c r="D341" t="s">
        <v>64</v>
      </c>
      <c r="E341" t="s">
        <v>74</v>
      </c>
      <c r="F341" s="12" t="s">
        <v>82</v>
      </c>
      <c r="G341" s="4" t="s">
        <v>825</v>
      </c>
    </row>
    <row r="342" spans="1:7" x14ac:dyDescent="0.35">
      <c r="A342" s="2">
        <v>42214</v>
      </c>
      <c r="B342" s="93" t="s">
        <v>105</v>
      </c>
      <c r="C342" t="s">
        <v>8</v>
      </c>
      <c r="D342" t="s">
        <v>64</v>
      </c>
      <c r="E342" t="s">
        <v>74</v>
      </c>
      <c r="F342" s="12" t="s">
        <v>82</v>
      </c>
      <c r="G342" s="4" t="s">
        <v>826</v>
      </c>
    </row>
    <row r="343" spans="1:7" x14ac:dyDescent="0.35">
      <c r="A343" s="2">
        <v>42219</v>
      </c>
      <c r="B343" s="93" t="s">
        <v>105</v>
      </c>
      <c r="C343" t="s">
        <v>8</v>
      </c>
      <c r="D343" t="s">
        <v>9</v>
      </c>
      <c r="E343" t="s">
        <v>136</v>
      </c>
      <c r="F343" s="12" t="s">
        <v>105</v>
      </c>
      <c r="G343" s="4" t="s">
        <v>827</v>
      </c>
    </row>
    <row r="344" spans="1:7" x14ac:dyDescent="0.35">
      <c r="A344" s="2">
        <v>42219</v>
      </c>
      <c r="B344" s="93" t="s">
        <v>105</v>
      </c>
      <c r="C344" t="s">
        <v>8</v>
      </c>
      <c r="D344" t="s">
        <v>9</v>
      </c>
      <c r="E344" t="s">
        <v>136</v>
      </c>
      <c r="F344" s="12" t="s">
        <v>105</v>
      </c>
      <c r="G344" s="4" t="s">
        <v>510</v>
      </c>
    </row>
    <row r="345" spans="1:7" x14ac:dyDescent="0.35">
      <c r="A345" s="2">
        <v>42219</v>
      </c>
      <c r="B345" s="93" t="s">
        <v>105</v>
      </c>
      <c r="C345" t="s">
        <v>8</v>
      </c>
      <c r="D345" t="s">
        <v>9</v>
      </c>
      <c r="E345" t="s">
        <v>136</v>
      </c>
      <c r="F345" s="12" t="s">
        <v>105</v>
      </c>
      <c r="G345" s="4" t="s">
        <v>828</v>
      </c>
    </row>
    <row r="346" spans="1:7" x14ac:dyDescent="0.35">
      <c r="A346" s="2">
        <v>42219</v>
      </c>
      <c r="B346" s="93" t="s">
        <v>105</v>
      </c>
      <c r="C346" t="s">
        <v>8</v>
      </c>
      <c r="D346" t="s">
        <v>9</v>
      </c>
      <c r="E346" t="s">
        <v>74</v>
      </c>
      <c r="F346" s="12" t="s">
        <v>82</v>
      </c>
      <c r="G346" s="4" t="s">
        <v>829</v>
      </c>
    </row>
    <row r="347" spans="1:7" x14ac:dyDescent="0.35">
      <c r="A347" s="2">
        <v>42219</v>
      </c>
      <c r="B347" s="93" t="s">
        <v>105</v>
      </c>
      <c r="C347" t="s">
        <v>8</v>
      </c>
      <c r="D347" t="s">
        <v>9</v>
      </c>
      <c r="E347" t="s">
        <v>74</v>
      </c>
      <c r="F347" s="12" t="s">
        <v>82</v>
      </c>
      <c r="G347" s="4" t="s">
        <v>830</v>
      </c>
    </row>
    <row r="348" spans="1:7" x14ac:dyDescent="0.35">
      <c r="A348" s="2">
        <v>42219</v>
      </c>
      <c r="B348" s="93" t="s">
        <v>105</v>
      </c>
      <c r="C348" t="s">
        <v>8</v>
      </c>
      <c r="D348" t="s">
        <v>9</v>
      </c>
      <c r="E348" t="s">
        <v>78</v>
      </c>
      <c r="F348" s="12" t="s">
        <v>105</v>
      </c>
      <c r="G348" s="4" t="s">
        <v>831</v>
      </c>
    </row>
    <row r="349" spans="1:7" x14ac:dyDescent="0.35">
      <c r="A349" s="2">
        <v>42219</v>
      </c>
      <c r="B349" s="93" t="s">
        <v>105</v>
      </c>
      <c r="C349" t="s">
        <v>8</v>
      </c>
      <c r="D349" t="s">
        <v>9</v>
      </c>
      <c r="E349" t="s">
        <v>78</v>
      </c>
      <c r="F349" s="12" t="s">
        <v>105</v>
      </c>
      <c r="G349" s="4" t="s">
        <v>832</v>
      </c>
    </row>
    <row r="350" spans="1:7" x14ac:dyDescent="0.35">
      <c r="A350" s="2">
        <v>42219</v>
      </c>
      <c r="B350" s="93" t="s">
        <v>105</v>
      </c>
      <c r="C350" t="s">
        <v>8</v>
      </c>
      <c r="D350" t="s">
        <v>9</v>
      </c>
      <c r="E350" t="s">
        <v>78</v>
      </c>
      <c r="F350" s="12" t="s">
        <v>105</v>
      </c>
      <c r="G350" s="4" t="s">
        <v>833</v>
      </c>
    </row>
    <row r="351" spans="1:7" x14ac:dyDescent="0.35">
      <c r="A351" s="2">
        <v>42219</v>
      </c>
      <c r="B351" s="93" t="s">
        <v>105</v>
      </c>
      <c r="C351" t="s">
        <v>8</v>
      </c>
      <c r="D351" t="s">
        <v>14</v>
      </c>
      <c r="E351" t="s">
        <v>136</v>
      </c>
      <c r="F351" s="12" t="s">
        <v>105</v>
      </c>
      <c r="G351" s="4" t="s">
        <v>834</v>
      </c>
    </row>
    <row r="352" spans="1:7" x14ac:dyDescent="0.35">
      <c r="A352" s="2">
        <v>42219</v>
      </c>
      <c r="B352" s="93" t="s">
        <v>105</v>
      </c>
      <c r="C352" t="s">
        <v>8</v>
      </c>
      <c r="D352" t="s">
        <v>14</v>
      </c>
      <c r="E352" t="s">
        <v>136</v>
      </c>
      <c r="F352" s="12" t="s">
        <v>105</v>
      </c>
      <c r="G352" s="4" t="s">
        <v>835</v>
      </c>
    </row>
    <row r="353" spans="1:7" x14ac:dyDescent="0.35">
      <c r="A353" s="2">
        <v>42219</v>
      </c>
      <c r="B353" s="93" t="s">
        <v>105</v>
      </c>
      <c r="C353" t="s">
        <v>8</v>
      </c>
      <c r="D353" t="s">
        <v>14</v>
      </c>
      <c r="E353" t="s">
        <v>136</v>
      </c>
      <c r="F353" s="12" t="s">
        <v>105</v>
      </c>
      <c r="G353" s="4" t="s">
        <v>836</v>
      </c>
    </row>
    <row r="354" spans="1:7" x14ac:dyDescent="0.35">
      <c r="A354" s="2">
        <v>42219</v>
      </c>
      <c r="B354" s="93" t="s">
        <v>105</v>
      </c>
      <c r="C354" t="s">
        <v>8</v>
      </c>
      <c r="D354" t="s">
        <v>14</v>
      </c>
      <c r="E354" t="s">
        <v>74</v>
      </c>
      <c r="F354" s="12" t="s">
        <v>82</v>
      </c>
      <c r="G354" s="4" t="s">
        <v>837</v>
      </c>
    </row>
    <row r="355" spans="1:7" x14ac:dyDescent="0.35">
      <c r="A355" s="2">
        <v>42219</v>
      </c>
      <c r="B355" s="93" t="s">
        <v>105</v>
      </c>
      <c r="C355" t="s">
        <v>8</v>
      </c>
      <c r="D355" t="s">
        <v>14</v>
      </c>
      <c r="E355" t="s">
        <v>74</v>
      </c>
      <c r="F355" s="12" t="s">
        <v>82</v>
      </c>
      <c r="G355" s="4" t="s">
        <v>838</v>
      </c>
    </row>
    <row r="356" spans="1:7" x14ac:dyDescent="0.35">
      <c r="A356" s="2">
        <v>42219</v>
      </c>
      <c r="B356" s="93" t="s">
        <v>105</v>
      </c>
      <c r="C356" t="s">
        <v>8</v>
      </c>
      <c r="D356" t="s">
        <v>18</v>
      </c>
      <c r="E356" t="s">
        <v>136</v>
      </c>
      <c r="F356" s="12" t="s">
        <v>105</v>
      </c>
      <c r="G356" s="4" t="s">
        <v>839</v>
      </c>
    </row>
    <row r="357" spans="1:7" x14ac:dyDescent="0.35">
      <c r="A357" s="2">
        <v>42219</v>
      </c>
      <c r="B357" s="93" t="s">
        <v>105</v>
      </c>
      <c r="C357" t="s">
        <v>8</v>
      </c>
      <c r="D357" t="s">
        <v>18</v>
      </c>
      <c r="E357" t="s">
        <v>136</v>
      </c>
      <c r="F357" s="12" t="s">
        <v>105</v>
      </c>
      <c r="G357" s="4" t="s">
        <v>840</v>
      </c>
    </row>
    <row r="358" spans="1:7" x14ac:dyDescent="0.35">
      <c r="A358" s="2">
        <v>42219</v>
      </c>
      <c r="B358" s="93" t="s">
        <v>105</v>
      </c>
      <c r="C358" t="s">
        <v>8</v>
      </c>
      <c r="D358" t="s">
        <v>18</v>
      </c>
      <c r="E358" t="s">
        <v>136</v>
      </c>
      <c r="F358" s="12" t="s">
        <v>105</v>
      </c>
      <c r="G358" s="4" t="s">
        <v>841</v>
      </c>
    </row>
    <row r="359" spans="1:7" x14ac:dyDescent="0.35">
      <c r="A359" s="2">
        <v>42219</v>
      </c>
      <c r="B359" s="93" t="s">
        <v>105</v>
      </c>
      <c r="C359" t="s">
        <v>8</v>
      </c>
      <c r="D359" t="s">
        <v>18</v>
      </c>
      <c r="E359" t="s">
        <v>74</v>
      </c>
      <c r="F359" s="12" t="s">
        <v>82</v>
      </c>
      <c r="G359" s="4" t="s">
        <v>842</v>
      </c>
    </row>
    <row r="360" spans="1:7" x14ac:dyDescent="0.35">
      <c r="A360" s="2">
        <v>42219</v>
      </c>
      <c r="B360" s="93" t="s">
        <v>105</v>
      </c>
      <c r="C360" t="s">
        <v>8</v>
      </c>
      <c r="D360" t="s">
        <v>18</v>
      </c>
      <c r="E360" t="s">
        <v>74</v>
      </c>
      <c r="F360" s="12" t="s">
        <v>82</v>
      </c>
      <c r="G360" s="4" t="s">
        <v>843</v>
      </c>
    </row>
    <row r="361" spans="1:7" x14ac:dyDescent="0.35">
      <c r="A361" s="2">
        <v>42219</v>
      </c>
      <c r="B361" s="93" t="s">
        <v>105</v>
      </c>
      <c r="C361" t="s">
        <v>8</v>
      </c>
      <c r="D361" t="s">
        <v>25</v>
      </c>
      <c r="E361" t="s">
        <v>136</v>
      </c>
      <c r="F361" s="12" t="s">
        <v>105</v>
      </c>
      <c r="G361" s="4" t="s">
        <v>844</v>
      </c>
    </row>
    <row r="362" spans="1:7" x14ac:dyDescent="0.35">
      <c r="A362" s="2">
        <v>42219</v>
      </c>
      <c r="B362" s="93" t="s">
        <v>105</v>
      </c>
      <c r="C362" t="s">
        <v>8</v>
      </c>
      <c r="D362" t="s">
        <v>25</v>
      </c>
      <c r="E362" t="s">
        <v>136</v>
      </c>
      <c r="F362" s="12" t="s">
        <v>105</v>
      </c>
      <c r="G362" s="4" t="s">
        <v>845</v>
      </c>
    </row>
    <row r="363" spans="1:7" x14ac:dyDescent="0.35">
      <c r="A363" s="2">
        <v>42219</v>
      </c>
      <c r="B363" s="93" t="s">
        <v>105</v>
      </c>
      <c r="C363" t="s">
        <v>8</v>
      </c>
      <c r="D363" t="s">
        <v>25</v>
      </c>
      <c r="E363" t="s">
        <v>136</v>
      </c>
      <c r="F363" s="12" t="s">
        <v>105</v>
      </c>
      <c r="G363" s="4" t="s">
        <v>846</v>
      </c>
    </row>
    <row r="364" spans="1:7" x14ac:dyDescent="0.35">
      <c r="A364" s="2">
        <v>42219</v>
      </c>
      <c r="B364" s="93" t="s">
        <v>105</v>
      </c>
      <c r="C364" t="s">
        <v>8</v>
      </c>
      <c r="D364" t="s">
        <v>25</v>
      </c>
      <c r="E364" t="s">
        <v>74</v>
      </c>
      <c r="F364" s="12" t="s">
        <v>82</v>
      </c>
      <c r="G364" s="4" t="s">
        <v>847</v>
      </c>
    </row>
    <row r="365" spans="1:7" x14ac:dyDescent="0.35">
      <c r="A365" s="2">
        <v>42219</v>
      </c>
      <c r="B365" s="93" t="s">
        <v>105</v>
      </c>
      <c r="C365" t="s">
        <v>8</v>
      </c>
      <c r="D365" t="s">
        <v>25</v>
      </c>
      <c r="E365" t="s">
        <v>74</v>
      </c>
      <c r="F365" s="12" t="s">
        <v>82</v>
      </c>
      <c r="G365" s="4" t="s">
        <v>848</v>
      </c>
    </row>
    <row r="366" spans="1:7" x14ac:dyDescent="0.35">
      <c r="A366" s="2">
        <v>42219</v>
      </c>
      <c r="B366" s="93" t="s">
        <v>105</v>
      </c>
      <c r="C366" t="s">
        <v>8</v>
      </c>
      <c r="D366" t="s">
        <v>25</v>
      </c>
      <c r="E366" t="s">
        <v>78</v>
      </c>
      <c r="F366" s="12" t="s">
        <v>105</v>
      </c>
      <c r="G366" s="4" t="s">
        <v>849</v>
      </c>
    </row>
    <row r="367" spans="1:7" x14ac:dyDescent="0.35">
      <c r="A367" s="2">
        <v>42219</v>
      </c>
      <c r="B367" s="93" t="s">
        <v>105</v>
      </c>
      <c r="C367" t="s">
        <v>8</v>
      </c>
      <c r="D367" t="s">
        <v>25</v>
      </c>
      <c r="E367" t="s">
        <v>78</v>
      </c>
      <c r="F367" s="12" t="s">
        <v>105</v>
      </c>
      <c r="G367" s="4" t="s">
        <v>850</v>
      </c>
    </row>
    <row r="368" spans="1:7" x14ac:dyDescent="0.35">
      <c r="A368" s="2">
        <v>42219</v>
      </c>
      <c r="B368" s="93" t="s">
        <v>105</v>
      </c>
      <c r="C368" t="s">
        <v>8</v>
      </c>
      <c r="D368" t="s">
        <v>25</v>
      </c>
      <c r="E368" t="s">
        <v>78</v>
      </c>
      <c r="F368" s="12" t="s">
        <v>105</v>
      </c>
      <c r="G368" s="4" t="s">
        <v>851</v>
      </c>
    </row>
    <row r="369" spans="1:7" x14ac:dyDescent="0.35">
      <c r="A369" s="2">
        <v>42219</v>
      </c>
      <c r="B369" s="93" t="s">
        <v>105</v>
      </c>
      <c r="C369" t="s">
        <v>8</v>
      </c>
      <c r="D369" t="s">
        <v>26</v>
      </c>
      <c r="E369" t="s">
        <v>136</v>
      </c>
      <c r="F369" s="12" t="s">
        <v>105</v>
      </c>
      <c r="G369" s="4" t="s">
        <v>852</v>
      </c>
    </row>
    <row r="370" spans="1:7" x14ac:dyDescent="0.35">
      <c r="A370" s="2">
        <v>42219</v>
      </c>
      <c r="B370" s="93" t="s">
        <v>105</v>
      </c>
      <c r="C370" t="s">
        <v>8</v>
      </c>
      <c r="D370" t="s">
        <v>26</v>
      </c>
      <c r="E370" t="s">
        <v>136</v>
      </c>
      <c r="F370" s="12" t="s">
        <v>105</v>
      </c>
      <c r="G370" s="4" t="s">
        <v>853</v>
      </c>
    </row>
    <row r="371" spans="1:7" x14ac:dyDescent="0.35">
      <c r="A371" s="2">
        <v>42219</v>
      </c>
      <c r="B371" s="93" t="s">
        <v>105</v>
      </c>
      <c r="C371" t="s">
        <v>8</v>
      </c>
      <c r="D371" t="s">
        <v>26</v>
      </c>
      <c r="E371" t="s">
        <v>136</v>
      </c>
      <c r="F371" s="12" t="s">
        <v>105</v>
      </c>
      <c r="G371" s="4" t="s">
        <v>854</v>
      </c>
    </row>
    <row r="372" spans="1:7" x14ac:dyDescent="0.35">
      <c r="A372" s="2">
        <v>42219</v>
      </c>
      <c r="B372" s="93" t="s">
        <v>105</v>
      </c>
      <c r="C372" t="s">
        <v>8</v>
      </c>
      <c r="D372" t="s">
        <v>26</v>
      </c>
      <c r="E372" t="s">
        <v>74</v>
      </c>
      <c r="F372" s="12" t="s">
        <v>82</v>
      </c>
      <c r="G372" s="4" t="s">
        <v>855</v>
      </c>
    </row>
    <row r="373" spans="1:7" x14ac:dyDescent="0.35">
      <c r="A373" s="2">
        <v>42219</v>
      </c>
      <c r="B373" s="93" t="s">
        <v>105</v>
      </c>
      <c r="C373" t="s">
        <v>8</v>
      </c>
      <c r="D373" t="s">
        <v>26</v>
      </c>
      <c r="E373" t="s">
        <v>74</v>
      </c>
      <c r="F373" s="12" t="s">
        <v>82</v>
      </c>
      <c r="G373" s="4" t="s">
        <v>856</v>
      </c>
    </row>
    <row r="374" spans="1:7" x14ac:dyDescent="0.35">
      <c r="A374" s="2">
        <v>42219</v>
      </c>
      <c r="B374" s="93" t="s">
        <v>105</v>
      </c>
      <c r="C374" t="s">
        <v>8</v>
      </c>
      <c r="D374" t="s">
        <v>167</v>
      </c>
      <c r="E374" t="s">
        <v>136</v>
      </c>
      <c r="F374" s="12" t="s">
        <v>105</v>
      </c>
      <c r="G374" s="4" t="s">
        <v>338</v>
      </c>
    </row>
    <row r="375" spans="1:7" x14ac:dyDescent="0.35">
      <c r="A375" s="2">
        <v>42219</v>
      </c>
      <c r="B375" s="93" t="s">
        <v>105</v>
      </c>
      <c r="C375" t="s">
        <v>8</v>
      </c>
      <c r="D375" t="s">
        <v>167</v>
      </c>
      <c r="E375" t="s">
        <v>136</v>
      </c>
      <c r="F375" s="12" t="s">
        <v>105</v>
      </c>
      <c r="G375" s="4" t="s">
        <v>857</v>
      </c>
    </row>
    <row r="376" spans="1:7" x14ac:dyDescent="0.35">
      <c r="A376" s="2">
        <v>42219</v>
      </c>
      <c r="B376" s="93" t="s">
        <v>105</v>
      </c>
      <c r="C376" t="s">
        <v>8</v>
      </c>
      <c r="D376" t="s">
        <v>167</v>
      </c>
      <c r="E376" t="s">
        <v>136</v>
      </c>
      <c r="F376" s="12" t="s">
        <v>105</v>
      </c>
      <c r="G376" s="4" t="s">
        <v>858</v>
      </c>
    </row>
    <row r="377" spans="1:7" x14ac:dyDescent="0.35">
      <c r="A377" s="2">
        <v>42219</v>
      </c>
      <c r="B377" s="93" t="s">
        <v>105</v>
      </c>
      <c r="C377" t="s">
        <v>8</v>
      </c>
      <c r="D377" t="s">
        <v>167</v>
      </c>
      <c r="E377" t="s">
        <v>74</v>
      </c>
      <c r="F377" s="12" t="s">
        <v>82</v>
      </c>
      <c r="G377" s="4" t="s">
        <v>859</v>
      </c>
    </row>
    <row r="378" spans="1:7" x14ac:dyDescent="0.35">
      <c r="A378" s="2">
        <v>42219</v>
      </c>
      <c r="B378" s="93" t="s">
        <v>105</v>
      </c>
      <c r="C378" t="s">
        <v>8</v>
      </c>
      <c r="D378" t="s">
        <v>167</v>
      </c>
      <c r="E378" t="s">
        <v>74</v>
      </c>
      <c r="F378" s="12" t="s">
        <v>82</v>
      </c>
      <c r="G378" s="4" t="s">
        <v>860</v>
      </c>
    </row>
    <row r="379" spans="1:7" x14ac:dyDescent="0.35">
      <c r="A379" s="2">
        <v>42221</v>
      </c>
      <c r="B379" s="93" t="s">
        <v>105</v>
      </c>
      <c r="C379" t="s">
        <v>8</v>
      </c>
      <c r="D379" t="s">
        <v>60</v>
      </c>
      <c r="E379" t="s">
        <v>136</v>
      </c>
      <c r="F379" s="12" t="s">
        <v>105</v>
      </c>
      <c r="G379" s="4" t="s">
        <v>861</v>
      </c>
    </row>
    <row r="380" spans="1:7" x14ac:dyDescent="0.35">
      <c r="A380" s="2">
        <v>42221</v>
      </c>
      <c r="B380" s="93" t="s">
        <v>105</v>
      </c>
      <c r="C380" t="s">
        <v>8</v>
      </c>
      <c r="D380" t="s">
        <v>60</v>
      </c>
      <c r="E380" t="s">
        <v>136</v>
      </c>
      <c r="F380" s="12" t="s">
        <v>105</v>
      </c>
      <c r="G380" s="4" t="s">
        <v>862</v>
      </c>
    </row>
    <row r="381" spans="1:7" x14ac:dyDescent="0.35">
      <c r="A381" s="2">
        <v>42221</v>
      </c>
      <c r="B381" s="93" t="s">
        <v>105</v>
      </c>
      <c r="C381" t="s">
        <v>8</v>
      </c>
      <c r="D381" t="s">
        <v>60</v>
      </c>
      <c r="E381" t="s">
        <v>136</v>
      </c>
      <c r="F381" s="12" t="s">
        <v>105</v>
      </c>
      <c r="G381" s="4" t="s">
        <v>863</v>
      </c>
    </row>
    <row r="382" spans="1:7" x14ac:dyDescent="0.35">
      <c r="A382" s="2">
        <v>42221</v>
      </c>
      <c r="B382" s="93" t="s">
        <v>105</v>
      </c>
      <c r="C382" t="s">
        <v>8</v>
      </c>
      <c r="D382" t="s">
        <v>60</v>
      </c>
      <c r="E382" t="s">
        <v>74</v>
      </c>
      <c r="F382" s="12" t="s">
        <v>82</v>
      </c>
      <c r="G382" s="4" t="s">
        <v>864</v>
      </c>
    </row>
    <row r="383" spans="1:7" x14ac:dyDescent="0.35">
      <c r="A383" s="2">
        <v>42221</v>
      </c>
      <c r="B383" s="93" t="s">
        <v>105</v>
      </c>
      <c r="C383" t="s">
        <v>8</v>
      </c>
      <c r="D383" t="s">
        <v>60</v>
      </c>
      <c r="E383" t="s">
        <v>74</v>
      </c>
      <c r="F383" s="12" t="s">
        <v>82</v>
      </c>
      <c r="G383" s="4" t="s">
        <v>865</v>
      </c>
    </row>
    <row r="384" spans="1:7" x14ac:dyDescent="0.35">
      <c r="A384" s="2">
        <v>42221</v>
      </c>
      <c r="B384" s="93" t="s">
        <v>105</v>
      </c>
      <c r="C384" t="s">
        <v>8</v>
      </c>
      <c r="D384" t="s">
        <v>60</v>
      </c>
      <c r="E384" t="s">
        <v>78</v>
      </c>
      <c r="F384" s="12" t="s">
        <v>105</v>
      </c>
      <c r="G384" s="4" t="s">
        <v>866</v>
      </c>
    </row>
    <row r="385" spans="1:7" x14ac:dyDescent="0.35">
      <c r="A385" s="2">
        <v>42221</v>
      </c>
      <c r="B385" s="93" t="s">
        <v>105</v>
      </c>
      <c r="C385" t="s">
        <v>8</v>
      </c>
      <c r="D385" t="s">
        <v>60</v>
      </c>
      <c r="E385" t="s">
        <v>78</v>
      </c>
      <c r="F385" s="12" t="s">
        <v>105</v>
      </c>
      <c r="G385" s="4" t="s">
        <v>867</v>
      </c>
    </row>
    <row r="386" spans="1:7" x14ac:dyDescent="0.35">
      <c r="A386" s="2">
        <v>42221</v>
      </c>
      <c r="B386" s="93" t="s">
        <v>105</v>
      </c>
      <c r="C386" t="s">
        <v>8</v>
      </c>
      <c r="D386" t="s">
        <v>60</v>
      </c>
      <c r="E386" t="s">
        <v>78</v>
      </c>
      <c r="F386" s="12" t="s">
        <v>105</v>
      </c>
      <c r="G386" s="4" t="s">
        <v>868</v>
      </c>
    </row>
    <row r="387" spans="1:7" x14ac:dyDescent="0.35">
      <c r="A387" s="2">
        <v>42221</v>
      </c>
      <c r="B387" s="93" t="s">
        <v>105</v>
      </c>
      <c r="C387" t="s">
        <v>8</v>
      </c>
      <c r="D387" t="s">
        <v>69</v>
      </c>
      <c r="E387" t="s">
        <v>136</v>
      </c>
      <c r="F387" s="12" t="s">
        <v>105</v>
      </c>
      <c r="G387" s="4" t="s">
        <v>869</v>
      </c>
    </row>
    <row r="388" spans="1:7" x14ac:dyDescent="0.35">
      <c r="A388" s="2">
        <v>42221</v>
      </c>
      <c r="B388" s="93" t="s">
        <v>105</v>
      </c>
      <c r="C388" t="s">
        <v>8</v>
      </c>
      <c r="D388" t="s">
        <v>69</v>
      </c>
      <c r="E388" t="s">
        <v>136</v>
      </c>
      <c r="F388" s="12" t="s">
        <v>105</v>
      </c>
      <c r="G388" s="4" t="s">
        <v>870</v>
      </c>
    </row>
    <row r="389" spans="1:7" x14ac:dyDescent="0.35">
      <c r="A389" s="2">
        <v>42221</v>
      </c>
      <c r="B389" s="93" t="s">
        <v>105</v>
      </c>
      <c r="C389" t="s">
        <v>8</v>
      </c>
      <c r="D389" t="s">
        <v>69</v>
      </c>
      <c r="E389" t="s">
        <v>136</v>
      </c>
      <c r="F389" s="12" t="s">
        <v>105</v>
      </c>
      <c r="G389" s="4" t="s">
        <v>871</v>
      </c>
    </row>
    <row r="390" spans="1:7" x14ac:dyDescent="0.35">
      <c r="A390" s="2">
        <v>42221</v>
      </c>
      <c r="B390" s="93" t="s">
        <v>105</v>
      </c>
      <c r="C390" t="s">
        <v>8</v>
      </c>
      <c r="D390" t="s">
        <v>69</v>
      </c>
      <c r="E390" t="s">
        <v>74</v>
      </c>
      <c r="F390" s="12" t="s">
        <v>82</v>
      </c>
      <c r="G390" s="4" t="s">
        <v>872</v>
      </c>
    </row>
    <row r="391" spans="1:7" x14ac:dyDescent="0.35">
      <c r="A391" s="2">
        <v>42221</v>
      </c>
      <c r="B391" s="93" t="s">
        <v>105</v>
      </c>
      <c r="C391" t="s">
        <v>8</v>
      </c>
      <c r="D391" t="s">
        <v>69</v>
      </c>
      <c r="E391" t="s">
        <v>74</v>
      </c>
      <c r="F391" s="12" t="s">
        <v>82</v>
      </c>
      <c r="G391" s="4" t="s">
        <v>873</v>
      </c>
    </row>
    <row r="392" spans="1:7" x14ac:dyDescent="0.35">
      <c r="A392" s="2">
        <v>42221</v>
      </c>
      <c r="B392" s="93" t="s">
        <v>105</v>
      </c>
      <c r="C392" t="s">
        <v>8</v>
      </c>
      <c r="D392" t="s">
        <v>64</v>
      </c>
      <c r="E392" t="s">
        <v>74</v>
      </c>
      <c r="F392" s="12" t="s">
        <v>82</v>
      </c>
      <c r="G392" s="4" t="s">
        <v>874</v>
      </c>
    </row>
    <row r="393" spans="1:7" x14ac:dyDescent="0.35">
      <c r="A393" s="2">
        <v>42221</v>
      </c>
      <c r="B393" s="93" t="s">
        <v>105</v>
      </c>
      <c r="C393" t="s">
        <v>8</v>
      </c>
      <c r="D393" t="s">
        <v>64</v>
      </c>
      <c r="E393" t="s">
        <v>74</v>
      </c>
      <c r="F393" s="12" t="s">
        <v>82</v>
      </c>
      <c r="G393" s="4" t="s">
        <v>875</v>
      </c>
    </row>
    <row r="394" spans="1:7" x14ac:dyDescent="0.35">
      <c r="A394" s="2">
        <v>42227</v>
      </c>
      <c r="B394" s="93" t="s">
        <v>105</v>
      </c>
      <c r="C394" t="s">
        <v>8</v>
      </c>
      <c r="D394" t="s">
        <v>9</v>
      </c>
      <c r="E394" t="s">
        <v>136</v>
      </c>
      <c r="F394" s="12" t="s">
        <v>105</v>
      </c>
      <c r="G394" s="4" t="s">
        <v>876</v>
      </c>
    </row>
    <row r="395" spans="1:7" x14ac:dyDescent="0.35">
      <c r="A395" s="2">
        <v>42227</v>
      </c>
      <c r="B395" s="93" t="s">
        <v>105</v>
      </c>
      <c r="C395" t="s">
        <v>8</v>
      </c>
      <c r="D395" t="s">
        <v>9</v>
      </c>
      <c r="E395" t="s">
        <v>136</v>
      </c>
      <c r="F395" s="12" t="s">
        <v>105</v>
      </c>
      <c r="G395" s="4" t="s">
        <v>877</v>
      </c>
    </row>
    <row r="396" spans="1:7" x14ac:dyDescent="0.35">
      <c r="A396" s="2">
        <v>42227</v>
      </c>
      <c r="B396" s="93" t="s">
        <v>105</v>
      </c>
      <c r="C396" t="s">
        <v>8</v>
      </c>
      <c r="D396" t="s">
        <v>9</v>
      </c>
      <c r="E396" t="s">
        <v>136</v>
      </c>
      <c r="F396" s="12" t="s">
        <v>105</v>
      </c>
      <c r="G396" s="4" t="s">
        <v>878</v>
      </c>
    </row>
    <row r="397" spans="1:7" x14ac:dyDescent="0.35">
      <c r="A397" s="2">
        <v>42227</v>
      </c>
      <c r="B397" s="93" t="s">
        <v>105</v>
      </c>
      <c r="C397" t="s">
        <v>8</v>
      </c>
      <c r="D397" t="s">
        <v>9</v>
      </c>
      <c r="E397" t="s">
        <v>74</v>
      </c>
      <c r="F397" s="12" t="s">
        <v>82</v>
      </c>
      <c r="G397" s="4" t="s">
        <v>879</v>
      </c>
    </row>
    <row r="398" spans="1:7" x14ac:dyDescent="0.35">
      <c r="A398" s="2">
        <v>42227</v>
      </c>
      <c r="B398" s="93" t="s">
        <v>105</v>
      </c>
      <c r="C398" t="s">
        <v>8</v>
      </c>
      <c r="D398" t="s">
        <v>9</v>
      </c>
      <c r="E398" t="s">
        <v>74</v>
      </c>
      <c r="F398" s="12" t="s">
        <v>82</v>
      </c>
      <c r="G398" s="4" t="s">
        <v>880</v>
      </c>
    </row>
    <row r="399" spans="1:7" x14ac:dyDescent="0.35">
      <c r="A399" s="2">
        <v>42227</v>
      </c>
      <c r="B399" s="93" t="s">
        <v>105</v>
      </c>
      <c r="C399" t="s">
        <v>8</v>
      </c>
      <c r="D399" t="s">
        <v>9</v>
      </c>
      <c r="E399" t="s">
        <v>78</v>
      </c>
      <c r="F399" s="12" t="s">
        <v>105</v>
      </c>
      <c r="G399" s="4" t="s">
        <v>881</v>
      </c>
    </row>
    <row r="400" spans="1:7" x14ac:dyDescent="0.35">
      <c r="A400" s="2">
        <v>42227</v>
      </c>
      <c r="B400" s="93" t="s">
        <v>105</v>
      </c>
      <c r="C400" t="s">
        <v>8</v>
      </c>
      <c r="D400" t="s">
        <v>9</v>
      </c>
      <c r="E400" t="s">
        <v>78</v>
      </c>
      <c r="F400" s="12" t="s">
        <v>105</v>
      </c>
      <c r="G400" s="4" t="s">
        <v>882</v>
      </c>
    </row>
    <row r="401" spans="1:7" x14ac:dyDescent="0.35">
      <c r="A401" s="2">
        <v>42227</v>
      </c>
      <c r="B401" s="93" t="s">
        <v>105</v>
      </c>
      <c r="C401" t="s">
        <v>8</v>
      </c>
      <c r="D401" t="s">
        <v>9</v>
      </c>
      <c r="E401" t="s">
        <v>78</v>
      </c>
      <c r="F401" s="12" t="s">
        <v>105</v>
      </c>
      <c r="G401" s="4" t="s">
        <v>883</v>
      </c>
    </row>
    <row r="402" spans="1:7" x14ac:dyDescent="0.35">
      <c r="A402" s="2">
        <v>42227</v>
      </c>
      <c r="B402" s="93" t="s">
        <v>105</v>
      </c>
      <c r="C402" t="s">
        <v>8</v>
      </c>
      <c r="D402" t="s">
        <v>14</v>
      </c>
      <c r="E402" t="s">
        <v>136</v>
      </c>
      <c r="F402" s="12" t="s">
        <v>105</v>
      </c>
      <c r="G402" s="4" t="s">
        <v>884</v>
      </c>
    </row>
    <row r="403" spans="1:7" x14ac:dyDescent="0.35">
      <c r="A403" s="2">
        <v>42227</v>
      </c>
      <c r="B403" s="93" t="s">
        <v>105</v>
      </c>
      <c r="C403" t="s">
        <v>8</v>
      </c>
      <c r="D403" t="s">
        <v>14</v>
      </c>
      <c r="E403" t="s">
        <v>136</v>
      </c>
      <c r="F403" s="12" t="s">
        <v>105</v>
      </c>
      <c r="G403" s="4" t="s">
        <v>885</v>
      </c>
    </row>
    <row r="404" spans="1:7" x14ac:dyDescent="0.35">
      <c r="A404" s="2">
        <v>42227</v>
      </c>
      <c r="B404" s="93" t="s">
        <v>105</v>
      </c>
      <c r="C404" t="s">
        <v>8</v>
      </c>
      <c r="D404" t="s">
        <v>14</v>
      </c>
      <c r="E404" t="s">
        <v>136</v>
      </c>
      <c r="F404" s="12" t="s">
        <v>105</v>
      </c>
      <c r="G404" s="4" t="s">
        <v>886</v>
      </c>
    </row>
    <row r="405" spans="1:7" x14ac:dyDescent="0.35">
      <c r="A405" s="2">
        <v>42227</v>
      </c>
      <c r="B405" s="93" t="s">
        <v>105</v>
      </c>
      <c r="C405" t="s">
        <v>8</v>
      </c>
      <c r="D405" t="s">
        <v>14</v>
      </c>
      <c r="E405" t="s">
        <v>74</v>
      </c>
      <c r="F405" s="12" t="s">
        <v>82</v>
      </c>
      <c r="G405" s="4" t="s">
        <v>717</v>
      </c>
    </row>
    <row r="406" spans="1:7" x14ac:dyDescent="0.35">
      <c r="A406" s="2">
        <v>42227</v>
      </c>
      <c r="B406" s="93" t="s">
        <v>105</v>
      </c>
      <c r="C406" t="s">
        <v>8</v>
      </c>
      <c r="D406" t="s">
        <v>14</v>
      </c>
      <c r="E406" t="s">
        <v>74</v>
      </c>
      <c r="F406" s="12" t="s">
        <v>82</v>
      </c>
      <c r="G406" s="4" t="s">
        <v>887</v>
      </c>
    </row>
    <row r="407" spans="1:7" x14ac:dyDescent="0.35">
      <c r="A407" s="2">
        <v>42227</v>
      </c>
      <c r="B407" s="93" t="s">
        <v>105</v>
      </c>
      <c r="C407" t="s">
        <v>8</v>
      </c>
      <c r="D407" t="s">
        <v>18</v>
      </c>
      <c r="E407" t="s">
        <v>136</v>
      </c>
      <c r="F407" s="12" t="s">
        <v>105</v>
      </c>
      <c r="G407" s="4" t="s">
        <v>888</v>
      </c>
    </row>
    <row r="408" spans="1:7" x14ac:dyDescent="0.35">
      <c r="A408" s="2">
        <v>42227</v>
      </c>
      <c r="B408" s="93" t="s">
        <v>105</v>
      </c>
      <c r="C408" t="s">
        <v>8</v>
      </c>
      <c r="D408" t="s">
        <v>18</v>
      </c>
      <c r="E408" t="s">
        <v>136</v>
      </c>
      <c r="F408" s="12" t="s">
        <v>105</v>
      </c>
      <c r="G408" s="4" t="s">
        <v>889</v>
      </c>
    </row>
    <row r="409" spans="1:7" x14ac:dyDescent="0.35">
      <c r="A409" s="2">
        <v>42227</v>
      </c>
      <c r="B409" s="93" t="s">
        <v>105</v>
      </c>
      <c r="C409" t="s">
        <v>8</v>
      </c>
      <c r="D409" t="s">
        <v>18</v>
      </c>
      <c r="E409" t="s">
        <v>136</v>
      </c>
      <c r="F409" s="12" t="s">
        <v>105</v>
      </c>
      <c r="G409" s="4" t="s">
        <v>890</v>
      </c>
    </row>
    <row r="410" spans="1:7" x14ac:dyDescent="0.35">
      <c r="A410" s="2">
        <v>42227</v>
      </c>
      <c r="B410" s="93" t="s">
        <v>105</v>
      </c>
      <c r="C410" t="s">
        <v>8</v>
      </c>
      <c r="D410" t="s">
        <v>18</v>
      </c>
      <c r="E410" t="s">
        <v>74</v>
      </c>
      <c r="F410" s="12" t="s">
        <v>82</v>
      </c>
      <c r="G410" s="4" t="s">
        <v>891</v>
      </c>
    </row>
    <row r="411" spans="1:7" x14ac:dyDescent="0.35">
      <c r="A411" s="2">
        <v>42227</v>
      </c>
      <c r="B411" s="93" t="s">
        <v>105</v>
      </c>
      <c r="C411" t="s">
        <v>8</v>
      </c>
      <c r="D411" t="s">
        <v>18</v>
      </c>
      <c r="E411" t="s">
        <v>74</v>
      </c>
      <c r="F411" s="12" t="s">
        <v>82</v>
      </c>
      <c r="G411" s="4" t="s">
        <v>892</v>
      </c>
    </row>
    <row r="412" spans="1:7" x14ac:dyDescent="0.35">
      <c r="A412" s="2">
        <v>42227</v>
      </c>
      <c r="B412" s="93" t="s">
        <v>105</v>
      </c>
      <c r="C412" t="s">
        <v>8</v>
      </c>
      <c r="D412" t="s">
        <v>25</v>
      </c>
      <c r="E412" t="s">
        <v>136</v>
      </c>
      <c r="F412" s="12" t="s">
        <v>105</v>
      </c>
      <c r="G412" s="4" t="s">
        <v>893</v>
      </c>
    </row>
    <row r="413" spans="1:7" x14ac:dyDescent="0.35">
      <c r="A413" s="2">
        <v>42227</v>
      </c>
      <c r="B413" s="93" t="s">
        <v>105</v>
      </c>
      <c r="C413" t="s">
        <v>8</v>
      </c>
      <c r="D413" t="s">
        <v>25</v>
      </c>
      <c r="E413" t="s">
        <v>136</v>
      </c>
      <c r="F413" s="12" t="s">
        <v>105</v>
      </c>
      <c r="G413" s="4" t="s">
        <v>894</v>
      </c>
    </row>
    <row r="414" spans="1:7" x14ac:dyDescent="0.35">
      <c r="A414" s="2">
        <v>42227</v>
      </c>
      <c r="B414" s="93" t="s">
        <v>105</v>
      </c>
      <c r="C414" t="s">
        <v>8</v>
      </c>
      <c r="D414" t="s">
        <v>25</v>
      </c>
      <c r="E414" t="s">
        <v>136</v>
      </c>
      <c r="F414" s="12" t="s">
        <v>105</v>
      </c>
      <c r="G414" s="4" t="s">
        <v>895</v>
      </c>
    </row>
    <row r="415" spans="1:7" x14ac:dyDescent="0.35">
      <c r="A415" s="2">
        <v>42227</v>
      </c>
      <c r="B415" s="93" t="s">
        <v>105</v>
      </c>
      <c r="C415" t="s">
        <v>8</v>
      </c>
      <c r="D415" t="s">
        <v>25</v>
      </c>
      <c r="E415" t="s">
        <v>74</v>
      </c>
      <c r="F415" s="12" t="s">
        <v>82</v>
      </c>
      <c r="G415" s="4" t="s">
        <v>896</v>
      </c>
    </row>
    <row r="416" spans="1:7" x14ac:dyDescent="0.35">
      <c r="A416" s="2">
        <v>42227</v>
      </c>
      <c r="B416" s="93" t="s">
        <v>105</v>
      </c>
      <c r="C416" t="s">
        <v>8</v>
      </c>
      <c r="D416" t="s">
        <v>25</v>
      </c>
      <c r="E416" t="s">
        <v>74</v>
      </c>
      <c r="F416" s="12" t="s">
        <v>82</v>
      </c>
      <c r="G416" s="4" t="s">
        <v>897</v>
      </c>
    </row>
    <row r="417" spans="1:7" x14ac:dyDescent="0.35">
      <c r="A417" s="2">
        <v>42227</v>
      </c>
      <c r="B417" s="93" t="s">
        <v>105</v>
      </c>
      <c r="C417" t="s">
        <v>8</v>
      </c>
      <c r="D417" t="s">
        <v>25</v>
      </c>
      <c r="E417" t="s">
        <v>78</v>
      </c>
      <c r="F417" s="12" t="s">
        <v>105</v>
      </c>
      <c r="G417" s="4" t="s">
        <v>898</v>
      </c>
    </row>
    <row r="418" spans="1:7" x14ac:dyDescent="0.35">
      <c r="A418" s="2">
        <v>42227</v>
      </c>
      <c r="B418" s="93" t="s">
        <v>105</v>
      </c>
      <c r="C418" t="s">
        <v>8</v>
      </c>
      <c r="D418" t="s">
        <v>25</v>
      </c>
      <c r="E418" t="s">
        <v>78</v>
      </c>
      <c r="F418" s="12" t="s">
        <v>105</v>
      </c>
      <c r="G418" s="4" t="s">
        <v>899</v>
      </c>
    </row>
    <row r="419" spans="1:7" x14ac:dyDescent="0.35">
      <c r="A419" s="2">
        <v>42227</v>
      </c>
      <c r="B419" s="93" t="s">
        <v>105</v>
      </c>
      <c r="C419" t="s">
        <v>8</v>
      </c>
      <c r="D419" t="s">
        <v>25</v>
      </c>
      <c r="E419" t="s">
        <v>78</v>
      </c>
      <c r="F419" s="12" t="s">
        <v>105</v>
      </c>
      <c r="G419" s="4" t="s">
        <v>900</v>
      </c>
    </row>
    <row r="420" spans="1:7" x14ac:dyDescent="0.35">
      <c r="A420" s="2">
        <v>42227</v>
      </c>
      <c r="B420" s="93" t="s">
        <v>105</v>
      </c>
      <c r="C420" t="s">
        <v>8</v>
      </c>
      <c r="D420" t="s">
        <v>167</v>
      </c>
      <c r="E420" t="s">
        <v>136</v>
      </c>
      <c r="F420" s="12" t="s">
        <v>105</v>
      </c>
      <c r="G420" s="4" t="s">
        <v>901</v>
      </c>
    </row>
    <row r="421" spans="1:7" x14ac:dyDescent="0.35">
      <c r="A421" s="2">
        <v>42227</v>
      </c>
      <c r="B421" s="93" t="s">
        <v>105</v>
      </c>
      <c r="C421" t="s">
        <v>8</v>
      </c>
      <c r="D421" t="s">
        <v>167</v>
      </c>
      <c r="E421" t="s">
        <v>136</v>
      </c>
      <c r="F421" s="12" t="s">
        <v>105</v>
      </c>
      <c r="G421" s="4" t="s">
        <v>902</v>
      </c>
    </row>
    <row r="422" spans="1:7" x14ac:dyDescent="0.35">
      <c r="A422" s="2">
        <v>42227</v>
      </c>
      <c r="B422" s="93" t="s">
        <v>105</v>
      </c>
      <c r="C422" t="s">
        <v>8</v>
      </c>
      <c r="D422" t="s">
        <v>167</v>
      </c>
      <c r="E422" t="s">
        <v>136</v>
      </c>
      <c r="F422" s="12" t="s">
        <v>105</v>
      </c>
      <c r="G422" s="4" t="s">
        <v>903</v>
      </c>
    </row>
    <row r="423" spans="1:7" x14ac:dyDescent="0.35">
      <c r="A423" s="2">
        <v>42227</v>
      </c>
      <c r="B423" s="93" t="s">
        <v>105</v>
      </c>
      <c r="C423" t="s">
        <v>8</v>
      </c>
      <c r="D423" t="s">
        <v>167</v>
      </c>
      <c r="E423" t="s">
        <v>74</v>
      </c>
      <c r="F423" s="12" t="s">
        <v>82</v>
      </c>
      <c r="G423" s="4" t="s">
        <v>904</v>
      </c>
    </row>
    <row r="424" spans="1:7" x14ac:dyDescent="0.35">
      <c r="A424" s="2">
        <v>42227</v>
      </c>
      <c r="B424" s="93" t="s">
        <v>105</v>
      </c>
      <c r="C424" t="s">
        <v>8</v>
      </c>
      <c r="D424" t="s">
        <v>167</v>
      </c>
      <c r="E424" t="s">
        <v>74</v>
      </c>
      <c r="F424" s="12" t="s">
        <v>82</v>
      </c>
      <c r="G424" s="4" t="s">
        <v>905</v>
      </c>
    </row>
    <row r="425" spans="1:7" x14ac:dyDescent="0.35">
      <c r="A425" s="2">
        <v>42227</v>
      </c>
      <c r="B425" s="93" t="s">
        <v>105</v>
      </c>
      <c r="C425" t="s">
        <v>8</v>
      </c>
      <c r="D425" t="s">
        <v>26</v>
      </c>
      <c r="E425" t="s">
        <v>136</v>
      </c>
      <c r="F425" s="12" t="s">
        <v>105</v>
      </c>
      <c r="G425" s="4" t="s">
        <v>906</v>
      </c>
    </row>
    <row r="426" spans="1:7" x14ac:dyDescent="0.35">
      <c r="A426" s="2">
        <v>42227</v>
      </c>
      <c r="B426" s="93" t="s">
        <v>105</v>
      </c>
      <c r="C426" t="s">
        <v>8</v>
      </c>
      <c r="D426" t="s">
        <v>26</v>
      </c>
      <c r="E426" t="s">
        <v>136</v>
      </c>
      <c r="F426" s="12" t="s">
        <v>105</v>
      </c>
      <c r="G426" s="4" t="s">
        <v>907</v>
      </c>
    </row>
    <row r="427" spans="1:7" x14ac:dyDescent="0.35">
      <c r="A427" s="2">
        <v>42227</v>
      </c>
      <c r="B427" s="93" t="s">
        <v>105</v>
      </c>
      <c r="C427" t="s">
        <v>8</v>
      </c>
      <c r="D427" t="s">
        <v>26</v>
      </c>
      <c r="E427" t="s">
        <v>136</v>
      </c>
      <c r="F427" s="12" t="s">
        <v>105</v>
      </c>
      <c r="G427" s="4" t="s">
        <v>908</v>
      </c>
    </row>
    <row r="428" spans="1:7" x14ac:dyDescent="0.35">
      <c r="A428" s="2">
        <v>42227</v>
      </c>
      <c r="B428" s="93" t="s">
        <v>105</v>
      </c>
      <c r="C428" t="s">
        <v>8</v>
      </c>
      <c r="D428" t="s">
        <v>26</v>
      </c>
      <c r="E428" t="s">
        <v>74</v>
      </c>
      <c r="F428" s="12" t="s">
        <v>82</v>
      </c>
      <c r="G428" s="4" t="s">
        <v>909</v>
      </c>
    </row>
    <row r="429" spans="1:7" x14ac:dyDescent="0.35">
      <c r="A429" s="2">
        <v>42227</v>
      </c>
      <c r="B429" s="93" t="s">
        <v>105</v>
      </c>
      <c r="C429" t="s">
        <v>8</v>
      </c>
      <c r="D429" t="s">
        <v>26</v>
      </c>
      <c r="E429" t="s">
        <v>74</v>
      </c>
      <c r="F429" s="12" t="s">
        <v>82</v>
      </c>
      <c r="G429" s="4" t="s">
        <v>498</v>
      </c>
    </row>
    <row r="430" spans="1:7" x14ac:dyDescent="0.35">
      <c r="A430" s="2">
        <v>42228</v>
      </c>
      <c r="B430" s="93" t="s">
        <v>105</v>
      </c>
      <c r="C430" t="s">
        <v>8</v>
      </c>
      <c r="D430" t="s">
        <v>64</v>
      </c>
      <c r="E430" t="s">
        <v>136</v>
      </c>
      <c r="F430" s="12" t="s">
        <v>105</v>
      </c>
      <c r="G430" s="4" t="s">
        <v>910</v>
      </c>
    </row>
    <row r="431" spans="1:7" x14ac:dyDescent="0.35">
      <c r="A431" s="2">
        <v>42228</v>
      </c>
      <c r="B431" s="93" t="s">
        <v>105</v>
      </c>
      <c r="C431" t="s">
        <v>8</v>
      </c>
      <c r="D431" t="s">
        <v>64</v>
      </c>
      <c r="E431" t="s">
        <v>136</v>
      </c>
      <c r="F431" s="12" t="s">
        <v>105</v>
      </c>
      <c r="G431" s="4" t="s">
        <v>911</v>
      </c>
    </row>
    <row r="432" spans="1:7" x14ac:dyDescent="0.35">
      <c r="A432" s="2">
        <v>42228</v>
      </c>
      <c r="B432" s="93" t="s">
        <v>105</v>
      </c>
      <c r="C432" t="s">
        <v>8</v>
      </c>
      <c r="D432" t="s">
        <v>64</v>
      </c>
      <c r="E432" t="s">
        <v>136</v>
      </c>
      <c r="F432" s="12" t="s">
        <v>105</v>
      </c>
      <c r="G432" s="4" t="s">
        <v>912</v>
      </c>
    </row>
    <row r="433" spans="1:7" x14ac:dyDescent="0.35">
      <c r="A433" s="2">
        <v>42228</v>
      </c>
      <c r="B433" s="93" t="s">
        <v>105</v>
      </c>
      <c r="C433" t="s">
        <v>8</v>
      </c>
      <c r="D433" t="s">
        <v>64</v>
      </c>
      <c r="E433" t="s">
        <v>74</v>
      </c>
      <c r="F433" s="12" t="s">
        <v>82</v>
      </c>
      <c r="G433" s="4" t="s">
        <v>913</v>
      </c>
    </row>
    <row r="434" spans="1:7" x14ac:dyDescent="0.35">
      <c r="A434" s="2">
        <v>42228</v>
      </c>
      <c r="B434" s="93" t="s">
        <v>105</v>
      </c>
      <c r="C434" t="s">
        <v>8</v>
      </c>
      <c r="D434" t="s">
        <v>64</v>
      </c>
      <c r="E434" t="s">
        <v>74</v>
      </c>
      <c r="F434" s="12" t="s">
        <v>82</v>
      </c>
      <c r="G434" s="4" t="s">
        <v>914</v>
      </c>
    </row>
    <row r="435" spans="1:7" x14ac:dyDescent="0.35">
      <c r="A435" s="2">
        <v>42228</v>
      </c>
      <c r="B435" s="93" t="s">
        <v>105</v>
      </c>
      <c r="C435" t="s">
        <v>8</v>
      </c>
      <c r="D435" t="s">
        <v>64</v>
      </c>
      <c r="E435" t="s">
        <v>78</v>
      </c>
      <c r="F435" s="12" t="s">
        <v>105</v>
      </c>
      <c r="G435" s="4" t="s">
        <v>915</v>
      </c>
    </row>
    <row r="436" spans="1:7" x14ac:dyDescent="0.35">
      <c r="A436" s="2">
        <v>42228</v>
      </c>
      <c r="B436" s="93" t="s">
        <v>105</v>
      </c>
      <c r="C436" t="s">
        <v>8</v>
      </c>
      <c r="D436" t="s">
        <v>64</v>
      </c>
      <c r="E436" t="s">
        <v>78</v>
      </c>
      <c r="F436" s="12" t="s">
        <v>105</v>
      </c>
      <c r="G436" s="4" t="s">
        <v>916</v>
      </c>
    </row>
    <row r="437" spans="1:7" x14ac:dyDescent="0.35">
      <c r="A437" s="2">
        <v>42228</v>
      </c>
      <c r="B437" s="93" t="s">
        <v>105</v>
      </c>
      <c r="C437" t="s">
        <v>8</v>
      </c>
      <c r="D437" t="s">
        <v>64</v>
      </c>
      <c r="E437" t="s">
        <v>78</v>
      </c>
      <c r="F437" s="12" t="s">
        <v>105</v>
      </c>
      <c r="G437" s="4" t="s">
        <v>917</v>
      </c>
    </row>
    <row r="438" spans="1:7" x14ac:dyDescent="0.35">
      <c r="A438" s="2">
        <v>42228</v>
      </c>
      <c r="B438" s="93" t="s">
        <v>105</v>
      </c>
      <c r="C438" t="s">
        <v>8</v>
      </c>
      <c r="D438" t="s">
        <v>69</v>
      </c>
      <c r="E438" t="s">
        <v>136</v>
      </c>
      <c r="F438" s="12" t="s">
        <v>105</v>
      </c>
      <c r="G438" s="4" t="s">
        <v>918</v>
      </c>
    </row>
    <row r="439" spans="1:7" x14ac:dyDescent="0.35">
      <c r="A439" s="2">
        <v>42228</v>
      </c>
      <c r="B439" s="93" t="s">
        <v>105</v>
      </c>
      <c r="C439" t="s">
        <v>8</v>
      </c>
      <c r="D439" t="s">
        <v>69</v>
      </c>
      <c r="E439" t="s">
        <v>136</v>
      </c>
      <c r="F439" s="12" t="s">
        <v>105</v>
      </c>
      <c r="G439" s="4" t="s">
        <v>919</v>
      </c>
    </row>
    <row r="440" spans="1:7" x14ac:dyDescent="0.35">
      <c r="A440" s="2">
        <v>42228</v>
      </c>
      <c r="B440" s="93" t="s">
        <v>105</v>
      </c>
      <c r="C440" t="s">
        <v>8</v>
      </c>
      <c r="D440" t="s">
        <v>69</v>
      </c>
      <c r="E440" t="s">
        <v>136</v>
      </c>
      <c r="F440" s="12" t="s">
        <v>105</v>
      </c>
      <c r="G440" s="4" t="s">
        <v>920</v>
      </c>
    </row>
    <row r="441" spans="1:7" x14ac:dyDescent="0.35">
      <c r="A441" s="2">
        <v>42228</v>
      </c>
      <c r="B441" s="93" t="s">
        <v>105</v>
      </c>
      <c r="C441" t="s">
        <v>8</v>
      </c>
      <c r="D441" t="s">
        <v>69</v>
      </c>
      <c r="E441" t="s">
        <v>74</v>
      </c>
      <c r="F441" s="12" t="s">
        <v>82</v>
      </c>
      <c r="G441" s="4" t="s">
        <v>921</v>
      </c>
    </row>
    <row r="442" spans="1:7" x14ac:dyDescent="0.35">
      <c r="A442" s="2">
        <v>42228</v>
      </c>
      <c r="B442" s="93" t="s">
        <v>105</v>
      </c>
      <c r="C442" t="s">
        <v>8</v>
      </c>
      <c r="D442" t="s">
        <v>69</v>
      </c>
      <c r="E442" t="s">
        <v>74</v>
      </c>
      <c r="F442" s="12" t="s">
        <v>82</v>
      </c>
      <c r="G442" s="4" t="s">
        <v>340</v>
      </c>
    </row>
    <row r="443" spans="1:7" x14ac:dyDescent="0.35">
      <c r="A443" s="2">
        <v>42228</v>
      </c>
      <c r="B443" s="93" t="s">
        <v>105</v>
      </c>
      <c r="C443" t="s">
        <v>8</v>
      </c>
      <c r="D443" t="s">
        <v>60</v>
      </c>
      <c r="E443" t="s">
        <v>136</v>
      </c>
      <c r="F443" s="12" t="s">
        <v>105</v>
      </c>
      <c r="G443" s="4" t="s">
        <v>922</v>
      </c>
    </row>
    <row r="444" spans="1:7" x14ac:dyDescent="0.35">
      <c r="A444" s="2">
        <v>42228</v>
      </c>
      <c r="B444" s="93" t="s">
        <v>105</v>
      </c>
      <c r="C444" t="s">
        <v>8</v>
      </c>
      <c r="D444" t="s">
        <v>60</v>
      </c>
      <c r="E444" t="s">
        <v>136</v>
      </c>
      <c r="F444" s="12" t="s">
        <v>105</v>
      </c>
      <c r="G444" s="4" t="s">
        <v>923</v>
      </c>
    </row>
    <row r="445" spans="1:7" x14ac:dyDescent="0.35">
      <c r="A445" s="2">
        <v>42228</v>
      </c>
      <c r="B445" s="93" t="s">
        <v>105</v>
      </c>
      <c r="C445" t="s">
        <v>8</v>
      </c>
      <c r="D445" t="s">
        <v>60</v>
      </c>
      <c r="E445" t="s">
        <v>136</v>
      </c>
      <c r="F445" s="12" t="s">
        <v>105</v>
      </c>
      <c r="G445" s="4" t="s">
        <v>924</v>
      </c>
    </row>
    <row r="446" spans="1:7" x14ac:dyDescent="0.35">
      <c r="A446" s="2">
        <v>42228</v>
      </c>
      <c r="B446" s="93" t="s">
        <v>105</v>
      </c>
      <c r="C446" t="s">
        <v>8</v>
      </c>
      <c r="D446" t="s">
        <v>60</v>
      </c>
      <c r="E446" t="s">
        <v>74</v>
      </c>
      <c r="F446" s="12" t="s">
        <v>82</v>
      </c>
      <c r="G446" s="4" t="s">
        <v>925</v>
      </c>
    </row>
    <row r="447" spans="1:7" x14ac:dyDescent="0.35">
      <c r="A447" s="2">
        <v>42228</v>
      </c>
      <c r="B447" s="93" t="s">
        <v>105</v>
      </c>
      <c r="C447" t="s">
        <v>8</v>
      </c>
      <c r="D447" t="s">
        <v>60</v>
      </c>
      <c r="E447" t="s">
        <v>74</v>
      </c>
      <c r="F447" s="12" t="s">
        <v>82</v>
      </c>
      <c r="G447" s="4" t="s">
        <v>926</v>
      </c>
    </row>
    <row r="448" spans="1:7" x14ac:dyDescent="0.35">
      <c r="A448" s="2">
        <v>42233</v>
      </c>
      <c r="B448" s="93" t="s">
        <v>105</v>
      </c>
      <c r="C448" t="s">
        <v>8</v>
      </c>
      <c r="D448" t="s">
        <v>9</v>
      </c>
      <c r="E448" t="s">
        <v>136</v>
      </c>
      <c r="F448" s="12" t="s">
        <v>105</v>
      </c>
      <c r="G448" s="4" t="s">
        <v>345</v>
      </c>
    </row>
    <row r="449" spans="1:7" x14ac:dyDescent="0.35">
      <c r="A449" s="2">
        <v>42233</v>
      </c>
      <c r="B449" s="93" t="s">
        <v>105</v>
      </c>
      <c r="C449" t="s">
        <v>8</v>
      </c>
      <c r="D449" t="s">
        <v>9</v>
      </c>
      <c r="E449" t="s">
        <v>136</v>
      </c>
      <c r="F449" s="12" t="s">
        <v>105</v>
      </c>
      <c r="G449" s="4" t="s">
        <v>295</v>
      </c>
    </row>
    <row r="450" spans="1:7" x14ac:dyDescent="0.35">
      <c r="A450" s="2">
        <v>42233</v>
      </c>
      <c r="B450" s="93" t="s">
        <v>105</v>
      </c>
      <c r="C450" t="s">
        <v>8</v>
      </c>
      <c r="D450" t="s">
        <v>9</v>
      </c>
      <c r="E450" t="s">
        <v>136</v>
      </c>
      <c r="F450" s="12" t="s">
        <v>105</v>
      </c>
      <c r="G450" s="4" t="s">
        <v>927</v>
      </c>
    </row>
    <row r="451" spans="1:7" x14ac:dyDescent="0.35">
      <c r="A451" s="2">
        <v>42233</v>
      </c>
      <c r="B451" s="93" t="s">
        <v>105</v>
      </c>
      <c r="C451" t="s">
        <v>8</v>
      </c>
      <c r="D451" t="s">
        <v>9</v>
      </c>
      <c r="E451" t="s">
        <v>74</v>
      </c>
      <c r="F451" s="12" t="s">
        <v>82</v>
      </c>
      <c r="G451" s="4" t="s">
        <v>928</v>
      </c>
    </row>
    <row r="452" spans="1:7" x14ac:dyDescent="0.35">
      <c r="A452" s="2">
        <v>42233</v>
      </c>
      <c r="B452" s="93" t="s">
        <v>105</v>
      </c>
      <c r="C452" t="s">
        <v>8</v>
      </c>
      <c r="D452" t="s">
        <v>9</v>
      </c>
      <c r="E452" t="s">
        <v>74</v>
      </c>
      <c r="F452" s="12" t="s">
        <v>82</v>
      </c>
      <c r="G452" s="4" t="s">
        <v>929</v>
      </c>
    </row>
    <row r="453" spans="1:7" x14ac:dyDescent="0.35">
      <c r="A453" s="2">
        <v>42233</v>
      </c>
      <c r="B453" s="93" t="s">
        <v>105</v>
      </c>
      <c r="C453" t="s">
        <v>8</v>
      </c>
      <c r="D453" t="s">
        <v>9</v>
      </c>
      <c r="E453" t="s">
        <v>78</v>
      </c>
      <c r="F453" s="12" t="s">
        <v>105</v>
      </c>
      <c r="G453" s="4" t="s">
        <v>930</v>
      </c>
    </row>
    <row r="454" spans="1:7" x14ac:dyDescent="0.35">
      <c r="A454" s="2">
        <v>42233</v>
      </c>
      <c r="B454" s="93" t="s">
        <v>105</v>
      </c>
      <c r="C454" t="s">
        <v>8</v>
      </c>
      <c r="D454" t="s">
        <v>9</v>
      </c>
      <c r="E454" t="s">
        <v>78</v>
      </c>
      <c r="F454" s="12" t="s">
        <v>105</v>
      </c>
      <c r="G454" s="4" t="s">
        <v>931</v>
      </c>
    </row>
    <row r="455" spans="1:7" x14ac:dyDescent="0.35">
      <c r="A455" s="2">
        <v>42233</v>
      </c>
      <c r="B455" s="93" t="s">
        <v>105</v>
      </c>
      <c r="C455" t="s">
        <v>8</v>
      </c>
      <c r="D455" t="s">
        <v>9</v>
      </c>
      <c r="E455" t="s">
        <v>78</v>
      </c>
      <c r="F455" s="12" t="s">
        <v>105</v>
      </c>
      <c r="G455" s="4" t="s">
        <v>932</v>
      </c>
    </row>
    <row r="456" spans="1:7" x14ac:dyDescent="0.35">
      <c r="A456" s="2">
        <v>42233</v>
      </c>
      <c r="B456" s="93" t="s">
        <v>105</v>
      </c>
      <c r="C456" t="s">
        <v>8</v>
      </c>
      <c r="D456" t="s">
        <v>14</v>
      </c>
      <c r="E456" t="s">
        <v>136</v>
      </c>
      <c r="F456" s="12" t="s">
        <v>105</v>
      </c>
      <c r="G456" s="4" t="s">
        <v>933</v>
      </c>
    </row>
    <row r="457" spans="1:7" x14ac:dyDescent="0.35">
      <c r="A457" s="2">
        <v>42233</v>
      </c>
      <c r="B457" s="93" t="s">
        <v>105</v>
      </c>
      <c r="C457" t="s">
        <v>8</v>
      </c>
      <c r="D457" t="s">
        <v>14</v>
      </c>
      <c r="E457" t="s">
        <v>136</v>
      </c>
      <c r="F457" s="12" t="s">
        <v>105</v>
      </c>
      <c r="G457" s="4" t="s">
        <v>934</v>
      </c>
    </row>
    <row r="458" spans="1:7" x14ac:dyDescent="0.35">
      <c r="A458" s="2">
        <v>42233</v>
      </c>
      <c r="B458" s="93" t="s">
        <v>105</v>
      </c>
      <c r="C458" t="s">
        <v>8</v>
      </c>
      <c r="D458" t="s">
        <v>14</v>
      </c>
      <c r="E458" t="s">
        <v>136</v>
      </c>
      <c r="F458" s="12" t="s">
        <v>105</v>
      </c>
      <c r="G458" s="4" t="s">
        <v>500</v>
      </c>
    </row>
    <row r="459" spans="1:7" x14ac:dyDescent="0.35">
      <c r="A459" s="2">
        <v>42233</v>
      </c>
      <c r="B459" s="93" t="s">
        <v>105</v>
      </c>
      <c r="C459" t="s">
        <v>8</v>
      </c>
      <c r="D459" t="s">
        <v>14</v>
      </c>
      <c r="E459" t="s">
        <v>74</v>
      </c>
      <c r="F459" s="12" t="s">
        <v>82</v>
      </c>
      <c r="G459" s="4" t="s">
        <v>935</v>
      </c>
    </row>
    <row r="460" spans="1:7" x14ac:dyDescent="0.35">
      <c r="A460" s="2">
        <v>42233</v>
      </c>
      <c r="B460" s="93" t="s">
        <v>105</v>
      </c>
      <c r="C460" t="s">
        <v>8</v>
      </c>
      <c r="D460" t="s">
        <v>14</v>
      </c>
      <c r="E460" t="s">
        <v>74</v>
      </c>
      <c r="F460" s="12" t="s">
        <v>82</v>
      </c>
      <c r="G460" s="4" t="s">
        <v>936</v>
      </c>
    </row>
    <row r="461" spans="1:7" x14ac:dyDescent="0.35">
      <c r="A461" s="2">
        <v>42233</v>
      </c>
      <c r="B461" s="93" t="s">
        <v>105</v>
      </c>
      <c r="C461" t="s">
        <v>8</v>
      </c>
      <c r="D461" t="s">
        <v>18</v>
      </c>
      <c r="E461" t="s">
        <v>136</v>
      </c>
      <c r="F461" s="12" t="s">
        <v>105</v>
      </c>
      <c r="G461" s="4" t="s">
        <v>937</v>
      </c>
    </row>
    <row r="462" spans="1:7" x14ac:dyDescent="0.35">
      <c r="A462" s="2">
        <v>42233</v>
      </c>
      <c r="B462" s="93" t="s">
        <v>105</v>
      </c>
      <c r="C462" t="s">
        <v>8</v>
      </c>
      <c r="D462" t="s">
        <v>18</v>
      </c>
      <c r="E462" t="s">
        <v>136</v>
      </c>
      <c r="F462" s="12" t="s">
        <v>105</v>
      </c>
      <c r="G462" s="4" t="s">
        <v>938</v>
      </c>
    </row>
    <row r="463" spans="1:7" x14ac:dyDescent="0.35">
      <c r="A463" s="2">
        <v>42233</v>
      </c>
      <c r="B463" s="93" t="s">
        <v>105</v>
      </c>
      <c r="C463" t="s">
        <v>8</v>
      </c>
      <c r="D463" t="s">
        <v>18</v>
      </c>
      <c r="E463" t="s">
        <v>136</v>
      </c>
      <c r="F463" s="12" t="s">
        <v>105</v>
      </c>
      <c r="G463" s="4" t="s">
        <v>939</v>
      </c>
    </row>
    <row r="464" spans="1:7" x14ac:dyDescent="0.35">
      <c r="A464" s="2">
        <v>42233</v>
      </c>
      <c r="B464" s="93" t="s">
        <v>105</v>
      </c>
      <c r="C464" t="s">
        <v>8</v>
      </c>
      <c r="D464" t="s">
        <v>18</v>
      </c>
      <c r="E464" t="s">
        <v>74</v>
      </c>
      <c r="F464" s="12" t="s">
        <v>82</v>
      </c>
      <c r="G464" s="4" t="s">
        <v>940</v>
      </c>
    </row>
    <row r="465" spans="1:7" x14ac:dyDescent="0.35">
      <c r="A465" s="2">
        <v>42233</v>
      </c>
      <c r="B465" s="93" t="s">
        <v>105</v>
      </c>
      <c r="C465" t="s">
        <v>8</v>
      </c>
      <c r="D465" t="s">
        <v>18</v>
      </c>
      <c r="E465" t="s">
        <v>74</v>
      </c>
      <c r="F465" s="12" t="s">
        <v>82</v>
      </c>
      <c r="G465" s="4" t="s">
        <v>941</v>
      </c>
    </row>
    <row r="466" spans="1:7" x14ac:dyDescent="0.35">
      <c r="A466" s="2">
        <v>42233</v>
      </c>
      <c r="B466" s="93" t="s">
        <v>105</v>
      </c>
      <c r="C466" t="s">
        <v>8</v>
      </c>
      <c r="D466" t="s">
        <v>167</v>
      </c>
      <c r="E466" t="s">
        <v>136</v>
      </c>
      <c r="F466" s="12" t="s">
        <v>105</v>
      </c>
      <c r="G466" s="4" t="s">
        <v>942</v>
      </c>
    </row>
    <row r="467" spans="1:7" x14ac:dyDescent="0.35">
      <c r="A467" s="2">
        <v>42233</v>
      </c>
      <c r="B467" s="93" t="s">
        <v>105</v>
      </c>
      <c r="C467" t="s">
        <v>8</v>
      </c>
      <c r="D467" t="s">
        <v>167</v>
      </c>
      <c r="E467" t="s">
        <v>136</v>
      </c>
      <c r="F467" s="12" t="s">
        <v>105</v>
      </c>
      <c r="G467" s="4" t="s">
        <v>341</v>
      </c>
    </row>
    <row r="468" spans="1:7" x14ac:dyDescent="0.35">
      <c r="A468" s="2">
        <v>42233</v>
      </c>
      <c r="B468" s="93" t="s">
        <v>105</v>
      </c>
      <c r="C468" t="s">
        <v>8</v>
      </c>
      <c r="D468" t="s">
        <v>167</v>
      </c>
      <c r="E468" t="s">
        <v>136</v>
      </c>
      <c r="F468" s="12" t="s">
        <v>105</v>
      </c>
      <c r="G468" s="4" t="s">
        <v>943</v>
      </c>
    </row>
    <row r="469" spans="1:7" x14ac:dyDescent="0.35">
      <c r="A469" s="2">
        <v>42233</v>
      </c>
      <c r="B469" s="93" t="s">
        <v>105</v>
      </c>
      <c r="C469" t="s">
        <v>8</v>
      </c>
      <c r="D469" t="s">
        <v>167</v>
      </c>
      <c r="E469" t="s">
        <v>74</v>
      </c>
      <c r="F469" s="12" t="s">
        <v>82</v>
      </c>
      <c r="G469" s="4" t="s">
        <v>944</v>
      </c>
    </row>
    <row r="470" spans="1:7" x14ac:dyDescent="0.35">
      <c r="A470" s="2">
        <v>42233</v>
      </c>
      <c r="B470" s="93" t="s">
        <v>105</v>
      </c>
      <c r="C470" t="s">
        <v>8</v>
      </c>
      <c r="D470" t="s">
        <v>167</v>
      </c>
      <c r="E470" t="s">
        <v>74</v>
      </c>
      <c r="F470" s="12" t="s">
        <v>82</v>
      </c>
      <c r="G470" s="4" t="s">
        <v>945</v>
      </c>
    </row>
    <row r="471" spans="1:7" x14ac:dyDescent="0.35">
      <c r="A471" s="2">
        <v>42233</v>
      </c>
      <c r="B471" s="93" t="s">
        <v>105</v>
      </c>
      <c r="C471" t="s">
        <v>8</v>
      </c>
      <c r="D471" t="s">
        <v>167</v>
      </c>
      <c r="E471" t="s">
        <v>78</v>
      </c>
      <c r="F471" s="12" t="s">
        <v>105</v>
      </c>
      <c r="G471" s="4" t="s">
        <v>946</v>
      </c>
    </row>
    <row r="472" spans="1:7" x14ac:dyDescent="0.35">
      <c r="A472" s="2">
        <v>42233</v>
      </c>
      <c r="B472" s="93" t="s">
        <v>105</v>
      </c>
      <c r="C472" t="s">
        <v>8</v>
      </c>
      <c r="D472" t="s">
        <v>167</v>
      </c>
      <c r="E472" t="s">
        <v>78</v>
      </c>
      <c r="F472" s="12" t="s">
        <v>105</v>
      </c>
      <c r="G472" s="4" t="s">
        <v>947</v>
      </c>
    </row>
    <row r="473" spans="1:7" x14ac:dyDescent="0.35">
      <c r="A473" s="2">
        <v>42233</v>
      </c>
      <c r="B473" s="93" t="s">
        <v>105</v>
      </c>
      <c r="C473" t="s">
        <v>8</v>
      </c>
      <c r="D473" t="s">
        <v>167</v>
      </c>
      <c r="E473" t="s">
        <v>78</v>
      </c>
      <c r="F473" s="12" t="s">
        <v>105</v>
      </c>
      <c r="G473" s="4" t="s">
        <v>948</v>
      </c>
    </row>
    <row r="474" spans="1:7" x14ac:dyDescent="0.35">
      <c r="A474" s="2">
        <v>42233</v>
      </c>
      <c r="B474" s="93" t="s">
        <v>105</v>
      </c>
      <c r="C474" t="s">
        <v>8</v>
      </c>
      <c r="D474" t="s">
        <v>25</v>
      </c>
      <c r="E474" t="s">
        <v>136</v>
      </c>
      <c r="F474" s="12" t="s">
        <v>105</v>
      </c>
      <c r="G474" s="4" t="s">
        <v>949</v>
      </c>
    </row>
    <row r="475" spans="1:7" x14ac:dyDescent="0.35">
      <c r="A475" s="2">
        <v>42233</v>
      </c>
      <c r="B475" s="93" t="s">
        <v>105</v>
      </c>
      <c r="C475" t="s">
        <v>8</v>
      </c>
      <c r="D475" t="s">
        <v>25</v>
      </c>
      <c r="E475" t="s">
        <v>136</v>
      </c>
      <c r="F475" s="12" t="s">
        <v>105</v>
      </c>
      <c r="G475" s="4" t="s">
        <v>950</v>
      </c>
    </row>
    <row r="476" spans="1:7" x14ac:dyDescent="0.35">
      <c r="A476" s="2">
        <v>42233</v>
      </c>
      <c r="B476" s="93" t="s">
        <v>105</v>
      </c>
      <c r="C476" t="s">
        <v>8</v>
      </c>
      <c r="D476" t="s">
        <v>25</v>
      </c>
      <c r="E476" t="s">
        <v>136</v>
      </c>
      <c r="F476" s="12" t="s">
        <v>105</v>
      </c>
      <c r="G476" s="4" t="s">
        <v>951</v>
      </c>
    </row>
    <row r="477" spans="1:7" x14ac:dyDescent="0.35">
      <c r="A477" s="2">
        <v>42233</v>
      </c>
      <c r="B477" s="93" t="s">
        <v>105</v>
      </c>
      <c r="C477" t="s">
        <v>8</v>
      </c>
      <c r="D477" t="s">
        <v>25</v>
      </c>
      <c r="E477" t="s">
        <v>74</v>
      </c>
      <c r="F477" s="12" t="s">
        <v>82</v>
      </c>
      <c r="G477" s="4" t="s">
        <v>952</v>
      </c>
    </row>
    <row r="478" spans="1:7" x14ac:dyDescent="0.35">
      <c r="A478" s="2">
        <v>42233</v>
      </c>
      <c r="B478" s="93" t="s">
        <v>105</v>
      </c>
      <c r="C478" t="s">
        <v>8</v>
      </c>
      <c r="D478" t="s">
        <v>25</v>
      </c>
      <c r="E478" t="s">
        <v>74</v>
      </c>
      <c r="F478" s="12" t="s">
        <v>82</v>
      </c>
      <c r="G478" s="4" t="s">
        <v>953</v>
      </c>
    </row>
    <row r="479" spans="1:7" x14ac:dyDescent="0.35">
      <c r="A479" s="2">
        <v>42233</v>
      </c>
      <c r="B479" s="93" t="s">
        <v>105</v>
      </c>
      <c r="C479" t="s">
        <v>8</v>
      </c>
      <c r="D479" t="s">
        <v>26</v>
      </c>
      <c r="E479" t="s">
        <v>136</v>
      </c>
      <c r="F479" s="12" t="s">
        <v>105</v>
      </c>
      <c r="G479" s="4" t="s">
        <v>954</v>
      </c>
    </row>
    <row r="480" spans="1:7" x14ac:dyDescent="0.35">
      <c r="A480" s="2">
        <v>42233</v>
      </c>
      <c r="B480" s="93" t="s">
        <v>105</v>
      </c>
      <c r="C480" t="s">
        <v>8</v>
      </c>
      <c r="D480" t="s">
        <v>26</v>
      </c>
      <c r="E480" t="s">
        <v>136</v>
      </c>
      <c r="F480" s="12" t="s">
        <v>105</v>
      </c>
      <c r="G480" s="4" t="s">
        <v>955</v>
      </c>
    </row>
    <row r="481" spans="1:7" x14ac:dyDescent="0.35">
      <c r="A481" s="2">
        <v>42233</v>
      </c>
      <c r="B481" s="93" t="s">
        <v>105</v>
      </c>
      <c r="C481" t="s">
        <v>8</v>
      </c>
      <c r="D481" t="s">
        <v>26</v>
      </c>
      <c r="E481" t="s">
        <v>136</v>
      </c>
      <c r="F481" s="12" t="s">
        <v>105</v>
      </c>
      <c r="G481" s="4" t="s">
        <v>956</v>
      </c>
    </row>
    <row r="482" spans="1:7" x14ac:dyDescent="0.35">
      <c r="A482" s="2">
        <v>42233</v>
      </c>
      <c r="B482" s="93" t="s">
        <v>105</v>
      </c>
      <c r="C482" t="s">
        <v>8</v>
      </c>
      <c r="D482" t="s">
        <v>26</v>
      </c>
      <c r="E482" t="s">
        <v>74</v>
      </c>
      <c r="F482" s="12" t="s">
        <v>82</v>
      </c>
      <c r="G482" s="4" t="s">
        <v>957</v>
      </c>
    </row>
    <row r="483" spans="1:7" x14ac:dyDescent="0.35">
      <c r="A483" s="2">
        <v>42233</v>
      </c>
      <c r="B483" s="93" t="s">
        <v>105</v>
      </c>
      <c r="C483" t="s">
        <v>8</v>
      </c>
      <c r="D483" t="s">
        <v>26</v>
      </c>
      <c r="E483" t="s">
        <v>74</v>
      </c>
      <c r="F483" s="12" t="s">
        <v>82</v>
      </c>
      <c r="G483" s="4" t="s">
        <v>958</v>
      </c>
    </row>
    <row r="484" spans="1:7" x14ac:dyDescent="0.35">
      <c r="A484" s="2">
        <v>42236</v>
      </c>
      <c r="B484" s="93" t="s">
        <v>105</v>
      </c>
      <c r="C484" t="s">
        <v>8</v>
      </c>
      <c r="D484" t="s">
        <v>64</v>
      </c>
      <c r="E484" t="s">
        <v>136</v>
      </c>
      <c r="F484" s="12" t="s">
        <v>105</v>
      </c>
      <c r="G484" s="4" t="s">
        <v>959</v>
      </c>
    </row>
    <row r="485" spans="1:7" x14ac:dyDescent="0.35">
      <c r="A485" s="2">
        <v>42236</v>
      </c>
      <c r="B485" s="93" t="s">
        <v>105</v>
      </c>
      <c r="C485" t="s">
        <v>8</v>
      </c>
      <c r="D485" t="s">
        <v>64</v>
      </c>
      <c r="E485" t="s">
        <v>136</v>
      </c>
      <c r="F485" s="12" t="s">
        <v>105</v>
      </c>
      <c r="G485" s="4" t="s">
        <v>960</v>
      </c>
    </row>
    <row r="486" spans="1:7" x14ac:dyDescent="0.35">
      <c r="A486" s="2">
        <v>42236</v>
      </c>
      <c r="B486" s="93" t="s">
        <v>105</v>
      </c>
      <c r="C486" t="s">
        <v>8</v>
      </c>
      <c r="D486" t="s">
        <v>64</v>
      </c>
      <c r="E486" t="s">
        <v>136</v>
      </c>
      <c r="F486" s="12" t="s">
        <v>105</v>
      </c>
      <c r="G486" s="4" t="s">
        <v>961</v>
      </c>
    </row>
    <row r="487" spans="1:7" x14ac:dyDescent="0.35">
      <c r="A487" s="2">
        <v>42236</v>
      </c>
      <c r="B487" s="93" t="s">
        <v>105</v>
      </c>
      <c r="C487" t="s">
        <v>8</v>
      </c>
      <c r="D487" t="s">
        <v>64</v>
      </c>
      <c r="E487" t="s">
        <v>74</v>
      </c>
      <c r="F487" s="12" t="s">
        <v>82</v>
      </c>
      <c r="G487">
        <v>487</v>
      </c>
    </row>
    <row r="488" spans="1:7" x14ac:dyDescent="0.35">
      <c r="A488" s="2">
        <v>42236</v>
      </c>
      <c r="B488" s="93" t="s">
        <v>105</v>
      </c>
      <c r="C488" t="s">
        <v>8</v>
      </c>
      <c r="D488" t="s">
        <v>64</v>
      </c>
      <c r="E488" t="s">
        <v>74</v>
      </c>
      <c r="F488" s="12" t="s">
        <v>82</v>
      </c>
      <c r="G488">
        <v>488</v>
      </c>
    </row>
    <row r="489" spans="1:7" x14ac:dyDescent="0.35">
      <c r="A489" s="2">
        <v>42236</v>
      </c>
      <c r="B489" s="93" t="s">
        <v>105</v>
      </c>
      <c r="C489" t="s">
        <v>8</v>
      </c>
      <c r="D489" t="s">
        <v>64</v>
      </c>
      <c r="E489" t="s">
        <v>78</v>
      </c>
      <c r="F489" s="12" t="s">
        <v>105</v>
      </c>
      <c r="G489">
        <v>489</v>
      </c>
    </row>
    <row r="490" spans="1:7" x14ac:dyDescent="0.35">
      <c r="A490" s="2">
        <v>42236</v>
      </c>
      <c r="B490" s="93" t="s">
        <v>105</v>
      </c>
      <c r="C490" t="s">
        <v>8</v>
      </c>
      <c r="D490" t="s">
        <v>64</v>
      </c>
      <c r="E490" t="s">
        <v>78</v>
      </c>
      <c r="F490" s="12" t="s">
        <v>105</v>
      </c>
      <c r="G490">
        <v>490</v>
      </c>
    </row>
    <row r="491" spans="1:7" x14ac:dyDescent="0.35">
      <c r="A491" s="2">
        <v>42236</v>
      </c>
      <c r="B491" s="93" t="s">
        <v>105</v>
      </c>
      <c r="C491" t="s">
        <v>8</v>
      </c>
      <c r="D491" t="s">
        <v>64</v>
      </c>
      <c r="E491" t="s">
        <v>78</v>
      </c>
      <c r="F491" s="12" t="s">
        <v>105</v>
      </c>
      <c r="G491">
        <v>491</v>
      </c>
    </row>
    <row r="492" spans="1:7" x14ac:dyDescent="0.35">
      <c r="A492" s="2">
        <v>42236</v>
      </c>
      <c r="B492" s="93" t="s">
        <v>105</v>
      </c>
      <c r="C492" t="s">
        <v>8</v>
      </c>
      <c r="D492" t="s">
        <v>69</v>
      </c>
      <c r="E492" t="s">
        <v>136</v>
      </c>
      <c r="F492" s="12" t="s">
        <v>105</v>
      </c>
      <c r="G492" s="4" t="s">
        <v>962</v>
      </c>
    </row>
    <row r="493" spans="1:7" x14ac:dyDescent="0.35">
      <c r="A493" s="2">
        <v>42236</v>
      </c>
      <c r="B493" s="93" t="s">
        <v>105</v>
      </c>
      <c r="C493" t="s">
        <v>8</v>
      </c>
      <c r="D493" t="s">
        <v>69</v>
      </c>
      <c r="E493" t="s">
        <v>136</v>
      </c>
      <c r="F493" s="12" t="s">
        <v>105</v>
      </c>
      <c r="G493" s="4" t="s">
        <v>963</v>
      </c>
    </row>
    <row r="494" spans="1:7" x14ac:dyDescent="0.35">
      <c r="A494" s="2">
        <v>42236</v>
      </c>
      <c r="B494" s="93" t="s">
        <v>105</v>
      </c>
      <c r="C494" t="s">
        <v>8</v>
      </c>
      <c r="D494" t="s">
        <v>69</v>
      </c>
      <c r="E494" t="s">
        <v>136</v>
      </c>
      <c r="F494" s="12" t="s">
        <v>105</v>
      </c>
      <c r="G494" s="4" t="s">
        <v>964</v>
      </c>
    </row>
    <row r="495" spans="1:7" x14ac:dyDescent="0.35">
      <c r="A495" s="2">
        <v>42236</v>
      </c>
      <c r="B495" s="93" t="s">
        <v>105</v>
      </c>
      <c r="C495" t="s">
        <v>8</v>
      </c>
      <c r="D495" t="s">
        <v>69</v>
      </c>
      <c r="E495" t="s">
        <v>74</v>
      </c>
      <c r="F495" s="12" t="s">
        <v>82</v>
      </c>
      <c r="G495">
        <v>495</v>
      </c>
    </row>
    <row r="496" spans="1:7" x14ac:dyDescent="0.35">
      <c r="A496" s="2">
        <v>42236</v>
      </c>
      <c r="B496" s="93" t="s">
        <v>105</v>
      </c>
      <c r="C496" t="s">
        <v>8</v>
      </c>
      <c r="D496" t="s">
        <v>69</v>
      </c>
      <c r="E496" t="s">
        <v>74</v>
      </c>
      <c r="F496" s="12" t="s">
        <v>82</v>
      </c>
      <c r="G496">
        <v>496</v>
      </c>
    </row>
    <row r="497" spans="1:7" x14ac:dyDescent="0.35">
      <c r="A497" s="2">
        <v>42236</v>
      </c>
      <c r="B497" s="93" t="s">
        <v>105</v>
      </c>
      <c r="C497" t="s">
        <v>8</v>
      </c>
      <c r="D497" t="s">
        <v>60</v>
      </c>
      <c r="E497" t="s">
        <v>136</v>
      </c>
      <c r="F497" s="12" t="s">
        <v>105</v>
      </c>
      <c r="G497" s="4" t="s">
        <v>965</v>
      </c>
    </row>
    <row r="498" spans="1:7" x14ac:dyDescent="0.35">
      <c r="A498" s="2">
        <v>42236</v>
      </c>
      <c r="B498" s="93" t="s">
        <v>105</v>
      </c>
      <c r="C498" t="s">
        <v>8</v>
      </c>
      <c r="D498" t="s">
        <v>60</v>
      </c>
      <c r="E498" t="s">
        <v>136</v>
      </c>
      <c r="F498" s="12" t="s">
        <v>105</v>
      </c>
      <c r="G498" s="4" t="s">
        <v>966</v>
      </c>
    </row>
    <row r="499" spans="1:7" x14ac:dyDescent="0.35">
      <c r="A499" s="2">
        <v>42236</v>
      </c>
      <c r="B499" s="93" t="s">
        <v>105</v>
      </c>
      <c r="C499" t="s">
        <v>8</v>
      </c>
      <c r="D499" t="s">
        <v>60</v>
      </c>
      <c r="E499" t="s">
        <v>136</v>
      </c>
      <c r="F499" s="12" t="s">
        <v>105</v>
      </c>
      <c r="G499" s="4" t="s">
        <v>967</v>
      </c>
    </row>
    <row r="500" spans="1:7" x14ac:dyDescent="0.35">
      <c r="A500" s="2">
        <v>42236</v>
      </c>
      <c r="B500" s="93" t="s">
        <v>105</v>
      </c>
      <c r="C500" t="s">
        <v>8</v>
      </c>
      <c r="D500" t="s">
        <v>60</v>
      </c>
      <c r="E500" t="s">
        <v>74</v>
      </c>
      <c r="F500" s="12" t="s">
        <v>82</v>
      </c>
      <c r="G500" s="4" t="s">
        <v>2026</v>
      </c>
    </row>
    <row r="501" spans="1:7" x14ac:dyDescent="0.35">
      <c r="A501" s="2">
        <v>42236</v>
      </c>
      <c r="B501" s="93" t="s">
        <v>105</v>
      </c>
      <c r="C501" t="s">
        <v>8</v>
      </c>
      <c r="D501" t="s">
        <v>60</v>
      </c>
      <c r="E501" t="s">
        <v>74</v>
      </c>
      <c r="F501" s="12" t="s">
        <v>82</v>
      </c>
      <c r="G501" s="4" t="s">
        <v>2027</v>
      </c>
    </row>
    <row r="502" spans="1:7" x14ac:dyDescent="0.35">
      <c r="A502" s="2">
        <v>42240</v>
      </c>
      <c r="B502" s="93" t="s">
        <v>105</v>
      </c>
      <c r="C502" t="s">
        <v>8</v>
      </c>
      <c r="D502" t="s">
        <v>26</v>
      </c>
      <c r="E502" t="s">
        <v>136</v>
      </c>
      <c r="F502" s="12" t="s">
        <v>105</v>
      </c>
      <c r="G502" s="4" t="s">
        <v>968</v>
      </c>
    </row>
    <row r="503" spans="1:7" x14ac:dyDescent="0.35">
      <c r="A503" s="2">
        <v>42240</v>
      </c>
      <c r="B503" s="93" t="s">
        <v>105</v>
      </c>
      <c r="C503" t="s">
        <v>8</v>
      </c>
      <c r="D503" t="s">
        <v>26</v>
      </c>
      <c r="E503" t="s">
        <v>136</v>
      </c>
      <c r="F503" s="12" t="s">
        <v>105</v>
      </c>
      <c r="G503" s="4" t="s">
        <v>969</v>
      </c>
    </row>
    <row r="504" spans="1:7" x14ac:dyDescent="0.35">
      <c r="A504" s="2">
        <v>42240</v>
      </c>
      <c r="B504" s="93" t="s">
        <v>105</v>
      </c>
      <c r="C504" t="s">
        <v>8</v>
      </c>
      <c r="D504" t="s">
        <v>26</v>
      </c>
      <c r="E504" t="s">
        <v>136</v>
      </c>
      <c r="F504" s="12" t="s">
        <v>105</v>
      </c>
      <c r="G504" s="4" t="s">
        <v>970</v>
      </c>
    </row>
    <row r="505" spans="1:7" x14ac:dyDescent="0.35">
      <c r="A505" s="2">
        <v>42240</v>
      </c>
      <c r="B505" s="93" t="s">
        <v>105</v>
      </c>
      <c r="C505" t="s">
        <v>8</v>
      </c>
      <c r="D505" t="s">
        <v>26</v>
      </c>
      <c r="E505" t="s">
        <v>74</v>
      </c>
      <c r="F505" s="12" t="s">
        <v>82</v>
      </c>
      <c r="G505" s="4" t="s">
        <v>971</v>
      </c>
    </row>
    <row r="506" spans="1:7" x14ac:dyDescent="0.35">
      <c r="A506" s="2">
        <v>42240</v>
      </c>
      <c r="B506" s="93" t="s">
        <v>105</v>
      </c>
      <c r="C506" t="s">
        <v>8</v>
      </c>
      <c r="D506" t="s">
        <v>26</v>
      </c>
      <c r="E506" t="s">
        <v>74</v>
      </c>
      <c r="F506" s="12" t="s">
        <v>82</v>
      </c>
      <c r="G506" s="4" t="s">
        <v>972</v>
      </c>
    </row>
    <row r="507" spans="1:7" x14ac:dyDescent="0.35">
      <c r="A507" s="2">
        <v>42240</v>
      </c>
      <c r="B507" s="93" t="s">
        <v>105</v>
      </c>
      <c r="C507" t="s">
        <v>8</v>
      </c>
      <c r="D507" t="s">
        <v>26</v>
      </c>
      <c r="E507" t="s">
        <v>78</v>
      </c>
      <c r="F507" s="12" t="s">
        <v>105</v>
      </c>
      <c r="G507" s="4" t="s">
        <v>973</v>
      </c>
    </row>
    <row r="508" spans="1:7" x14ac:dyDescent="0.35">
      <c r="A508" s="2">
        <v>42240</v>
      </c>
      <c r="B508" s="93" t="s">
        <v>105</v>
      </c>
      <c r="C508" t="s">
        <v>8</v>
      </c>
      <c r="D508" t="s">
        <v>26</v>
      </c>
      <c r="E508" t="s">
        <v>78</v>
      </c>
      <c r="F508" s="12" t="s">
        <v>105</v>
      </c>
      <c r="G508" s="4" t="s">
        <v>974</v>
      </c>
    </row>
    <row r="509" spans="1:7" x14ac:dyDescent="0.35">
      <c r="A509" s="2">
        <v>42240</v>
      </c>
      <c r="B509" s="93" t="s">
        <v>105</v>
      </c>
      <c r="C509" t="s">
        <v>8</v>
      </c>
      <c r="D509" t="s">
        <v>26</v>
      </c>
      <c r="E509" t="s">
        <v>78</v>
      </c>
      <c r="F509" s="12" t="s">
        <v>105</v>
      </c>
      <c r="G509" s="4" t="s">
        <v>975</v>
      </c>
    </row>
    <row r="510" spans="1:7" x14ac:dyDescent="0.35">
      <c r="A510" s="2">
        <v>42240</v>
      </c>
      <c r="B510" s="93" t="s">
        <v>105</v>
      </c>
      <c r="C510" t="s">
        <v>8</v>
      </c>
      <c r="D510" t="s">
        <v>25</v>
      </c>
      <c r="E510" t="s">
        <v>136</v>
      </c>
      <c r="F510" s="12" t="s">
        <v>105</v>
      </c>
      <c r="G510" s="4" t="s">
        <v>976</v>
      </c>
    </row>
    <row r="511" spans="1:7" x14ac:dyDescent="0.35">
      <c r="A511" s="2">
        <v>42240</v>
      </c>
      <c r="B511" s="93" t="s">
        <v>105</v>
      </c>
      <c r="C511" t="s">
        <v>8</v>
      </c>
      <c r="D511" t="s">
        <v>25</v>
      </c>
      <c r="E511" t="s">
        <v>136</v>
      </c>
      <c r="F511" s="12" t="s">
        <v>105</v>
      </c>
      <c r="G511" s="4" t="s">
        <v>977</v>
      </c>
    </row>
    <row r="512" spans="1:7" x14ac:dyDescent="0.35">
      <c r="A512" s="2">
        <v>42240</v>
      </c>
      <c r="B512" s="93" t="s">
        <v>105</v>
      </c>
      <c r="C512" t="s">
        <v>8</v>
      </c>
      <c r="D512" t="s">
        <v>25</v>
      </c>
      <c r="E512" t="s">
        <v>136</v>
      </c>
      <c r="F512" s="12" t="s">
        <v>105</v>
      </c>
      <c r="G512" s="4" t="s">
        <v>978</v>
      </c>
    </row>
    <row r="513" spans="1:7" x14ac:dyDescent="0.35">
      <c r="A513" s="2">
        <v>42240</v>
      </c>
      <c r="B513" s="93" t="s">
        <v>105</v>
      </c>
      <c r="C513" t="s">
        <v>8</v>
      </c>
      <c r="D513" t="s">
        <v>25</v>
      </c>
      <c r="E513" t="s">
        <v>74</v>
      </c>
      <c r="F513" s="12" t="s">
        <v>82</v>
      </c>
      <c r="G513" s="4" t="s">
        <v>979</v>
      </c>
    </row>
    <row r="514" spans="1:7" x14ac:dyDescent="0.35">
      <c r="A514" s="2">
        <v>42240</v>
      </c>
      <c r="B514" s="93" t="s">
        <v>105</v>
      </c>
      <c r="C514" t="s">
        <v>8</v>
      </c>
      <c r="D514" t="s">
        <v>25</v>
      </c>
      <c r="E514" t="s">
        <v>74</v>
      </c>
      <c r="F514" s="12" t="s">
        <v>82</v>
      </c>
      <c r="G514" s="4" t="s">
        <v>980</v>
      </c>
    </row>
    <row r="515" spans="1:7" x14ac:dyDescent="0.35">
      <c r="A515" s="2">
        <v>42240</v>
      </c>
      <c r="B515" s="93" t="s">
        <v>105</v>
      </c>
      <c r="C515" t="s">
        <v>8</v>
      </c>
      <c r="D515" t="s">
        <v>167</v>
      </c>
      <c r="E515" t="s">
        <v>136</v>
      </c>
      <c r="F515" s="12" t="s">
        <v>105</v>
      </c>
      <c r="G515" s="4" t="s">
        <v>981</v>
      </c>
    </row>
    <row r="516" spans="1:7" x14ac:dyDescent="0.35">
      <c r="A516" s="2">
        <v>42240</v>
      </c>
      <c r="B516" s="93" t="s">
        <v>105</v>
      </c>
      <c r="C516" t="s">
        <v>8</v>
      </c>
      <c r="D516" t="s">
        <v>167</v>
      </c>
      <c r="E516" t="s">
        <v>136</v>
      </c>
      <c r="F516" s="12" t="s">
        <v>105</v>
      </c>
      <c r="G516" s="4" t="s">
        <v>982</v>
      </c>
    </row>
    <row r="517" spans="1:7" x14ac:dyDescent="0.35">
      <c r="A517" s="2">
        <v>42240</v>
      </c>
      <c r="B517" s="93" t="s">
        <v>105</v>
      </c>
      <c r="C517" t="s">
        <v>8</v>
      </c>
      <c r="D517" t="s">
        <v>167</v>
      </c>
      <c r="E517" t="s">
        <v>136</v>
      </c>
      <c r="F517" s="12" t="s">
        <v>105</v>
      </c>
      <c r="G517" s="4" t="s">
        <v>983</v>
      </c>
    </row>
    <row r="518" spans="1:7" x14ac:dyDescent="0.35">
      <c r="A518" s="2">
        <v>42240</v>
      </c>
      <c r="B518" s="93" t="s">
        <v>105</v>
      </c>
      <c r="C518" t="s">
        <v>8</v>
      </c>
      <c r="D518" t="s">
        <v>167</v>
      </c>
      <c r="E518" t="s">
        <v>74</v>
      </c>
      <c r="F518" s="12" t="s">
        <v>82</v>
      </c>
      <c r="G518" s="4" t="s">
        <v>984</v>
      </c>
    </row>
    <row r="519" spans="1:7" x14ac:dyDescent="0.35">
      <c r="A519" s="2">
        <v>42240</v>
      </c>
      <c r="B519" s="93" t="s">
        <v>105</v>
      </c>
      <c r="C519" t="s">
        <v>8</v>
      </c>
      <c r="D519" t="s">
        <v>167</v>
      </c>
      <c r="E519" t="s">
        <v>74</v>
      </c>
      <c r="F519" s="12" t="s">
        <v>82</v>
      </c>
      <c r="G519" s="4" t="s">
        <v>985</v>
      </c>
    </row>
    <row r="520" spans="1:7" x14ac:dyDescent="0.35">
      <c r="A520" s="2">
        <v>42240</v>
      </c>
      <c r="B520" s="93" t="s">
        <v>105</v>
      </c>
      <c r="C520" t="s">
        <v>8</v>
      </c>
      <c r="D520" t="s">
        <v>9</v>
      </c>
      <c r="E520" t="s">
        <v>136</v>
      </c>
      <c r="F520" s="12" t="s">
        <v>105</v>
      </c>
      <c r="G520" s="4" t="s">
        <v>986</v>
      </c>
    </row>
    <row r="521" spans="1:7" x14ac:dyDescent="0.35">
      <c r="A521" s="2">
        <v>42240</v>
      </c>
      <c r="B521" s="93" t="s">
        <v>105</v>
      </c>
      <c r="C521" t="s">
        <v>8</v>
      </c>
      <c r="D521" t="s">
        <v>9</v>
      </c>
      <c r="E521" t="s">
        <v>136</v>
      </c>
      <c r="F521" s="12" t="s">
        <v>105</v>
      </c>
      <c r="G521" s="4" t="s">
        <v>987</v>
      </c>
    </row>
    <row r="522" spans="1:7" x14ac:dyDescent="0.35">
      <c r="A522" s="2">
        <v>42240</v>
      </c>
      <c r="B522" s="93" t="s">
        <v>105</v>
      </c>
      <c r="C522" t="s">
        <v>8</v>
      </c>
      <c r="D522" t="s">
        <v>9</v>
      </c>
      <c r="E522" t="s">
        <v>136</v>
      </c>
      <c r="F522" s="12" t="s">
        <v>105</v>
      </c>
      <c r="G522" s="4" t="s">
        <v>988</v>
      </c>
    </row>
    <row r="523" spans="1:7" x14ac:dyDescent="0.35">
      <c r="A523" s="2">
        <v>42240</v>
      </c>
      <c r="B523" s="93" t="s">
        <v>105</v>
      </c>
      <c r="C523" t="s">
        <v>8</v>
      </c>
      <c r="D523" t="s">
        <v>9</v>
      </c>
      <c r="E523" t="s">
        <v>74</v>
      </c>
      <c r="F523" s="12" t="s">
        <v>82</v>
      </c>
      <c r="G523" s="4" t="s">
        <v>989</v>
      </c>
    </row>
    <row r="524" spans="1:7" x14ac:dyDescent="0.35">
      <c r="A524" s="2">
        <v>42240</v>
      </c>
      <c r="B524" s="93" t="s">
        <v>105</v>
      </c>
      <c r="C524" t="s">
        <v>8</v>
      </c>
      <c r="D524" t="s">
        <v>9</v>
      </c>
      <c r="E524" t="s">
        <v>74</v>
      </c>
      <c r="F524" s="12" t="s">
        <v>82</v>
      </c>
      <c r="G524" s="4" t="s">
        <v>990</v>
      </c>
    </row>
    <row r="525" spans="1:7" x14ac:dyDescent="0.35">
      <c r="A525" s="2">
        <v>42240</v>
      </c>
      <c r="B525" s="93" t="s">
        <v>105</v>
      </c>
      <c r="C525" t="s">
        <v>8</v>
      </c>
      <c r="D525" t="s">
        <v>14</v>
      </c>
      <c r="E525" t="s">
        <v>136</v>
      </c>
      <c r="F525" s="12" t="s">
        <v>105</v>
      </c>
      <c r="G525" s="4" t="s">
        <v>991</v>
      </c>
    </row>
    <row r="526" spans="1:7" x14ac:dyDescent="0.35">
      <c r="A526" s="2">
        <v>42240</v>
      </c>
      <c r="B526" s="93" t="s">
        <v>105</v>
      </c>
      <c r="C526" t="s">
        <v>8</v>
      </c>
      <c r="D526" t="s">
        <v>14</v>
      </c>
      <c r="E526" t="s">
        <v>136</v>
      </c>
      <c r="F526" s="12" t="s">
        <v>105</v>
      </c>
      <c r="G526" s="4" t="s">
        <v>992</v>
      </c>
    </row>
    <row r="527" spans="1:7" x14ac:dyDescent="0.35">
      <c r="A527" s="2">
        <v>42240</v>
      </c>
      <c r="B527" s="93" t="s">
        <v>105</v>
      </c>
      <c r="C527" t="s">
        <v>8</v>
      </c>
      <c r="D527" t="s">
        <v>14</v>
      </c>
      <c r="E527" t="s">
        <v>136</v>
      </c>
      <c r="F527" s="12" t="s">
        <v>105</v>
      </c>
      <c r="G527" s="4" t="s">
        <v>993</v>
      </c>
    </row>
    <row r="528" spans="1:7" x14ac:dyDescent="0.35">
      <c r="A528" s="2">
        <v>42240</v>
      </c>
      <c r="B528" s="93" t="s">
        <v>105</v>
      </c>
      <c r="C528" t="s">
        <v>8</v>
      </c>
      <c r="D528" t="s">
        <v>14</v>
      </c>
      <c r="E528" t="s">
        <v>74</v>
      </c>
      <c r="F528" s="12" t="s">
        <v>82</v>
      </c>
      <c r="G528" s="4" t="s">
        <v>994</v>
      </c>
    </row>
    <row r="529" spans="1:7" x14ac:dyDescent="0.35">
      <c r="A529" s="2">
        <v>42240</v>
      </c>
      <c r="B529" s="93" t="s">
        <v>105</v>
      </c>
      <c r="C529" t="s">
        <v>8</v>
      </c>
      <c r="D529" t="s">
        <v>14</v>
      </c>
      <c r="E529" t="s">
        <v>74</v>
      </c>
      <c r="F529" s="12" t="s">
        <v>82</v>
      </c>
      <c r="G529" s="4" t="s">
        <v>995</v>
      </c>
    </row>
    <row r="530" spans="1:7" x14ac:dyDescent="0.35">
      <c r="A530" s="2">
        <v>42240</v>
      </c>
      <c r="B530" s="93" t="s">
        <v>105</v>
      </c>
      <c r="C530" t="s">
        <v>8</v>
      </c>
      <c r="D530" t="s">
        <v>14</v>
      </c>
      <c r="E530" t="s">
        <v>78</v>
      </c>
      <c r="F530" s="12" t="s">
        <v>105</v>
      </c>
      <c r="G530" s="4" t="s">
        <v>996</v>
      </c>
    </row>
    <row r="531" spans="1:7" x14ac:dyDescent="0.35">
      <c r="A531" s="2">
        <v>42240</v>
      </c>
      <c r="B531" s="93" t="s">
        <v>105</v>
      </c>
      <c r="C531" t="s">
        <v>8</v>
      </c>
      <c r="D531" t="s">
        <v>14</v>
      </c>
      <c r="E531" t="s">
        <v>78</v>
      </c>
      <c r="F531" s="12" t="s">
        <v>105</v>
      </c>
      <c r="G531" s="4" t="s">
        <v>997</v>
      </c>
    </row>
    <row r="532" spans="1:7" x14ac:dyDescent="0.35">
      <c r="A532" s="2">
        <v>42240</v>
      </c>
      <c r="B532" s="93" t="s">
        <v>105</v>
      </c>
      <c r="C532" t="s">
        <v>8</v>
      </c>
      <c r="D532" t="s">
        <v>14</v>
      </c>
      <c r="E532" t="s">
        <v>78</v>
      </c>
      <c r="F532" s="12" t="s">
        <v>105</v>
      </c>
      <c r="G532" s="4" t="s">
        <v>998</v>
      </c>
    </row>
    <row r="533" spans="1:7" x14ac:dyDescent="0.35">
      <c r="A533" s="2">
        <v>42240</v>
      </c>
      <c r="B533" s="93" t="s">
        <v>105</v>
      </c>
      <c r="C533" t="s">
        <v>8</v>
      </c>
      <c r="D533" t="s">
        <v>18</v>
      </c>
      <c r="E533" t="s">
        <v>136</v>
      </c>
      <c r="F533" s="12" t="s">
        <v>105</v>
      </c>
      <c r="G533" s="4" t="s">
        <v>999</v>
      </c>
    </row>
    <row r="534" spans="1:7" x14ac:dyDescent="0.35">
      <c r="A534" s="2">
        <v>42240</v>
      </c>
      <c r="B534" s="93" t="s">
        <v>105</v>
      </c>
      <c r="C534" t="s">
        <v>8</v>
      </c>
      <c r="D534" t="s">
        <v>18</v>
      </c>
      <c r="E534" t="s">
        <v>136</v>
      </c>
      <c r="F534" s="12" t="s">
        <v>105</v>
      </c>
      <c r="G534" s="4" t="s">
        <v>1000</v>
      </c>
    </row>
    <row r="535" spans="1:7" x14ac:dyDescent="0.35">
      <c r="A535" s="2">
        <v>42240</v>
      </c>
      <c r="B535" s="93" t="s">
        <v>105</v>
      </c>
      <c r="C535" t="s">
        <v>8</v>
      </c>
      <c r="D535" t="s">
        <v>18</v>
      </c>
      <c r="E535" t="s">
        <v>136</v>
      </c>
      <c r="F535" s="12" t="s">
        <v>105</v>
      </c>
      <c r="G535" s="4" t="s">
        <v>1001</v>
      </c>
    </row>
    <row r="536" spans="1:7" x14ac:dyDescent="0.35">
      <c r="A536" s="2">
        <v>42240</v>
      </c>
      <c r="B536" s="93" t="s">
        <v>105</v>
      </c>
      <c r="C536" t="s">
        <v>8</v>
      </c>
      <c r="D536" t="s">
        <v>18</v>
      </c>
      <c r="E536" t="s">
        <v>74</v>
      </c>
      <c r="F536" s="12" t="s">
        <v>82</v>
      </c>
      <c r="G536" s="4" t="s">
        <v>1002</v>
      </c>
    </row>
    <row r="537" spans="1:7" x14ac:dyDescent="0.35">
      <c r="A537" s="2">
        <v>42240</v>
      </c>
      <c r="B537" s="93" t="s">
        <v>105</v>
      </c>
      <c r="C537" t="s">
        <v>8</v>
      </c>
      <c r="D537" t="s">
        <v>18</v>
      </c>
      <c r="E537" t="s">
        <v>74</v>
      </c>
      <c r="F537" s="12" t="s">
        <v>82</v>
      </c>
      <c r="G537" s="4" t="s">
        <v>1003</v>
      </c>
    </row>
    <row r="538" spans="1:7" x14ac:dyDescent="0.35">
      <c r="A538" s="2">
        <v>42242</v>
      </c>
      <c r="B538" s="93" t="s">
        <v>105</v>
      </c>
      <c r="C538" t="s">
        <v>8</v>
      </c>
      <c r="D538" t="s">
        <v>64</v>
      </c>
      <c r="E538" t="s">
        <v>136</v>
      </c>
      <c r="F538" s="12" t="s">
        <v>105</v>
      </c>
      <c r="G538" s="4" t="s">
        <v>1004</v>
      </c>
    </row>
    <row r="539" spans="1:7" x14ac:dyDescent="0.35">
      <c r="A539" s="2">
        <v>42242</v>
      </c>
      <c r="B539" s="93" t="s">
        <v>105</v>
      </c>
      <c r="C539" t="s">
        <v>8</v>
      </c>
      <c r="D539" t="s">
        <v>64</v>
      </c>
      <c r="E539" t="s">
        <v>136</v>
      </c>
      <c r="F539" s="12" t="s">
        <v>105</v>
      </c>
      <c r="G539" s="4" t="s">
        <v>1005</v>
      </c>
    </row>
    <row r="540" spans="1:7" x14ac:dyDescent="0.35">
      <c r="A540" s="2">
        <v>42242</v>
      </c>
      <c r="B540" s="93" t="s">
        <v>105</v>
      </c>
      <c r="C540" t="s">
        <v>8</v>
      </c>
      <c r="D540" t="s">
        <v>64</v>
      </c>
      <c r="E540" t="s">
        <v>136</v>
      </c>
      <c r="F540" s="12" t="s">
        <v>105</v>
      </c>
      <c r="G540" s="4" t="s">
        <v>1006</v>
      </c>
    </row>
    <row r="541" spans="1:7" x14ac:dyDescent="0.35">
      <c r="A541" s="2">
        <v>42242</v>
      </c>
      <c r="B541" s="93" t="s">
        <v>105</v>
      </c>
      <c r="C541" t="s">
        <v>8</v>
      </c>
      <c r="D541" t="s">
        <v>64</v>
      </c>
      <c r="E541" t="s">
        <v>74</v>
      </c>
      <c r="F541" s="12" t="s">
        <v>82</v>
      </c>
      <c r="G541" s="4" t="s">
        <v>1007</v>
      </c>
    </row>
    <row r="542" spans="1:7" x14ac:dyDescent="0.35">
      <c r="A542" s="2">
        <v>42242</v>
      </c>
      <c r="B542" s="93" t="s">
        <v>105</v>
      </c>
      <c r="C542" t="s">
        <v>8</v>
      </c>
      <c r="D542" t="s">
        <v>64</v>
      </c>
      <c r="E542" t="s">
        <v>74</v>
      </c>
      <c r="F542" s="12" t="s">
        <v>82</v>
      </c>
      <c r="G542" s="4" t="s">
        <v>1008</v>
      </c>
    </row>
    <row r="543" spans="1:7" x14ac:dyDescent="0.35">
      <c r="A543" s="2">
        <v>42242</v>
      </c>
      <c r="B543" s="93" t="s">
        <v>105</v>
      </c>
      <c r="C543" t="s">
        <v>8</v>
      </c>
      <c r="D543" t="s">
        <v>64</v>
      </c>
      <c r="E543" t="s">
        <v>78</v>
      </c>
      <c r="F543" s="12" t="s">
        <v>105</v>
      </c>
      <c r="G543" s="4" t="s">
        <v>1009</v>
      </c>
    </row>
    <row r="544" spans="1:7" x14ac:dyDescent="0.35">
      <c r="A544" s="2">
        <v>42242</v>
      </c>
      <c r="B544" s="93" t="s">
        <v>105</v>
      </c>
      <c r="C544" t="s">
        <v>8</v>
      </c>
      <c r="D544" t="s">
        <v>64</v>
      </c>
      <c r="E544" t="s">
        <v>78</v>
      </c>
      <c r="F544" s="12" t="s">
        <v>105</v>
      </c>
      <c r="G544" s="4" t="s">
        <v>1010</v>
      </c>
    </row>
    <row r="545" spans="1:7" x14ac:dyDescent="0.35">
      <c r="A545" s="2">
        <v>42242</v>
      </c>
      <c r="B545" s="93" t="s">
        <v>105</v>
      </c>
      <c r="C545" t="s">
        <v>8</v>
      </c>
      <c r="D545" t="s">
        <v>64</v>
      </c>
      <c r="E545" t="s">
        <v>78</v>
      </c>
      <c r="F545" s="12" t="s">
        <v>105</v>
      </c>
      <c r="G545" s="4" t="s">
        <v>1011</v>
      </c>
    </row>
    <row r="546" spans="1:7" x14ac:dyDescent="0.35">
      <c r="A546" s="2">
        <v>42242</v>
      </c>
      <c r="B546" s="93" t="s">
        <v>105</v>
      </c>
      <c r="C546" t="s">
        <v>8</v>
      </c>
      <c r="D546" t="s">
        <v>69</v>
      </c>
      <c r="E546" t="s">
        <v>136</v>
      </c>
      <c r="F546" s="12" t="s">
        <v>105</v>
      </c>
      <c r="G546" s="4" t="s">
        <v>1012</v>
      </c>
    </row>
    <row r="547" spans="1:7" x14ac:dyDescent="0.35">
      <c r="A547" s="2">
        <v>42242</v>
      </c>
      <c r="B547" s="93" t="s">
        <v>105</v>
      </c>
      <c r="C547" t="s">
        <v>8</v>
      </c>
      <c r="D547" t="s">
        <v>69</v>
      </c>
      <c r="E547" t="s">
        <v>136</v>
      </c>
      <c r="F547" s="12" t="s">
        <v>105</v>
      </c>
      <c r="G547" s="4" t="s">
        <v>1013</v>
      </c>
    </row>
    <row r="548" spans="1:7" x14ac:dyDescent="0.35">
      <c r="A548" s="2">
        <v>42242</v>
      </c>
      <c r="B548" s="93" t="s">
        <v>105</v>
      </c>
      <c r="C548" t="s">
        <v>8</v>
      </c>
      <c r="D548" t="s">
        <v>69</v>
      </c>
      <c r="E548" t="s">
        <v>136</v>
      </c>
      <c r="F548" s="12" t="s">
        <v>105</v>
      </c>
      <c r="G548" s="4" t="s">
        <v>1014</v>
      </c>
    </row>
    <row r="549" spans="1:7" x14ac:dyDescent="0.35">
      <c r="A549" s="2">
        <v>42242</v>
      </c>
      <c r="B549" s="93" t="s">
        <v>105</v>
      </c>
      <c r="C549" t="s">
        <v>8</v>
      </c>
      <c r="D549" t="s">
        <v>69</v>
      </c>
      <c r="E549" t="s">
        <v>74</v>
      </c>
      <c r="F549" s="12" t="s">
        <v>82</v>
      </c>
      <c r="G549" s="4" t="s">
        <v>1015</v>
      </c>
    </row>
    <row r="550" spans="1:7" x14ac:dyDescent="0.35">
      <c r="A550" s="2">
        <v>42242</v>
      </c>
      <c r="B550" s="93" t="s">
        <v>105</v>
      </c>
      <c r="C550" t="s">
        <v>8</v>
      </c>
      <c r="D550" t="s">
        <v>69</v>
      </c>
      <c r="E550" t="s">
        <v>74</v>
      </c>
      <c r="F550" s="12" t="s">
        <v>82</v>
      </c>
      <c r="G550" s="4" t="s">
        <v>1016</v>
      </c>
    </row>
    <row r="551" spans="1:7" x14ac:dyDescent="0.35">
      <c r="A551" s="2">
        <v>42242</v>
      </c>
      <c r="B551" s="93" t="s">
        <v>105</v>
      </c>
      <c r="C551" t="s">
        <v>8</v>
      </c>
      <c r="D551" t="s">
        <v>60</v>
      </c>
      <c r="E551" t="s">
        <v>136</v>
      </c>
      <c r="F551" s="12" t="s">
        <v>105</v>
      </c>
      <c r="G551" s="4" t="s">
        <v>1017</v>
      </c>
    </row>
    <row r="552" spans="1:7" x14ac:dyDescent="0.35">
      <c r="A552" s="2">
        <v>42242</v>
      </c>
      <c r="B552" s="93" t="s">
        <v>105</v>
      </c>
      <c r="C552" t="s">
        <v>8</v>
      </c>
      <c r="D552" t="s">
        <v>60</v>
      </c>
      <c r="E552" t="s">
        <v>136</v>
      </c>
      <c r="F552" s="12" t="s">
        <v>105</v>
      </c>
      <c r="G552" s="4" t="s">
        <v>1018</v>
      </c>
    </row>
    <row r="553" spans="1:7" x14ac:dyDescent="0.35">
      <c r="A553" s="2">
        <v>42242</v>
      </c>
      <c r="B553" s="93" t="s">
        <v>105</v>
      </c>
      <c r="C553" t="s">
        <v>8</v>
      </c>
      <c r="D553" t="s">
        <v>60</v>
      </c>
      <c r="E553" t="s">
        <v>136</v>
      </c>
      <c r="F553" s="12" t="s">
        <v>105</v>
      </c>
      <c r="G553" s="4" t="s">
        <v>1019</v>
      </c>
    </row>
    <row r="554" spans="1:7" x14ac:dyDescent="0.35">
      <c r="A554" s="2">
        <v>42242</v>
      </c>
      <c r="B554" s="93" t="s">
        <v>105</v>
      </c>
      <c r="C554" t="s">
        <v>8</v>
      </c>
      <c r="D554" t="s">
        <v>60</v>
      </c>
      <c r="E554" t="s">
        <v>74</v>
      </c>
      <c r="F554" s="75">
        <v>0.33</v>
      </c>
      <c r="G554" s="4" t="s">
        <v>1022</v>
      </c>
    </row>
    <row r="555" spans="1:7" x14ac:dyDescent="0.35">
      <c r="A555" s="2">
        <v>42242</v>
      </c>
      <c r="B555" s="93" t="s">
        <v>105</v>
      </c>
      <c r="C555" t="s">
        <v>8</v>
      </c>
      <c r="D555" t="s">
        <v>60</v>
      </c>
      <c r="E555" t="s">
        <v>74</v>
      </c>
      <c r="F555" s="75">
        <v>0.33</v>
      </c>
      <c r="G555" s="4" t="s">
        <v>1023</v>
      </c>
    </row>
    <row r="556" spans="1:7" x14ac:dyDescent="0.35">
      <c r="A556" s="2">
        <v>42242</v>
      </c>
      <c r="B556" s="93" t="s">
        <v>105</v>
      </c>
      <c r="C556" t="s">
        <v>8</v>
      </c>
      <c r="D556" t="s">
        <v>60</v>
      </c>
      <c r="E556" t="s">
        <v>74</v>
      </c>
      <c r="F556" s="75">
        <v>94.160107999999994</v>
      </c>
      <c r="G556" s="4" t="s">
        <v>1020</v>
      </c>
    </row>
    <row r="557" spans="1:7" x14ac:dyDescent="0.35">
      <c r="A557" s="2">
        <v>42242</v>
      </c>
      <c r="B557" s="93" t="s">
        <v>105</v>
      </c>
      <c r="C557" t="s">
        <v>8</v>
      </c>
      <c r="D557" t="s">
        <v>60</v>
      </c>
      <c r="E557" t="s">
        <v>74</v>
      </c>
      <c r="F557" s="75">
        <v>84.744097199999999</v>
      </c>
      <c r="G557" s="4" t="s">
        <v>1021</v>
      </c>
    </row>
    <row r="558" spans="1:7" x14ac:dyDescent="0.35">
      <c r="A558" s="2">
        <v>42242</v>
      </c>
      <c r="B558" s="93" t="s">
        <v>105</v>
      </c>
      <c r="C558" t="s">
        <v>8</v>
      </c>
      <c r="D558" t="s">
        <v>60</v>
      </c>
      <c r="E558" t="s">
        <v>74</v>
      </c>
      <c r="F558" s="75">
        <v>75.328086400000004</v>
      </c>
      <c r="G558" s="4" t="s">
        <v>1024</v>
      </c>
    </row>
    <row r="559" spans="1:7" x14ac:dyDescent="0.35">
      <c r="A559" s="2">
        <v>42242</v>
      </c>
      <c r="B559" s="93" t="s">
        <v>105</v>
      </c>
      <c r="C559" t="s">
        <v>8</v>
      </c>
      <c r="D559" t="s">
        <v>60</v>
      </c>
      <c r="E559" t="s">
        <v>74</v>
      </c>
      <c r="F559" s="75">
        <v>65.912075599999994</v>
      </c>
      <c r="G559" s="4" t="s">
        <v>1025</v>
      </c>
    </row>
    <row r="560" spans="1:7" x14ac:dyDescent="0.35">
      <c r="A560" s="2">
        <v>42242</v>
      </c>
      <c r="B560" s="93" t="s">
        <v>105</v>
      </c>
      <c r="C560" t="s">
        <v>8</v>
      </c>
      <c r="D560" t="s">
        <v>60</v>
      </c>
      <c r="E560" t="s">
        <v>74</v>
      </c>
      <c r="F560" s="75">
        <v>56.496064799999999</v>
      </c>
      <c r="G560" s="4" t="s">
        <v>1026</v>
      </c>
    </row>
    <row r="561" spans="1:7" x14ac:dyDescent="0.35">
      <c r="A561" s="2">
        <v>42242</v>
      </c>
      <c r="B561" s="93" t="s">
        <v>105</v>
      </c>
      <c r="C561" t="s">
        <v>8</v>
      </c>
      <c r="D561" t="s">
        <v>60</v>
      </c>
      <c r="E561" t="s">
        <v>74</v>
      </c>
      <c r="F561" s="75">
        <v>47.080053999999997</v>
      </c>
      <c r="G561" s="4" t="s">
        <v>1027</v>
      </c>
    </row>
    <row r="562" spans="1:7" x14ac:dyDescent="0.35">
      <c r="A562" s="2">
        <v>42242</v>
      </c>
      <c r="B562" s="93" t="s">
        <v>105</v>
      </c>
      <c r="C562" t="s">
        <v>8</v>
      </c>
      <c r="D562" t="s">
        <v>60</v>
      </c>
      <c r="E562" t="s">
        <v>74</v>
      </c>
      <c r="F562" s="75">
        <v>37.664043200000002</v>
      </c>
      <c r="G562" s="4" t="s">
        <v>1028</v>
      </c>
    </row>
    <row r="563" spans="1:7" x14ac:dyDescent="0.35">
      <c r="A563" s="2">
        <v>42242</v>
      </c>
      <c r="B563" s="93" t="s">
        <v>105</v>
      </c>
      <c r="C563" t="s">
        <v>8</v>
      </c>
      <c r="D563" t="s">
        <v>60</v>
      </c>
      <c r="E563" t="s">
        <v>74</v>
      </c>
      <c r="F563" s="75">
        <v>28.2480324</v>
      </c>
      <c r="G563" s="4" t="s">
        <v>1029</v>
      </c>
    </row>
    <row r="564" spans="1:7" x14ac:dyDescent="0.35">
      <c r="A564" s="2">
        <v>42242</v>
      </c>
      <c r="B564" s="93" t="s">
        <v>105</v>
      </c>
      <c r="C564" t="s">
        <v>8</v>
      </c>
      <c r="D564" t="s">
        <v>60</v>
      </c>
      <c r="E564" t="s">
        <v>74</v>
      </c>
      <c r="F564" s="75">
        <v>18.700787999999999</v>
      </c>
      <c r="G564" s="4" t="s">
        <v>1030</v>
      </c>
    </row>
    <row r="565" spans="1:7" x14ac:dyDescent="0.35">
      <c r="A565" s="2">
        <v>42242</v>
      </c>
      <c r="B565" s="93" t="s">
        <v>105</v>
      </c>
      <c r="C565" t="s">
        <v>8</v>
      </c>
      <c r="D565" t="s">
        <v>60</v>
      </c>
      <c r="E565" t="s">
        <v>74</v>
      </c>
      <c r="F565" s="75">
        <v>9.4160108000000005</v>
      </c>
      <c r="G565" s="4" t="s">
        <v>1031</v>
      </c>
    </row>
    <row r="566" spans="1:7" x14ac:dyDescent="0.35">
      <c r="A566" s="2">
        <v>42247</v>
      </c>
      <c r="B566" s="93" t="s">
        <v>105</v>
      </c>
      <c r="C566" t="s">
        <v>8</v>
      </c>
      <c r="D566" t="s">
        <v>26</v>
      </c>
      <c r="E566" t="s">
        <v>136</v>
      </c>
      <c r="F566" s="12" t="s">
        <v>105</v>
      </c>
      <c r="G566" s="4" t="s">
        <v>1096</v>
      </c>
    </row>
    <row r="567" spans="1:7" x14ac:dyDescent="0.35">
      <c r="A567" s="2">
        <v>42247</v>
      </c>
      <c r="B567" s="93" t="s">
        <v>105</v>
      </c>
      <c r="C567" t="s">
        <v>8</v>
      </c>
      <c r="D567" t="s">
        <v>26</v>
      </c>
      <c r="E567" t="s">
        <v>136</v>
      </c>
      <c r="F567" s="12" t="s">
        <v>105</v>
      </c>
      <c r="G567" s="4" t="s">
        <v>1097</v>
      </c>
    </row>
    <row r="568" spans="1:7" x14ac:dyDescent="0.35">
      <c r="A568" s="2">
        <v>42247</v>
      </c>
      <c r="B568" s="93" t="s">
        <v>105</v>
      </c>
      <c r="C568" t="s">
        <v>8</v>
      </c>
      <c r="D568" t="s">
        <v>26</v>
      </c>
      <c r="E568" t="s">
        <v>136</v>
      </c>
      <c r="F568" s="12" t="s">
        <v>105</v>
      </c>
      <c r="G568" s="4" t="s">
        <v>1098</v>
      </c>
    </row>
    <row r="569" spans="1:7" x14ac:dyDescent="0.35">
      <c r="A569" s="2">
        <v>42247</v>
      </c>
      <c r="B569" s="93" t="s">
        <v>105</v>
      </c>
      <c r="C569" t="s">
        <v>8</v>
      </c>
      <c r="D569" t="s">
        <v>25</v>
      </c>
      <c r="E569" t="s">
        <v>136</v>
      </c>
      <c r="F569" s="12" t="s">
        <v>105</v>
      </c>
      <c r="G569" s="4" t="s">
        <v>1099</v>
      </c>
    </row>
    <row r="570" spans="1:7" x14ac:dyDescent="0.35">
      <c r="A570" s="2">
        <v>42247</v>
      </c>
      <c r="B570" s="93" t="s">
        <v>105</v>
      </c>
      <c r="C570" t="s">
        <v>8</v>
      </c>
      <c r="D570" t="s">
        <v>25</v>
      </c>
      <c r="E570" t="s">
        <v>136</v>
      </c>
      <c r="F570" s="12" t="s">
        <v>105</v>
      </c>
      <c r="G570" s="4" t="s">
        <v>1100</v>
      </c>
    </row>
    <row r="571" spans="1:7" x14ac:dyDescent="0.35">
      <c r="A571" s="2">
        <v>42247</v>
      </c>
      <c r="B571" s="93" t="s">
        <v>105</v>
      </c>
      <c r="C571" t="s">
        <v>8</v>
      </c>
      <c r="D571" t="s">
        <v>25</v>
      </c>
      <c r="E571" t="s">
        <v>136</v>
      </c>
      <c r="F571" s="12" t="s">
        <v>105</v>
      </c>
      <c r="G571" s="4" t="s">
        <v>1101</v>
      </c>
    </row>
    <row r="572" spans="1:7" x14ac:dyDescent="0.35">
      <c r="A572" s="2">
        <v>42247</v>
      </c>
      <c r="B572" s="93" t="s">
        <v>105</v>
      </c>
      <c r="C572" t="s">
        <v>8</v>
      </c>
      <c r="D572" t="s">
        <v>9</v>
      </c>
      <c r="E572" t="s">
        <v>136</v>
      </c>
      <c r="F572" s="12" t="s">
        <v>105</v>
      </c>
      <c r="G572" s="4" t="s">
        <v>1102</v>
      </c>
    </row>
    <row r="573" spans="1:7" x14ac:dyDescent="0.35">
      <c r="A573" s="2">
        <v>42247</v>
      </c>
      <c r="B573" s="93" t="s">
        <v>105</v>
      </c>
      <c r="C573" t="s">
        <v>8</v>
      </c>
      <c r="D573" t="s">
        <v>9</v>
      </c>
      <c r="E573" t="s">
        <v>136</v>
      </c>
      <c r="F573" s="12" t="s">
        <v>105</v>
      </c>
      <c r="G573" s="4" t="s">
        <v>1103</v>
      </c>
    </row>
    <row r="574" spans="1:7" x14ac:dyDescent="0.35">
      <c r="A574" s="2">
        <v>42247</v>
      </c>
      <c r="B574" s="93" t="s">
        <v>105</v>
      </c>
      <c r="C574" t="s">
        <v>8</v>
      </c>
      <c r="D574" t="s">
        <v>9</v>
      </c>
      <c r="E574" t="s">
        <v>136</v>
      </c>
      <c r="F574" s="12" t="s">
        <v>105</v>
      </c>
      <c r="G574" s="4" t="s">
        <v>1104</v>
      </c>
    </row>
    <row r="575" spans="1:7" x14ac:dyDescent="0.35">
      <c r="A575" s="2">
        <v>42247</v>
      </c>
      <c r="B575" s="93" t="s">
        <v>105</v>
      </c>
      <c r="C575" t="s">
        <v>8</v>
      </c>
      <c r="D575" t="s">
        <v>14</v>
      </c>
      <c r="E575" t="s">
        <v>136</v>
      </c>
      <c r="F575" s="12" t="s">
        <v>105</v>
      </c>
      <c r="G575" s="4" t="s">
        <v>1105</v>
      </c>
    </row>
    <row r="576" spans="1:7" x14ac:dyDescent="0.35">
      <c r="A576" s="2">
        <v>42247</v>
      </c>
      <c r="B576" s="93" t="s">
        <v>105</v>
      </c>
      <c r="C576" t="s">
        <v>8</v>
      </c>
      <c r="D576" t="s">
        <v>14</v>
      </c>
      <c r="E576" t="s">
        <v>136</v>
      </c>
      <c r="F576" s="12" t="s">
        <v>105</v>
      </c>
      <c r="G576" s="4" t="s">
        <v>1106</v>
      </c>
    </row>
    <row r="577" spans="1:7" x14ac:dyDescent="0.35">
      <c r="A577" s="2">
        <v>42247</v>
      </c>
      <c r="B577" s="93" t="s">
        <v>105</v>
      </c>
      <c r="C577" t="s">
        <v>8</v>
      </c>
      <c r="D577" t="s">
        <v>14</v>
      </c>
      <c r="E577" t="s">
        <v>136</v>
      </c>
      <c r="F577" s="12" t="s">
        <v>105</v>
      </c>
      <c r="G577" s="4" t="s">
        <v>1107</v>
      </c>
    </row>
    <row r="578" spans="1:7" x14ac:dyDescent="0.35">
      <c r="A578" s="2">
        <v>42247</v>
      </c>
      <c r="B578" s="93" t="s">
        <v>105</v>
      </c>
      <c r="C578" t="s">
        <v>8</v>
      </c>
      <c r="D578" t="s">
        <v>18</v>
      </c>
      <c r="E578" t="s">
        <v>136</v>
      </c>
      <c r="F578" s="12" t="s">
        <v>105</v>
      </c>
      <c r="G578" s="4" t="s">
        <v>1108</v>
      </c>
    </row>
    <row r="579" spans="1:7" x14ac:dyDescent="0.35">
      <c r="A579" s="2">
        <v>42247</v>
      </c>
      <c r="B579" s="93" t="s">
        <v>105</v>
      </c>
      <c r="C579" t="s">
        <v>8</v>
      </c>
      <c r="D579" t="s">
        <v>18</v>
      </c>
      <c r="E579" t="s">
        <v>136</v>
      </c>
      <c r="F579" s="12" t="s">
        <v>105</v>
      </c>
      <c r="G579" s="4" t="s">
        <v>1109</v>
      </c>
    </row>
    <row r="580" spans="1:7" x14ac:dyDescent="0.35">
      <c r="A580" s="2">
        <v>42247</v>
      </c>
      <c r="B580" s="93" t="s">
        <v>105</v>
      </c>
      <c r="C580" t="s">
        <v>8</v>
      </c>
      <c r="D580" t="s">
        <v>18</v>
      </c>
      <c r="E580" t="s">
        <v>136</v>
      </c>
      <c r="F580" s="12" t="s">
        <v>105</v>
      </c>
      <c r="G580" s="4" t="s">
        <v>1110</v>
      </c>
    </row>
    <row r="581" spans="1:7" x14ac:dyDescent="0.35">
      <c r="A581" s="2">
        <v>42247</v>
      </c>
      <c r="B581" s="93" t="s">
        <v>105</v>
      </c>
      <c r="C581" t="s">
        <v>8</v>
      </c>
      <c r="D581" t="s">
        <v>167</v>
      </c>
      <c r="E581" t="s">
        <v>136</v>
      </c>
      <c r="F581" s="12" t="s">
        <v>105</v>
      </c>
      <c r="G581" s="4" t="s">
        <v>1111</v>
      </c>
    </row>
    <row r="582" spans="1:7" x14ac:dyDescent="0.35">
      <c r="A582" s="2">
        <v>42247</v>
      </c>
      <c r="B582" s="93" t="s">
        <v>105</v>
      </c>
      <c r="C582" t="s">
        <v>8</v>
      </c>
      <c r="D582" t="s">
        <v>167</v>
      </c>
      <c r="E582" t="s">
        <v>136</v>
      </c>
      <c r="F582" s="12" t="s">
        <v>105</v>
      </c>
      <c r="G582" s="4" t="s">
        <v>1112</v>
      </c>
    </row>
    <row r="583" spans="1:7" x14ac:dyDescent="0.35">
      <c r="A583" s="2">
        <v>42247</v>
      </c>
      <c r="B583" s="93" t="s">
        <v>105</v>
      </c>
      <c r="C583" t="s">
        <v>8</v>
      </c>
      <c r="D583" t="s">
        <v>167</v>
      </c>
      <c r="E583" t="s">
        <v>136</v>
      </c>
      <c r="F583" s="12" t="s">
        <v>105</v>
      </c>
      <c r="G583" s="4" t="s">
        <v>1113</v>
      </c>
    </row>
    <row r="584" spans="1:7" x14ac:dyDescent="0.35">
      <c r="A584" s="2">
        <v>42247</v>
      </c>
      <c r="B584" s="93" t="s">
        <v>105</v>
      </c>
      <c r="C584" t="s">
        <v>8</v>
      </c>
      <c r="D584" t="s">
        <v>26</v>
      </c>
      <c r="E584" t="s">
        <v>74</v>
      </c>
      <c r="F584" s="12" t="s">
        <v>82</v>
      </c>
      <c r="G584" s="4" t="s">
        <v>1114</v>
      </c>
    </row>
    <row r="585" spans="1:7" x14ac:dyDescent="0.35">
      <c r="A585" s="2">
        <v>42247</v>
      </c>
      <c r="B585" s="93" t="s">
        <v>105</v>
      </c>
      <c r="C585" t="s">
        <v>8</v>
      </c>
      <c r="D585" t="s">
        <v>26</v>
      </c>
      <c r="E585" t="s">
        <v>74</v>
      </c>
      <c r="F585" s="12" t="s">
        <v>82</v>
      </c>
      <c r="G585" s="4" t="s">
        <v>1115</v>
      </c>
    </row>
    <row r="586" spans="1:7" x14ac:dyDescent="0.35">
      <c r="A586" s="2">
        <v>42247</v>
      </c>
      <c r="B586" s="93" t="s">
        <v>105</v>
      </c>
      <c r="C586" t="s">
        <v>8</v>
      </c>
      <c r="D586" t="s">
        <v>25</v>
      </c>
      <c r="E586" t="s">
        <v>74</v>
      </c>
      <c r="F586" s="12" t="s">
        <v>82</v>
      </c>
      <c r="G586" s="4" t="s">
        <v>1116</v>
      </c>
    </row>
    <row r="587" spans="1:7" x14ac:dyDescent="0.35">
      <c r="A587" s="2">
        <v>42247</v>
      </c>
      <c r="B587" s="93" t="s">
        <v>105</v>
      </c>
      <c r="C587" t="s">
        <v>8</v>
      </c>
      <c r="D587" t="s">
        <v>25</v>
      </c>
      <c r="E587" t="s">
        <v>74</v>
      </c>
      <c r="F587" s="12" t="s">
        <v>82</v>
      </c>
      <c r="G587" s="4" t="s">
        <v>1117</v>
      </c>
    </row>
    <row r="588" spans="1:7" x14ac:dyDescent="0.35">
      <c r="A588" s="2">
        <v>42247</v>
      </c>
      <c r="B588" s="93" t="s">
        <v>105</v>
      </c>
      <c r="C588" t="s">
        <v>8</v>
      </c>
      <c r="D588" t="s">
        <v>9</v>
      </c>
      <c r="E588" t="s">
        <v>74</v>
      </c>
      <c r="F588" s="12" t="s">
        <v>82</v>
      </c>
      <c r="G588" s="4" t="s">
        <v>1118</v>
      </c>
    </row>
    <row r="589" spans="1:7" x14ac:dyDescent="0.35">
      <c r="A589" s="2">
        <v>42247</v>
      </c>
      <c r="B589" s="93" t="s">
        <v>105</v>
      </c>
      <c r="C589" t="s">
        <v>8</v>
      </c>
      <c r="D589" t="s">
        <v>9</v>
      </c>
      <c r="E589" t="s">
        <v>74</v>
      </c>
      <c r="F589" s="12" t="s">
        <v>82</v>
      </c>
      <c r="G589" s="4" t="s">
        <v>1119</v>
      </c>
    </row>
    <row r="590" spans="1:7" x14ac:dyDescent="0.35">
      <c r="A590" s="2">
        <v>42247</v>
      </c>
      <c r="B590" s="93" t="s">
        <v>105</v>
      </c>
      <c r="C590" t="s">
        <v>8</v>
      </c>
      <c r="D590" t="s">
        <v>14</v>
      </c>
      <c r="E590" t="s">
        <v>74</v>
      </c>
      <c r="F590" s="12" t="s">
        <v>82</v>
      </c>
      <c r="G590" s="4" t="s">
        <v>1120</v>
      </c>
    </row>
    <row r="591" spans="1:7" x14ac:dyDescent="0.35">
      <c r="A591" s="2">
        <v>42247</v>
      </c>
      <c r="B591" s="93" t="s">
        <v>105</v>
      </c>
      <c r="C591" t="s">
        <v>8</v>
      </c>
      <c r="D591" t="s">
        <v>14</v>
      </c>
      <c r="E591" t="s">
        <v>74</v>
      </c>
      <c r="F591" s="12" t="s">
        <v>82</v>
      </c>
      <c r="G591" s="4" t="s">
        <v>1121</v>
      </c>
    </row>
    <row r="592" spans="1:7" x14ac:dyDescent="0.35">
      <c r="A592" s="2">
        <v>42247</v>
      </c>
      <c r="B592" s="93" t="s">
        <v>105</v>
      </c>
      <c r="C592" t="s">
        <v>8</v>
      </c>
      <c r="D592" t="s">
        <v>18</v>
      </c>
      <c r="E592" t="s">
        <v>74</v>
      </c>
      <c r="F592" s="12" t="s">
        <v>82</v>
      </c>
      <c r="G592" s="4" t="s">
        <v>1122</v>
      </c>
    </row>
    <row r="593" spans="1:7" x14ac:dyDescent="0.35">
      <c r="A593" s="2">
        <v>42247</v>
      </c>
      <c r="B593" s="93" t="s">
        <v>105</v>
      </c>
      <c r="C593" t="s">
        <v>8</v>
      </c>
      <c r="D593" t="s">
        <v>18</v>
      </c>
      <c r="E593" t="s">
        <v>74</v>
      </c>
      <c r="F593" s="12" t="s">
        <v>82</v>
      </c>
      <c r="G593" s="4" t="s">
        <v>1123</v>
      </c>
    </row>
    <row r="594" spans="1:7" x14ac:dyDescent="0.35">
      <c r="A594" s="2">
        <v>42247</v>
      </c>
      <c r="B594" s="93" t="s">
        <v>105</v>
      </c>
      <c r="C594" t="s">
        <v>8</v>
      </c>
      <c r="D594" t="s">
        <v>167</v>
      </c>
      <c r="E594" t="s">
        <v>74</v>
      </c>
      <c r="F594" s="12" t="s">
        <v>82</v>
      </c>
      <c r="G594" s="4" t="s">
        <v>1124</v>
      </c>
    </row>
    <row r="595" spans="1:7" x14ac:dyDescent="0.35">
      <c r="A595" s="2">
        <v>42247</v>
      </c>
      <c r="B595" s="93" t="s">
        <v>105</v>
      </c>
      <c r="C595" t="s">
        <v>8</v>
      </c>
      <c r="D595" t="s">
        <v>167</v>
      </c>
      <c r="E595" t="s">
        <v>74</v>
      </c>
      <c r="F595" s="12" t="s">
        <v>82</v>
      </c>
      <c r="G595" s="4" t="s">
        <v>1125</v>
      </c>
    </row>
    <row r="596" spans="1:7" x14ac:dyDescent="0.35">
      <c r="A596" s="2">
        <v>42247</v>
      </c>
      <c r="B596" s="93" t="s">
        <v>105</v>
      </c>
      <c r="C596" t="s">
        <v>8</v>
      </c>
      <c r="D596" t="s">
        <v>26</v>
      </c>
      <c r="E596" t="s">
        <v>78</v>
      </c>
      <c r="F596" s="12" t="s">
        <v>105</v>
      </c>
      <c r="G596" s="4" t="s">
        <v>1126</v>
      </c>
    </row>
    <row r="597" spans="1:7" x14ac:dyDescent="0.35">
      <c r="A597" s="2">
        <v>42247</v>
      </c>
      <c r="B597" s="93" t="s">
        <v>105</v>
      </c>
      <c r="C597" t="s">
        <v>8</v>
      </c>
      <c r="D597" t="s">
        <v>26</v>
      </c>
      <c r="E597" t="s">
        <v>78</v>
      </c>
      <c r="F597" s="12" t="s">
        <v>105</v>
      </c>
      <c r="G597" s="4" t="s">
        <v>1127</v>
      </c>
    </row>
    <row r="598" spans="1:7" x14ac:dyDescent="0.35">
      <c r="A598" s="2">
        <v>42247</v>
      </c>
      <c r="B598" s="93" t="s">
        <v>105</v>
      </c>
      <c r="C598" t="s">
        <v>8</v>
      </c>
      <c r="D598" t="s">
        <v>26</v>
      </c>
      <c r="E598" t="s">
        <v>78</v>
      </c>
      <c r="F598" s="12" t="s">
        <v>105</v>
      </c>
      <c r="G598" s="4" t="s">
        <v>1128</v>
      </c>
    </row>
    <row r="599" spans="1:7" x14ac:dyDescent="0.35">
      <c r="A599" s="2">
        <v>42247</v>
      </c>
      <c r="B599" s="93" t="s">
        <v>105</v>
      </c>
      <c r="C599" t="s">
        <v>8</v>
      </c>
      <c r="D599" t="s">
        <v>14</v>
      </c>
      <c r="E599" t="s">
        <v>78</v>
      </c>
      <c r="F599" s="12" t="s">
        <v>105</v>
      </c>
      <c r="G599" s="4" t="s">
        <v>1129</v>
      </c>
    </row>
    <row r="600" spans="1:7" x14ac:dyDescent="0.35">
      <c r="A600" s="2">
        <v>42247</v>
      </c>
      <c r="B600" s="93" t="s">
        <v>105</v>
      </c>
      <c r="C600" t="s">
        <v>8</v>
      </c>
      <c r="D600" t="s">
        <v>14</v>
      </c>
      <c r="E600" t="s">
        <v>78</v>
      </c>
      <c r="F600" s="12" t="s">
        <v>105</v>
      </c>
      <c r="G600" s="4" t="s">
        <v>1130</v>
      </c>
    </row>
    <row r="601" spans="1:7" x14ac:dyDescent="0.35">
      <c r="A601" s="2">
        <v>42247</v>
      </c>
      <c r="B601" s="93" t="s">
        <v>105</v>
      </c>
      <c r="C601" t="s">
        <v>8</v>
      </c>
      <c r="D601" t="s">
        <v>14</v>
      </c>
      <c r="E601" t="s">
        <v>78</v>
      </c>
      <c r="F601" s="12" t="s">
        <v>105</v>
      </c>
      <c r="G601" s="4" t="s">
        <v>1131</v>
      </c>
    </row>
    <row r="602" spans="1:7" x14ac:dyDescent="0.35">
      <c r="A602" s="2">
        <v>42249</v>
      </c>
      <c r="B602" s="93" t="s">
        <v>105</v>
      </c>
      <c r="C602" t="s">
        <v>8</v>
      </c>
      <c r="D602" t="s">
        <v>60</v>
      </c>
      <c r="E602" t="s">
        <v>136</v>
      </c>
      <c r="F602" s="12" t="s">
        <v>105</v>
      </c>
      <c r="G602" s="4" t="s">
        <v>1132</v>
      </c>
    </row>
    <row r="603" spans="1:7" x14ac:dyDescent="0.35">
      <c r="A603" s="2">
        <v>42249</v>
      </c>
      <c r="B603" s="93" t="s">
        <v>105</v>
      </c>
      <c r="C603" t="s">
        <v>8</v>
      </c>
      <c r="D603" t="s">
        <v>60</v>
      </c>
      <c r="E603" t="s">
        <v>136</v>
      </c>
      <c r="F603" s="12" t="s">
        <v>105</v>
      </c>
      <c r="G603" s="4" t="s">
        <v>1133</v>
      </c>
    </row>
    <row r="604" spans="1:7" x14ac:dyDescent="0.35">
      <c r="A604" s="2">
        <v>42249</v>
      </c>
      <c r="B604" s="93" t="s">
        <v>105</v>
      </c>
      <c r="C604" t="s">
        <v>8</v>
      </c>
      <c r="D604" t="s">
        <v>60</v>
      </c>
      <c r="E604" t="s">
        <v>136</v>
      </c>
      <c r="F604" s="12" t="s">
        <v>105</v>
      </c>
      <c r="G604" s="4" t="s">
        <v>1134</v>
      </c>
    </row>
    <row r="605" spans="1:7" x14ac:dyDescent="0.35">
      <c r="A605" s="2">
        <v>42249</v>
      </c>
      <c r="B605" s="93" t="s">
        <v>105</v>
      </c>
      <c r="C605" t="s">
        <v>8</v>
      </c>
      <c r="D605" t="s">
        <v>64</v>
      </c>
      <c r="E605" t="s">
        <v>136</v>
      </c>
      <c r="F605" s="12" t="s">
        <v>105</v>
      </c>
      <c r="G605" s="4" t="s">
        <v>1135</v>
      </c>
    </row>
    <row r="606" spans="1:7" x14ac:dyDescent="0.35">
      <c r="A606" s="2">
        <v>42249</v>
      </c>
      <c r="B606" s="93" t="s">
        <v>105</v>
      </c>
      <c r="C606" t="s">
        <v>8</v>
      </c>
      <c r="D606" t="s">
        <v>64</v>
      </c>
      <c r="E606" t="s">
        <v>136</v>
      </c>
      <c r="F606" s="12" t="s">
        <v>105</v>
      </c>
      <c r="G606" s="4" t="s">
        <v>1136</v>
      </c>
    </row>
    <row r="607" spans="1:7" x14ac:dyDescent="0.35">
      <c r="A607" s="2">
        <v>42249</v>
      </c>
      <c r="B607" s="93" t="s">
        <v>105</v>
      </c>
      <c r="C607" t="s">
        <v>8</v>
      </c>
      <c r="D607" t="s">
        <v>64</v>
      </c>
      <c r="E607" t="s">
        <v>136</v>
      </c>
      <c r="F607" s="12" t="s">
        <v>105</v>
      </c>
      <c r="G607" s="4" t="s">
        <v>1137</v>
      </c>
    </row>
    <row r="608" spans="1:7" x14ac:dyDescent="0.35">
      <c r="A608" s="2">
        <v>42249</v>
      </c>
      <c r="B608" s="93" t="s">
        <v>105</v>
      </c>
      <c r="C608" t="s">
        <v>8</v>
      </c>
      <c r="D608" t="s">
        <v>69</v>
      </c>
      <c r="E608" t="s">
        <v>136</v>
      </c>
      <c r="F608" s="12" t="s">
        <v>105</v>
      </c>
      <c r="G608" s="4" t="s">
        <v>1138</v>
      </c>
    </row>
    <row r="609" spans="1:7" x14ac:dyDescent="0.35">
      <c r="A609" s="2">
        <v>42249</v>
      </c>
      <c r="B609" s="93" t="s">
        <v>105</v>
      </c>
      <c r="C609" t="s">
        <v>8</v>
      </c>
      <c r="D609" t="s">
        <v>69</v>
      </c>
      <c r="E609" t="s">
        <v>136</v>
      </c>
      <c r="F609" s="12" t="s">
        <v>105</v>
      </c>
      <c r="G609" s="4" t="s">
        <v>1139</v>
      </c>
    </row>
    <row r="610" spans="1:7" x14ac:dyDescent="0.35">
      <c r="A610" s="2">
        <v>42249</v>
      </c>
      <c r="B610" s="93" t="s">
        <v>105</v>
      </c>
      <c r="C610" t="s">
        <v>8</v>
      </c>
      <c r="D610" t="s">
        <v>69</v>
      </c>
      <c r="E610" t="s">
        <v>136</v>
      </c>
      <c r="F610" s="12" t="s">
        <v>105</v>
      </c>
      <c r="G610" s="4" t="s">
        <v>1140</v>
      </c>
    </row>
    <row r="611" spans="1:7" x14ac:dyDescent="0.35">
      <c r="A611" s="2">
        <v>42249</v>
      </c>
      <c r="B611" s="93" t="s">
        <v>105</v>
      </c>
      <c r="C611" t="s">
        <v>8</v>
      </c>
      <c r="D611" t="s">
        <v>60</v>
      </c>
      <c r="E611" t="s">
        <v>74</v>
      </c>
      <c r="F611" s="12" t="s">
        <v>82</v>
      </c>
      <c r="G611" s="4" t="s">
        <v>290</v>
      </c>
    </row>
    <row r="612" spans="1:7" x14ac:dyDescent="0.35">
      <c r="A612" s="2">
        <v>42249</v>
      </c>
      <c r="B612" s="93" t="s">
        <v>105</v>
      </c>
      <c r="C612" t="s">
        <v>8</v>
      </c>
      <c r="D612" t="s">
        <v>60</v>
      </c>
      <c r="E612" t="s">
        <v>74</v>
      </c>
      <c r="F612" s="12" t="s">
        <v>82</v>
      </c>
      <c r="G612" s="4" t="s">
        <v>2298</v>
      </c>
    </row>
    <row r="613" spans="1:7" x14ac:dyDescent="0.35">
      <c r="A613" s="2">
        <v>42249</v>
      </c>
      <c r="B613" s="93" t="s">
        <v>105</v>
      </c>
      <c r="C613" t="s">
        <v>8</v>
      </c>
      <c r="D613" t="s">
        <v>64</v>
      </c>
      <c r="E613" t="s">
        <v>74</v>
      </c>
      <c r="F613" s="12" t="s">
        <v>82</v>
      </c>
      <c r="G613" s="4" t="s">
        <v>1141</v>
      </c>
    </row>
    <row r="614" spans="1:7" x14ac:dyDescent="0.35">
      <c r="A614" s="2">
        <v>42249</v>
      </c>
      <c r="B614" s="93" t="s">
        <v>105</v>
      </c>
      <c r="C614" t="s">
        <v>8</v>
      </c>
      <c r="D614" t="s">
        <v>64</v>
      </c>
      <c r="E614" t="s">
        <v>74</v>
      </c>
      <c r="F614" s="12" t="s">
        <v>82</v>
      </c>
      <c r="G614" s="4" t="s">
        <v>1142</v>
      </c>
    </row>
    <row r="615" spans="1:7" x14ac:dyDescent="0.35">
      <c r="A615" s="2">
        <v>42249</v>
      </c>
      <c r="B615" s="93" t="s">
        <v>105</v>
      </c>
      <c r="C615" t="s">
        <v>8</v>
      </c>
      <c r="D615" t="s">
        <v>69</v>
      </c>
      <c r="E615" t="s">
        <v>74</v>
      </c>
      <c r="F615" s="12" t="s">
        <v>82</v>
      </c>
      <c r="G615" s="4" t="s">
        <v>1143</v>
      </c>
    </row>
    <row r="616" spans="1:7" x14ac:dyDescent="0.35">
      <c r="A616" s="2">
        <v>42249</v>
      </c>
      <c r="B616" s="93" t="s">
        <v>105</v>
      </c>
      <c r="C616" t="s">
        <v>8</v>
      </c>
      <c r="D616" t="s">
        <v>69</v>
      </c>
      <c r="E616" t="s">
        <v>74</v>
      </c>
      <c r="F616" s="12" t="s">
        <v>82</v>
      </c>
      <c r="G616" s="4" t="s">
        <v>1144</v>
      </c>
    </row>
    <row r="617" spans="1:7" x14ac:dyDescent="0.35">
      <c r="A617" s="2">
        <v>42249</v>
      </c>
      <c r="B617" s="93" t="s">
        <v>105</v>
      </c>
      <c r="C617" t="s">
        <v>8</v>
      </c>
      <c r="D617" t="s">
        <v>60</v>
      </c>
      <c r="E617" t="s">
        <v>78</v>
      </c>
      <c r="F617" s="12" t="s">
        <v>105</v>
      </c>
      <c r="G617" s="4" t="s">
        <v>1145</v>
      </c>
    </row>
    <row r="618" spans="1:7" x14ac:dyDescent="0.35">
      <c r="A618" s="2">
        <v>42249</v>
      </c>
      <c r="B618" s="93" t="s">
        <v>105</v>
      </c>
      <c r="C618" t="s">
        <v>8</v>
      </c>
      <c r="D618" t="s">
        <v>60</v>
      </c>
      <c r="E618" t="s">
        <v>78</v>
      </c>
      <c r="F618" s="12" t="s">
        <v>105</v>
      </c>
      <c r="G618" s="4" t="s">
        <v>1146</v>
      </c>
    </row>
    <row r="619" spans="1:7" x14ac:dyDescent="0.35">
      <c r="A619" s="2">
        <v>42249</v>
      </c>
      <c r="B619" s="93" t="s">
        <v>105</v>
      </c>
      <c r="C619" t="s">
        <v>8</v>
      </c>
      <c r="D619" t="s">
        <v>60</v>
      </c>
      <c r="E619" t="s">
        <v>78</v>
      </c>
      <c r="F619" s="12" t="s">
        <v>105</v>
      </c>
      <c r="G619" s="4" t="s">
        <v>1147</v>
      </c>
    </row>
    <row r="620" spans="1:7" x14ac:dyDescent="0.35">
      <c r="A620" s="2">
        <v>42255</v>
      </c>
      <c r="B620" s="93" t="s">
        <v>105</v>
      </c>
      <c r="C620" t="s">
        <v>8</v>
      </c>
      <c r="D620" t="s">
        <v>9</v>
      </c>
      <c r="E620" t="s">
        <v>136</v>
      </c>
      <c r="F620" s="12" t="s">
        <v>105</v>
      </c>
      <c r="G620" s="4" t="s">
        <v>1148</v>
      </c>
    </row>
    <row r="621" spans="1:7" x14ac:dyDescent="0.35">
      <c r="A621" s="2">
        <v>42255</v>
      </c>
      <c r="B621" s="93" t="s">
        <v>105</v>
      </c>
      <c r="C621" t="s">
        <v>8</v>
      </c>
      <c r="D621" t="s">
        <v>9</v>
      </c>
      <c r="E621" t="s">
        <v>136</v>
      </c>
      <c r="F621" s="12" t="s">
        <v>105</v>
      </c>
      <c r="G621" s="4" t="s">
        <v>1149</v>
      </c>
    </row>
    <row r="622" spans="1:7" x14ac:dyDescent="0.35">
      <c r="A622" s="2">
        <v>42255</v>
      </c>
      <c r="B622" s="93" t="s">
        <v>105</v>
      </c>
      <c r="C622" t="s">
        <v>8</v>
      </c>
      <c r="D622" t="s">
        <v>9</v>
      </c>
      <c r="E622" t="s">
        <v>136</v>
      </c>
      <c r="F622" s="12" t="s">
        <v>105</v>
      </c>
      <c r="G622" s="4" t="s">
        <v>1150</v>
      </c>
    </row>
    <row r="623" spans="1:7" x14ac:dyDescent="0.35">
      <c r="A623" s="2">
        <v>42255</v>
      </c>
      <c r="B623" s="93" t="s">
        <v>105</v>
      </c>
      <c r="C623" t="s">
        <v>8</v>
      </c>
      <c r="D623" t="s">
        <v>14</v>
      </c>
      <c r="E623" t="s">
        <v>136</v>
      </c>
      <c r="F623" s="12" t="s">
        <v>105</v>
      </c>
      <c r="G623" s="4" t="s">
        <v>1151</v>
      </c>
    </row>
    <row r="624" spans="1:7" x14ac:dyDescent="0.35">
      <c r="A624" s="2">
        <v>42255</v>
      </c>
      <c r="B624" s="93" t="s">
        <v>105</v>
      </c>
      <c r="C624" t="s">
        <v>8</v>
      </c>
      <c r="D624" t="s">
        <v>14</v>
      </c>
      <c r="E624" t="s">
        <v>136</v>
      </c>
      <c r="F624" s="12" t="s">
        <v>105</v>
      </c>
      <c r="G624" s="4" t="s">
        <v>1152</v>
      </c>
    </row>
    <row r="625" spans="1:7" x14ac:dyDescent="0.35">
      <c r="A625" s="2">
        <v>42255</v>
      </c>
      <c r="B625" s="93" t="s">
        <v>105</v>
      </c>
      <c r="C625" t="s">
        <v>8</v>
      </c>
      <c r="D625" t="s">
        <v>14</v>
      </c>
      <c r="E625" t="s">
        <v>136</v>
      </c>
      <c r="F625" s="12" t="s">
        <v>105</v>
      </c>
      <c r="G625" s="4" t="s">
        <v>1153</v>
      </c>
    </row>
    <row r="626" spans="1:7" x14ac:dyDescent="0.35">
      <c r="A626" s="2">
        <v>42255</v>
      </c>
      <c r="B626" s="93" t="s">
        <v>105</v>
      </c>
      <c r="C626" t="s">
        <v>8</v>
      </c>
      <c r="D626" t="s">
        <v>18</v>
      </c>
      <c r="E626" t="s">
        <v>136</v>
      </c>
      <c r="F626" s="12" t="s">
        <v>105</v>
      </c>
      <c r="G626" s="4" t="s">
        <v>1154</v>
      </c>
    </row>
    <row r="627" spans="1:7" x14ac:dyDescent="0.35">
      <c r="A627" s="2">
        <v>42255</v>
      </c>
      <c r="B627" s="93" t="s">
        <v>105</v>
      </c>
      <c r="C627" t="s">
        <v>8</v>
      </c>
      <c r="D627" t="s">
        <v>18</v>
      </c>
      <c r="E627" t="s">
        <v>136</v>
      </c>
      <c r="F627" s="12" t="s">
        <v>105</v>
      </c>
      <c r="G627" s="4" t="s">
        <v>1155</v>
      </c>
    </row>
    <row r="628" spans="1:7" x14ac:dyDescent="0.35">
      <c r="A628" s="2">
        <v>42255</v>
      </c>
      <c r="B628" s="93" t="s">
        <v>105</v>
      </c>
      <c r="C628" t="s">
        <v>8</v>
      </c>
      <c r="D628" t="s">
        <v>18</v>
      </c>
      <c r="E628" t="s">
        <v>136</v>
      </c>
      <c r="F628" s="12" t="s">
        <v>105</v>
      </c>
      <c r="G628" s="4" t="s">
        <v>1156</v>
      </c>
    </row>
    <row r="629" spans="1:7" x14ac:dyDescent="0.35">
      <c r="A629" s="2">
        <v>42255</v>
      </c>
      <c r="B629" s="93" t="s">
        <v>105</v>
      </c>
      <c r="C629" t="s">
        <v>8</v>
      </c>
      <c r="D629" t="s">
        <v>26</v>
      </c>
      <c r="E629" t="s">
        <v>136</v>
      </c>
      <c r="F629" s="12" t="s">
        <v>105</v>
      </c>
      <c r="G629" s="4" t="s">
        <v>1157</v>
      </c>
    </row>
    <row r="630" spans="1:7" x14ac:dyDescent="0.35">
      <c r="A630" s="2">
        <v>42255</v>
      </c>
      <c r="B630" s="93" t="s">
        <v>105</v>
      </c>
      <c r="C630" t="s">
        <v>8</v>
      </c>
      <c r="D630" t="s">
        <v>26</v>
      </c>
      <c r="E630" t="s">
        <v>136</v>
      </c>
      <c r="F630" s="12" t="s">
        <v>105</v>
      </c>
      <c r="G630" s="4" t="s">
        <v>1158</v>
      </c>
    </row>
    <row r="631" spans="1:7" x14ac:dyDescent="0.35">
      <c r="A631" s="2">
        <v>42255</v>
      </c>
      <c r="B631" s="93" t="s">
        <v>105</v>
      </c>
      <c r="C631" t="s">
        <v>8</v>
      </c>
      <c r="D631" t="s">
        <v>26</v>
      </c>
      <c r="E631" t="s">
        <v>136</v>
      </c>
      <c r="F631" s="12" t="s">
        <v>105</v>
      </c>
      <c r="G631" s="4" t="s">
        <v>1159</v>
      </c>
    </row>
    <row r="632" spans="1:7" x14ac:dyDescent="0.35">
      <c r="A632" s="2">
        <v>42255</v>
      </c>
      <c r="B632" s="93" t="s">
        <v>105</v>
      </c>
      <c r="C632" t="s">
        <v>8</v>
      </c>
      <c r="D632" t="s">
        <v>167</v>
      </c>
      <c r="E632" t="s">
        <v>136</v>
      </c>
      <c r="F632" s="12" t="s">
        <v>105</v>
      </c>
      <c r="G632" s="4" t="s">
        <v>1160</v>
      </c>
    </row>
    <row r="633" spans="1:7" x14ac:dyDescent="0.35">
      <c r="A633" s="2">
        <v>42255</v>
      </c>
      <c r="B633" s="93" t="s">
        <v>105</v>
      </c>
      <c r="C633" t="s">
        <v>8</v>
      </c>
      <c r="D633" t="s">
        <v>167</v>
      </c>
      <c r="E633" t="s">
        <v>136</v>
      </c>
      <c r="F633" s="12" t="s">
        <v>105</v>
      </c>
      <c r="G633" s="4" t="s">
        <v>1161</v>
      </c>
    </row>
    <row r="634" spans="1:7" x14ac:dyDescent="0.35">
      <c r="A634" s="2">
        <v>42255</v>
      </c>
      <c r="B634" s="93" t="s">
        <v>105</v>
      </c>
      <c r="C634" t="s">
        <v>8</v>
      </c>
      <c r="D634" t="s">
        <v>167</v>
      </c>
      <c r="E634" t="s">
        <v>136</v>
      </c>
      <c r="F634" s="12" t="s">
        <v>105</v>
      </c>
      <c r="G634" s="4" t="s">
        <v>1162</v>
      </c>
    </row>
    <row r="635" spans="1:7" x14ac:dyDescent="0.35">
      <c r="A635" s="2">
        <v>42255</v>
      </c>
      <c r="B635" s="93" t="s">
        <v>105</v>
      </c>
      <c r="C635" t="s">
        <v>8</v>
      </c>
      <c r="D635" t="s">
        <v>9</v>
      </c>
      <c r="E635" t="s">
        <v>74</v>
      </c>
      <c r="F635" s="12" t="s">
        <v>82</v>
      </c>
      <c r="G635" s="4" t="s">
        <v>1163</v>
      </c>
    </row>
    <row r="636" spans="1:7" x14ac:dyDescent="0.35">
      <c r="A636" s="2">
        <v>42255</v>
      </c>
      <c r="B636" s="93" t="s">
        <v>105</v>
      </c>
      <c r="C636" t="s">
        <v>8</v>
      </c>
      <c r="D636" t="s">
        <v>9</v>
      </c>
      <c r="E636" t="s">
        <v>74</v>
      </c>
      <c r="F636" s="12" t="s">
        <v>82</v>
      </c>
      <c r="G636" s="4" t="s">
        <v>1164</v>
      </c>
    </row>
    <row r="637" spans="1:7" x14ac:dyDescent="0.35">
      <c r="A637" s="2">
        <v>42255</v>
      </c>
      <c r="B637" s="93" t="s">
        <v>105</v>
      </c>
      <c r="C637" t="s">
        <v>8</v>
      </c>
      <c r="D637" t="s">
        <v>14</v>
      </c>
      <c r="E637" t="s">
        <v>74</v>
      </c>
      <c r="F637" s="12" t="s">
        <v>82</v>
      </c>
      <c r="G637" s="4" t="s">
        <v>1165</v>
      </c>
    </row>
    <row r="638" spans="1:7" x14ac:dyDescent="0.35">
      <c r="A638" s="2">
        <v>42255</v>
      </c>
      <c r="B638" s="93" t="s">
        <v>105</v>
      </c>
      <c r="C638" t="s">
        <v>8</v>
      </c>
      <c r="D638" t="s">
        <v>14</v>
      </c>
      <c r="E638" t="s">
        <v>74</v>
      </c>
      <c r="F638" s="12" t="s">
        <v>82</v>
      </c>
      <c r="G638" s="4" t="s">
        <v>1166</v>
      </c>
    </row>
    <row r="639" spans="1:7" x14ac:dyDescent="0.35">
      <c r="A639" s="2">
        <v>42255</v>
      </c>
      <c r="B639" s="93" t="s">
        <v>105</v>
      </c>
      <c r="C639" t="s">
        <v>8</v>
      </c>
      <c r="D639" t="s">
        <v>18</v>
      </c>
      <c r="E639" t="s">
        <v>74</v>
      </c>
      <c r="F639" s="12" t="s">
        <v>82</v>
      </c>
      <c r="G639" s="4" t="s">
        <v>1167</v>
      </c>
    </row>
    <row r="640" spans="1:7" x14ac:dyDescent="0.35">
      <c r="A640" s="2">
        <v>42255</v>
      </c>
      <c r="B640" s="93" t="s">
        <v>105</v>
      </c>
      <c r="C640" t="s">
        <v>8</v>
      </c>
      <c r="D640" t="s">
        <v>18</v>
      </c>
      <c r="E640" t="s">
        <v>74</v>
      </c>
      <c r="F640" s="12" t="s">
        <v>82</v>
      </c>
      <c r="G640" s="4" t="s">
        <v>1168</v>
      </c>
    </row>
    <row r="641" spans="1:7" x14ac:dyDescent="0.35">
      <c r="A641" s="2">
        <v>42255</v>
      </c>
      <c r="B641" s="93" t="s">
        <v>105</v>
      </c>
      <c r="C641" t="s">
        <v>8</v>
      </c>
      <c r="D641" t="s">
        <v>26</v>
      </c>
      <c r="E641" t="s">
        <v>74</v>
      </c>
      <c r="F641" s="12" t="s">
        <v>82</v>
      </c>
      <c r="G641" s="4" t="s">
        <v>1169</v>
      </c>
    </row>
    <row r="642" spans="1:7" x14ac:dyDescent="0.35">
      <c r="A642" s="2">
        <v>42255</v>
      </c>
      <c r="B642" s="93" t="s">
        <v>105</v>
      </c>
      <c r="C642" t="s">
        <v>8</v>
      </c>
      <c r="D642" t="s">
        <v>26</v>
      </c>
      <c r="E642" t="s">
        <v>74</v>
      </c>
      <c r="F642" s="12" t="s">
        <v>82</v>
      </c>
      <c r="G642" s="4" t="s">
        <v>1170</v>
      </c>
    </row>
    <row r="643" spans="1:7" x14ac:dyDescent="0.35">
      <c r="A643" s="2">
        <v>42255</v>
      </c>
      <c r="B643" s="93" t="s">
        <v>105</v>
      </c>
      <c r="C643" t="s">
        <v>8</v>
      </c>
      <c r="D643" t="s">
        <v>167</v>
      </c>
      <c r="E643" t="s">
        <v>74</v>
      </c>
      <c r="F643" s="12" t="s">
        <v>82</v>
      </c>
      <c r="G643" s="4" t="s">
        <v>1171</v>
      </c>
    </row>
    <row r="644" spans="1:7" x14ac:dyDescent="0.35">
      <c r="A644" s="2">
        <v>42255</v>
      </c>
      <c r="B644" s="93" t="s">
        <v>105</v>
      </c>
      <c r="C644" t="s">
        <v>8</v>
      </c>
      <c r="D644" t="s">
        <v>167</v>
      </c>
      <c r="E644" t="s">
        <v>74</v>
      </c>
      <c r="F644" s="12" t="s">
        <v>82</v>
      </c>
      <c r="G644" s="4" t="s">
        <v>1172</v>
      </c>
    </row>
    <row r="645" spans="1:7" x14ac:dyDescent="0.35">
      <c r="A645" s="2">
        <v>42255</v>
      </c>
      <c r="B645" s="93" t="s">
        <v>105</v>
      </c>
      <c r="C645" t="s">
        <v>8</v>
      </c>
      <c r="D645" t="s">
        <v>9</v>
      </c>
      <c r="E645" t="s">
        <v>78</v>
      </c>
      <c r="F645" s="12" t="s">
        <v>105</v>
      </c>
      <c r="G645" s="4" t="s">
        <v>1173</v>
      </c>
    </row>
    <row r="646" spans="1:7" x14ac:dyDescent="0.35">
      <c r="A646" s="2">
        <v>42255</v>
      </c>
      <c r="B646" s="93" t="s">
        <v>105</v>
      </c>
      <c r="C646" t="s">
        <v>8</v>
      </c>
      <c r="D646" t="s">
        <v>9</v>
      </c>
      <c r="E646" t="s">
        <v>78</v>
      </c>
      <c r="F646" s="12" t="s">
        <v>105</v>
      </c>
      <c r="G646" s="4" t="s">
        <v>1174</v>
      </c>
    </row>
    <row r="647" spans="1:7" x14ac:dyDescent="0.35">
      <c r="A647" s="2">
        <v>42255</v>
      </c>
      <c r="B647" s="93" t="s">
        <v>105</v>
      </c>
      <c r="C647" t="s">
        <v>8</v>
      </c>
      <c r="D647" t="s">
        <v>9</v>
      </c>
      <c r="E647" t="s">
        <v>78</v>
      </c>
      <c r="F647" s="12" t="s">
        <v>105</v>
      </c>
      <c r="G647" s="4" t="s">
        <v>1175</v>
      </c>
    </row>
    <row r="648" spans="1:7" x14ac:dyDescent="0.35">
      <c r="A648" s="2">
        <v>42255</v>
      </c>
      <c r="B648" s="93" t="s">
        <v>105</v>
      </c>
      <c r="C648" t="s">
        <v>8</v>
      </c>
      <c r="D648" t="s">
        <v>26</v>
      </c>
      <c r="E648" t="s">
        <v>78</v>
      </c>
      <c r="F648" s="12" t="s">
        <v>105</v>
      </c>
      <c r="G648" s="4" t="s">
        <v>1176</v>
      </c>
    </row>
    <row r="649" spans="1:7" x14ac:dyDescent="0.35">
      <c r="A649" s="2">
        <v>42255</v>
      </c>
      <c r="B649" s="93" t="s">
        <v>105</v>
      </c>
      <c r="C649" t="s">
        <v>8</v>
      </c>
      <c r="D649" t="s">
        <v>26</v>
      </c>
      <c r="E649" t="s">
        <v>78</v>
      </c>
      <c r="F649" s="12" t="s">
        <v>105</v>
      </c>
      <c r="G649" s="4" t="s">
        <v>1177</v>
      </c>
    </row>
    <row r="650" spans="1:7" x14ac:dyDescent="0.35">
      <c r="A650" s="2">
        <v>42255</v>
      </c>
      <c r="B650" s="93" t="s">
        <v>105</v>
      </c>
      <c r="C650" t="s">
        <v>8</v>
      </c>
      <c r="D650" t="s">
        <v>26</v>
      </c>
      <c r="E650" t="s">
        <v>78</v>
      </c>
      <c r="F650" s="12" t="s">
        <v>105</v>
      </c>
      <c r="G650" s="4" t="s">
        <v>1178</v>
      </c>
    </row>
    <row r="651" spans="1:7" x14ac:dyDescent="0.35">
      <c r="A651" s="2">
        <v>42257</v>
      </c>
      <c r="B651" s="93" t="s">
        <v>105</v>
      </c>
      <c r="C651" t="s">
        <v>8</v>
      </c>
      <c r="D651" t="s">
        <v>60</v>
      </c>
      <c r="E651" t="s">
        <v>136</v>
      </c>
      <c r="F651" s="12" t="s">
        <v>105</v>
      </c>
      <c r="G651" s="4" t="s">
        <v>1179</v>
      </c>
    </row>
    <row r="652" spans="1:7" x14ac:dyDescent="0.35">
      <c r="A652" s="2">
        <v>42257</v>
      </c>
      <c r="B652" s="93" t="s">
        <v>105</v>
      </c>
      <c r="C652" t="s">
        <v>8</v>
      </c>
      <c r="D652" t="s">
        <v>60</v>
      </c>
      <c r="E652" t="s">
        <v>136</v>
      </c>
      <c r="F652" s="12" t="s">
        <v>105</v>
      </c>
      <c r="G652" s="4" t="s">
        <v>1180</v>
      </c>
    </row>
    <row r="653" spans="1:7" x14ac:dyDescent="0.35">
      <c r="A653" s="2">
        <v>42257</v>
      </c>
      <c r="B653" s="93" t="s">
        <v>105</v>
      </c>
      <c r="C653" t="s">
        <v>8</v>
      </c>
      <c r="D653" t="s">
        <v>60</v>
      </c>
      <c r="E653" t="s">
        <v>136</v>
      </c>
      <c r="F653" s="12" t="s">
        <v>105</v>
      </c>
      <c r="G653" s="4" t="s">
        <v>1181</v>
      </c>
    </row>
    <row r="654" spans="1:7" x14ac:dyDescent="0.35">
      <c r="A654" s="2">
        <v>42257</v>
      </c>
      <c r="B654" s="93" t="s">
        <v>105</v>
      </c>
      <c r="C654" t="s">
        <v>8</v>
      </c>
      <c r="D654" t="s">
        <v>60</v>
      </c>
      <c r="E654" t="s">
        <v>78</v>
      </c>
      <c r="F654" s="12" t="s">
        <v>105</v>
      </c>
      <c r="G654" s="4" t="s">
        <v>1182</v>
      </c>
    </row>
    <row r="655" spans="1:7" x14ac:dyDescent="0.35">
      <c r="A655" s="2">
        <v>42257</v>
      </c>
      <c r="B655" s="93" t="s">
        <v>105</v>
      </c>
      <c r="C655" t="s">
        <v>8</v>
      </c>
      <c r="D655" t="s">
        <v>60</v>
      </c>
      <c r="E655" t="s">
        <v>78</v>
      </c>
      <c r="F655" s="12" t="s">
        <v>105</v>
      </c>
      <c r="G655" s="4" t="s">
        <v>1183</v>
      </c>
    </row>
    <row r="656" spans="1:7" x14ac:dyDescent="0.35">
      <c r="A656" s="2">
        <v>42257</v>
      </c>
      <c r="B656" s="93" t="s">
        <v>105</v>
      </c>
      <c r="C656" t="s">
        <v>8</v>
      </c>
      <c r="D656" t="s">
        <v>60</v>
      </c>
      <c r="E656" t="s">
        <v>78</v>
      </c>
      <c r="F656" s="12" t="s">
        <v>105</v>
      </c>
      <c r="G656" s="4" t="s">
        <v>1184</v>
      </c>
    </row>
    <row r="657" spans="1:7" x14ac:dyDescent="0.35">
      <c r="A657" s="2">
        <v>42257</v>
      </c>
      <c r="B657" s="93" t="s">
        <v>105</v>
      </c>
      <c r="C657" t="s">
        <v>8</v>
      </c>
      <c r="D657" t="s">
        <v>64</v>
      </c>
      <c r="E657" t="s">
        <v>136</v>
      </c>
      <c r="F657" s="12" t="s">
        <v>105</v>
      </c>
      <c r="G657" s="4" t="s">
        <v>1185</v>
      </c>
    </row>
    <row r="658" spans="1:7" x14ac:dyDescent="0.35">
      <c r="A658" s="2">
        <v>42257</v>
      </c>
      <c r="B658" s="93" t="s">
        <v>105</v>
      </c>
      <c r="C658" t="s">
        <v>8</v>
      </c>
      <c r="D658" t="s">
        <v>64</v>
      </c>
      <c r="E658" t="s">
        <v>136</v>
      </c>
      <c r="F658" s="12" t="s">
        <v>105</v>
      </c>
      <c r="G658" s="4" t="s">
        <v>1186</v>
      </c>
    </row>
    <row r="659" spans="1:7" x14ac:dyDescent="0.35">
      <c r="A659" s="2">
        <v>42257</v>
      </c>
      <c r="B659" s="93" t="s">
        <v>105</v>
      </c>
      <c r="C659" t="s">
        <v>8</v>
      </c>
      <c r="D659" t="s">
        <v>64</v>
      </c>
      <c r="E659" t="s">
        <v>136</v>
      </c>
      <c r="F659" s="12" t="s">
        <v>105</v>
      </c>
      <c r="G659" s="4" t="s">
        <v>1187</v>
      </c>
    </row>
    <row r="660" spans="1:7" x14ac:dyDescent="0.35">
      <c r="A660" s="2">
        <v>42257</v>
      </c>
      <c r="B660" s="93" t="s">
        <v>105</v>
      </c>
      <c r="C660" t="s">
        <v>8</v>
      </c>
      <c r="D660" t="s">
        <v>69</v>
      </c>
      <c r="E660" t="s">
        <v>136</v>
      </c>
      <c r="F660" s="12" t="s">
        <v>105</v>
      </c>
      <c r="G660" s="4" t="s">
        <v>1188</v>
      </c>
    </row>
    <row r="661" spans="1:7" x14ac:dyDescent="0.35">
      <c r="A661" s="2">
        <v>42257</v>
      </c>
      <c r="B661" s="93" t="s">
        <v>105</v>
      </c>
      <c r="C661" t="s">
        <v>8</v>
      </c>
      <c r="D661" t="s">
        <v>69</v>
      </c>
      <c r="E661" t="s">
        <v>136</v>
      </c>
      <c r="F661" s="12" t="s">
        <v>105</v>
      </c>
      <c r="G661" s="4" t="s">
        <v>1189</v>
      </c>
    </row>
    <row r="662" spans="1:7" x14ac:dyDescent="0.35">
      <c r="A662" s="2">
        <v>42257</v>
      </c>
      <c r="B662" s="93" t="s">
        <v>105</v>
      </c>
      <c r="C662" t="s">
        <v>8</v>
      </c>
      <c r="D662" t="s">
        <v>69</v>
      </c>
      <c r="E662" t="s">
        <v>136</v>
      </c>
      <c r="F662" s="12" t="s">
        <v>105</v>
      </c>
      <c r="G662" s="4" t="s">
        <v>1190</v>
      </c>
    </row>
    <row r="663" spans="1:7" x14ac:dyDescent="0.35">
      <c r="A663" s="2">
        <v>42257</v>
      </c>
      <c r="B663" s="93" t="s">
        <v>105</v>
      </c>
      <c r="C663" t="s">
        <v>8</v>
      </c>
      <c r="D663" t="s">
        <v>60</v>
      </c>
      <c r="E663" t="s">
        <v>74</v>
      </c>
      <c r="F663" s="12" t="s">
        <v>82</v>
      </c>
      <c r="G663" s="4" t="s">
        <v>1194</v>
      </c>
    </row>
    <row r="664" spans="1:7" x14ac:dyDescent="0.35">
      <c r="A664" s="2">
        <v>42257</v>
      </c>
      <c r="B664" s="93" t="s">
        <v>105</v>
      </c>
      <c r="C664" t="s">
        <v>8</v>
      </c>
      <c r="D664" t="s">
        <v>60</v>
      </c>
      <c r="E664" t="s">
        <v>74</v>
      </c>
      <c r="F664" s="12" t="s">
        <v>82</v>
      </c>
      <c r="G664" s="4" t="s">
        <v>1195</v>
      </c>
    </row>
    <row r="665" spans="1:7" x14ac:dyDescent="0.35">
      <c r="A665" s="2">
        <v>42257</v>
      </c>
      <c r="B665" s="93" t="s">
        <v>105</v>
      </c>
      <c r="C665" t="s">
        <v>8</v>
      </c>
      <c r="D665" t="s">
        <v>64</v>
      </c>
      <c r="E665" t="s">
        <v>74</v>
      </c>
      <c r="F665" s="12" t="s">
        <v>82</v>
      </c>
      <c r="G665" s="4" t="s">
        <v>1196</v>
      </c>
    </row>
    <row r="666" spans="1:7" x14ac:dyDescent="0.35">
      <c r="A666" s="2">
        <v>42257</v>
      </c>
      <c r="B666" s="93" t="s">
        <v>105</v>
      </c>
      <c r="C666" t="s">
        <v>8</v>
      </c>
      <c r="D666" t="s">
        <v>64</v>
      </c>
      <c r="E666" t="s">
        <v>74</v>
      </c>
      <c r="F666" s="12" t="s">
        <v>82</v>
      </c>
      <c r="G666" s="4" t="s">
        <v>1197</v>
      </c>
    </row>
    <row r="667" spans="1:7" x14ac:dyDescent="0.35">
      <c r="A667" s="2">
        <v>42257</v>
      </c>
      <c r="B667" s="93" t="s">
        <v>105</v>
      </c>
      <c r="C667" t="s">
        <v>8</v>
      </c>
      <c r="D667" t="s">
        <v>69</v>
      </c>
      <c r="E667" t="s">
        <v>74</v>
      </c>
      <c r="F667" s="12" t="s">
        <v>82</v>
      </c>
      <c r="G667" s="4" t="s">
        <v>1198</v>
      </c>
    </row>
    <row r="668" spans="1:7" x14ac:dyDescent="0.35">
      <c r="A668" s="2">
        <v>42257</v>
      </c>
      <c r="B668" s="93" t="s">
        <v>105</v>
      </c>
      <c r="C668" t="s">
        <v>8</v>
      </c>
      <c r="D668" t="s">
        <v>69</v>
      </c>
      <c r="E668" t="s">
        <v>74</v>
      </c>
      <c r="F668" s="12" t="s">
        <v>82</v>
      </c>
      <c r="G668" s="4" t="s">
        <v>1199</v>
      </c>
    </row>
    <row r="669" spans="1:7" x14ac:dyDescent="0.35">
      <c r="A669" s="2">
        <v>42258</v>
      </c>
      <c r="B669" s="93" t="s">
        <v>105</v>
      </c>
      <c r="C669" t="s">
        <v>8</v>
      </c>
      <c r="D669" t="s">
        <v>9</v>
      </c>
      <c r="E669" t="s">
        <v>136</v>
      </c>
      <c r="F669" s="12" t="s">
        <v>105</v>
      </c>
      <c r="G669" s="4" t="s">
        <v>1200</v>
      </c>
    </row>
    <row r="670" spans="1:7" x14ac:dyDescent="0.35">
      <c r="A670" s="2">
        <v>42258</v>
      </c>
      <c r="B670" s="93" t="s">
        <v>105</v>
      </c>
      <c r="C670" t="s">
        <v>8</v>
      </c>
      <c r="D670" t="s">
        <v>9</v>
      </c>
      <c r="E670" t="s">
        <v>136</v>
      </c>
      <c r="F670" s="12" t="s">
        <v>105</v>
      </c>
      <c r="G670" s="4" t="s">
        <v>1201</v>
      </c>
    </row>
    <row r="671" spans="1:7" x14ac:dyDescent="0.35">
      <c r="A671" s="2">
        <v>42258</v>
      </c>
      <c r="B671" s="93" t="s">
        <v>105</v>
      </c>
      <c r="C671" t="s">
        <v>8</v>
      </c>
      <c r="D671" t="s">
        <v>9</v>
      </c>
      <c r="E671" t="s">
        <v>136</v>
      </c>
      <c r="F671" s="12" t="s">
        <v>105</v>
      </c>
      <c r="G671" s="4" t="s">
        <v>1202</v>
      </c>
    </row>
    <row r="672" spans="1:7" x14ac:dyDescent="0.35">
      <c r="A672" s="2">
        <v>42258</v>
      </c>
      <c r="B672" s="93" t="s">
        <v>105</v>
      </c>
      <c r="C672" t="s">
        <v>8</v>
      </c>
      <c r="D672" t="s">
        <v>14</v>
      </c>
      <c r="E672" t="s">
        <v>136</v>
      </c>
      <c r="F672" s="12" t="s">
        <v>105</v>
      </c>
      <c r="G672" s="4" t="s">
        <v>1203</v>
      </c>
    </row>
    <row r="673" spans="1:7" x14ac:dyDescent="0.35">
      <c r="A673" s="2">
        <v>42258</v>
      </c>
      <c r="B673" s="93" t="s">
        <v>105</v>
      </c>
      <c r="C673" t="s">
        <v>8</v>
      </c>
      <c r="D673" t="s">
        <v>14</v>
      </c>
      <c r="E673" t="s">
        <v>136</v>
      </c>
      <c r="F673" s="12" t="s">
        <v>105</v>
      </c>
      <c r="G673" s="4" t="s">
        <v>1204</v>
      </c>
    </row>
    <row r="674" spans="1:7" x14ac:dyDescent="0.35">
      <c r="A674" s="2">
        <v>42258</v>
      </c>
      <c r="B674" s="93" t="s">
        <v>105</v>
      </c>
      <c r="C674" t="s">
        <v>8</v>
      </c>
      <c r="D674" t="s">
        <v>14</v>
      </c>
      <c r="E674" t="s">
        <v>136</v>
      </c>
      <c r="F674" s="12" t="s">
        <v>105</v>
      </c>
      <c r="G674" s="4" t="s">
        <v>1205</v>
      </c>
    </row>
    <row r="675" spans="1:7" x14ac:dyDescent="0.35">
      <c r="A675" s="2">
        <v>42258</v>
      </c>
      <c r="B675" s="93" t="s">
        <v>105</v>
      </c>
      <c r="C675" t="s">
        <v>8</v>
      </c>
      <c r="D675" t="s">
        <v>26</v>
      </c>
      <c r="E675" t="s">
        <v>136</v>
      </c>
      <c r="F675" s="12" t="s">
        <v>105</v>
      </c>
      <c r="G675" s="4" t="s">
        <v>1206</v>
      </c>
    </row>
    <row r="676" spans="1:7" x14ac:dyDescent="0.35">
      <c r="A676" s="2">
        <v>42258</v>
      </c>
      <c r="B676" s="93" t="s">
        <v>105</v>
      </c>
      <c r="C676" t="s">
        <v>8</v>
      </c>
      <c r="D676" t="s">
        <v>26</v>
      </c>
      <c r="E676" t="s">
        <v>136</v>
      </c>
      <c r="F676" s="12" t="s">
        <v>105</v>
      </c>
      <c r="G676" s="4" t="s">
        <v>1207</v>
      </c>
    </row>
    <row r="677" spans="1:7" x14ac:dyDescent="0.35">
      <c r="A677" s="2">
        <v>42258</v>
      </c>
      <c r="B677" s="93" t="s">
        <v>105</v>
      </c>
      <c r="C677" t="s">
        <v>8</v>
      </c>
      <c r="D677" t="s">
        <v>26</v>
      </c>
      <c r="E677" t="s">
        <v>136</v>
      </c>
      <c r="F677" s="12" t="s">
        <v>105</v>
      </c>
      <c r="G677" s="4" t="s">
        <v>1208</v>
      </c>
    </row>
    <row r="678" spans="1:7" x14ac:dyDescent="0.35">
      <c r="A678" s="2">
        <v>42258</v>
      </c>
      <c r="B678" s="93" t="s">
        <v>105</v>
      </c>
      <c r="C678" t="s">
        <v>8</v>
      </c>
      <c r="D678" t="s">
        <v>167</v>
      </c>
      <c r="E678" t="s">
        <v>136</v>
      </c>
      <c r="F678" s="12" t="s">
        <v>105</v>
      </c>
      <c r="G678" s="4" t="s">
        <v>1443</v>
      </c>
    </row>
    <row r="679" spans="1:7" x14ac:dyDescent="0.35">
      <c r="A679" s="2">
        <v>42258</v>
      </c>
      <c r="B679" s="93" t="s">
        <v>105</v>
      </c>
      <c r="C679" t="s">
        <v>8</v>
      </c>
      <c r="D679" t="s">
        <v>167</v>
      </c>
      <c r="E679" t="s">
        <v>136</v>
      </c>
      <c r="F679" s="12" t="s">
        <v>105</v>
      </c>
      <c r="G679" s="4" t="s">
        <v>1444</v>
      </c>
    </row>
    <row r="680" spans="1:7" x14ac:dyDescent="0.35">
      <c r="A680" s="2">
        <v>42258</v>
      </c>
      <c r="B680" s="93" t="s">
        <v>105</v>
      </c>
      <c r="C680" t="s">
        <v>8</v>
      </c>
      <c r="D680" t="s">
        <v>167</v>
      </c>
      <c r="E680" t="s">
        <v>136</v>
      </c>
      <c r="F680" s="12" t="s">
        <v>105</v>
      </c>
      <c r="G680" s="4" t="s">
        <v>1445</v>
      </c>
    </row>
    <row r="681" spans="1:7" x14ac:dyDescent="0.35">
      <c r="A681" s="2">
        <v>42260</v>
      </c>
      <c r="B681" s="93" t="s">
        <v>105</v>
      </c>
      <c r="C681" t="s">
        <v>8</v>
      </c>
      <c r="D681" t="s">
        <v>18</v>
      </c>
      <c r="E681" t="s">
        <v>10</v>
      </c>
      <c r="F681" s="12" t="s">
        <v>105</v>
      </c>
      <c r="G681" s="4" t="s">
        <v>1191</v>
      </c>
    </row>
    <row r="682" spans="1:7" x14ac:dyDescent="0.35">
      <c r="A682" s="2">
        <v>42260</v>
      </c>
      <c r="B682" s="93" t="s">
        <v>105</v>
      </c>
      <c r="C682" t="s">
        <v>8</v>
      </c>
      <c r="D682" t="s">
        <v>18</v>
      </c>
      <c r="E682" t="s">
        <v>10</v>
      </c>
      <c r="F682" s="12" t="s">
        <v>105</v>
      </c>
      <c r="G682" s="4" t="s">
        <v>1192</v>
      </c>
    </row>
    <row r="683" spans="1:7" x14ac:dyDescent="0.35">
      <c r="A683" s="2">
        <v>42260</v>
      </c>
      <c r="B683" s="93" t="s">
        <v>105</v>
      </c>
      <c r="C683" t="s">
        <v>8</v>
      </c>
      <c r="D683" t="s">
        <v>18</v>
      </c>
      <c r="E683" t="s">
        <v>10</v>
      </c>
      <c r="F683" s="12" t="s">
        <v>105</v>
      </c>
      <c r="G683" s="4" t="s">
        <v>1193</v>
      </c>
    </row>
    <row r="684" spans="1:7" x14ac:dyDescent="0.35">
      <c r="A684" s="2">
        <v>42260</v>
      </c>
      <c r="B684" s="93" t="s">
        <v>105</v>
      </c>
      <c r="C684" t="s">
        <v>8</v>
      </c>
      <c r="D684" t="s">
        <v>64</v>
      </c>
      <c r="E684" t="s">
        <v>10</v>
      </c>
      <c r="F684" s="12" t="s">
        <v>105</v>
      </c>
      <c r="G684" s="4" t="s">
        <v>1209</v>
      </c>
    </row>
    <row r="685" spans="1:7" x14ac:dyDescent="0.35">
      <c r="A685" s="2">
        <v>42260</v>
      </c>
      <c r="B685" s="93" t="s">
        <v>105</v>
      </c>
      <c r="C685" t="s">
        <v>8</v>
      </c>
      <c r="D685" t="s">
        <v>64</v>
      </c>
      <c r="E685" t="s">
        <v>10</v>
      </c>
      <c r="F685" s="12" t="s">
        <v>105</v>
      </c>
      <c r="G685" s="4" t="s">
        <v>1210</v>
      </c>
    </row>
    <row r="686" spans="1:7" x14ac:dyDescent="0.35">
      <c r="A686" s="2">
        <v>42260</v>
      </c>
      <c r="B686" s="93" t="s">
        <v>105</v>
      </c>
      <c r="C686" t="s">
        <v>8</v>
      </c>
      <c r="D686" t="s">
        <v>64</v>
      </c>
      <c r="E686" t="s">
        <v>10</v>
      </c>
      <c r="F686" s="12" t="s">
        <v>105</v>
      </c>
      <c r="G686" s="4" t="s">
        <v>1211</v>
      </c>
    </row>
    <row r="687" spans="1:7" x14ac:dyDescent="0.35">
      <c r="A687" s="2">
        <v>42260</v>
      </c>
      <c r="B687" s="93" t="s">
        <v>105</v>
      </c>
      <c r="C687" t="s">
        <v>8</v>
      </c>
      <c r="D687" t="s">
        <v>60</v>
      </c>
      <c r="E687" t="s">
        <v>10</v>
      </c>
      <c r="F687" s="12" t="s">
        <v>105</v>
      </c>
      <c r="G687" s="4" t="s">
        <v>1212</v>
      </c>
    </row>
    <row r="688" spans="1:7" x14ac:dyDescent="0.35">
      <c r="A688" s="2">
        <v>42260</v>
      </c>
      <c r="B688" s="93" t="s">
        <v>105</v>
      </c>
      <c r="C688" t="s">
        <v>8</v>
      </c>
      <c r="D688" t="s">
        <v>60</v>
      </c>
      <c r="E688" t="s">
        <v>10</v>
      </c>
      <c r="F688" s="12" t="s">
        <v>105</v>
      </c>
      <c r="G688" s="4" t="s">
        <v>1213</v>
      </c>
    </row>
    <row r="689" spans="1:7" x14ac:dyDescent="0.35">
      <c r="A689" s="2">
        <v>42260</v>
      </c>
      <c r="B689" s="93" t="s">
        <v>105</v>
      </c>
      <c r="C689" t="s">
        <v>8</v>
      </c>
      <c r="D689" t="s">
        <v>60</v>
      </c>
      <c r="E689" t="s">
        <v>10</v>
      </c>
      <c r="F689" s="12" t="s">
        <v>105</v>
      </c>
      <c r="G689" s="4" t="s">
        <v>1214</v>
      </c>
    </row>
    <row r="690" spans="1:7" x14ac:dyDescent="0.35">
      <c r="A690" s="2">
        <v>42260</v>
      </c>
      <c r="B690" s="93" t="s">
        <v>105</v>
      </c>
      <c r="C690" t="s">
        <v>8</v>
      </c>
      <c r="D690" t="s">
        <v>69</v>
      </c>
      <c r="E690" t="s">
        <v>10</v>
      </c>
      <c r="F690" s="12" t="s">
        <v>105</v>
      </c>
      <c r="G690" s="4" t="s">
        <v>1215</v>
      </c>
    </row>
    <row r="691" spans="1:7" x14ac:dyDescent="0.35">
      <c r="A691" s="2">
        <v>42260</v>
      </c>
      <c r="B691" s="93" t="s">
        <v>105</v>
      </c>
      <c r="C691" t="s">
        <v>8</v>
      </c>
      <c r="D691" t="s">
        <v>69</v>
      </c>
      <c r="E691" t="s">
        <v>10</v>
      </c>
      <c r="F691" s="12" t="s">
        <v>105</v>
      </c>
      <c r="G691" s="4" t="s">
        <v>1216</v>
      </c>
    </row>
    <row r="692" spans="1:7" x14ac:dyDescent="0.35">
      <c r="A692" s="2">
        <v>42260</v>
      </c>
      <c r="B692" s="93" t="s">
        <v>105</v>
      </c>
      <c r="C692" t="s">
        <v>8</v>
      </c>
      <c r="D692" t="s">
        <v>69</v>
      </c>
      <c r="E692" t="s">
        <v>10</v>
      </c>
      <c r="F692" s="12" t="s">
        <v>105</v>
      </c>
      <c r="G692" s="4" t="s">
        <v>1217</v>
      </c>
    </row>
    <row r="693" spans="1:7" x14ac:dyDescent="0.35">
      <c r="A693" s="2">
        <v>42260</v>
      </c>
      <c r="B693" s="93" t="s">
        <v>105</v>
      </c>
      <c r="C693" t="s">
        <v>8</v>
      </c>
      <c r="D693" t="s">
        <v>9</v>
      </c>
      <c r="E693" t="s">
        <v>10</v>
      </c>
      <c r="F693" s="12" t="s">
        <v>105</v>
      </c>
      <c r="G693" s="4" t="s">
        <v>1218</v>
      </c>
    </row>
    <row r="694" spans="1:7" x14ac:dyDescent="0.35">
      <c r="A694" s="2">
        <v>42260</v>
      </c>
      <c r="B694" s="93" t="s">
        <v>105</v>
      </c>
      <c r="C694" t="s">
        <v>8</v>
      </c>
      <c r="D694" t="s">
        <v>9</v>
      </c>
      <c r="E694" t="s">
        <v>10</v>
      </c>
      <c r="F694" s="12" t="s">
        <v>105</v>
      </c>
      <c r="G694" s="4" t="s">
        <v>1219</v>
      </c>
    </row>
    <row r="695" spans="1:7" x14ac:dyDescent="0.35">
      <c r="A695" s="2">
        <v>42260</v>
      </c>
      <c r="B695" s="93" t="s">
        <v>105</v>
      </c>
      <c r="C695" t="s">
        <v>8</v>
      </c>
      <c r="D695" t="s">
        <v>9</v>
      </c>
      <c r="E695" t="s">
        <v>10</v>
      </c>
      <c r="F695" s="12" t="s">
        <v>105</v>
      </c>
      <c r="G695" s="4" t="s">
        <v>1220</v>
      </c>
    </row>
    <row r="696" spans="1:7" x14ac:dyDescent="0.35">
      <c r="A696" s="2">
        <v>42260</v>
      </c>
      <c r="B696" s="93" t="s">
        <v>105</v>
      </c>
      <c r="C696" t="s">
        <v>8</v>
      </c>
      <c r="D696" t="s">
        <v>14</v>
      </c>
      <c r="E696" t="s">
        <v>10</v>
      </c>
      <c r="F696" s="12" t="s">
        <v>105</v>
      </c>
      <c r="G696" s="4" t="s">
        <v>1221</v>
      </c>
    </row>
    <row r="697" spans="1:7" x14ac:dyDescent="0.35">
      <c r="A697" s="2">
        <v>42260</v>
      </c>
      <c r="B697" s="93" t="s">
        <v>105</v>
      </c>
      <c r="C697" t="s">
        <v>8</v>
      </c>
      <c r="D697" t="s">
        <v>14</v>
      </c>
      <c r="E697" t="s">
        <v>10</v>
      </c>
      <c r="F697" s="12" t="s">
        <v>105</v>
      </c>
      <c r="G697" s="4" t="s">
        <v>1222</v>
      </c>
    </row>
    <row r="698" spans="1:7" x14ac:dyDescent="0.35">
      <c r="A698" s="2">
        <v>42260</v>
      </c>
      <c r="B698" s="93" t="s">
        <v>105</v>
      </c>
      <c r="C698" t="s">
        <v>8</v>
      </c>
      <c r="D698" t="s">
        <v>14</v>
      </c>
      <c r="E698" t="s">
        <v>10</v>
      </c>
      <c r="F698" s="12" t="s">
        <v>105</v>
      </c>
      <c r="G698" s="4" t="s">
        <v>1223</v>
      </c>
    </row>
    <row r="699" spans="1:7" x14ac:dyDescent="0.35">
      <c r="A699" s="2">
        <v>42260</v>
      </c>
      <c r="B699" s="93" t="s">
        <v>105</v>
      </c>
      <c r="C699" t="s">
        <v>8</v>
      </c>
      <c r="D699" t="s">
        <v>25</v>
      </c>
      <c r="E699" t="s">
        <v>10</v>
      </c>
      <c r="F699" s="12" t="s">
        <v>105</v>
      </c>
      <c r="G699" s="4" t="s">
        <v>2310</v>
      </c>
    </row>
    <row r="700" spans="1:7" x14ac:dyDescent="0.35">
      <c r="A700" s="2">
        <v>42260</v>
      </c>
      <c r="B700" s="93" t="s">
        <v>105</v>
      </c>
      <c r="C700" t="s">
        <v>8</v>
      </c>
      <c r="D700" t="s">
        <v>25</v>
      </c>
      <c r="E700" t="s">
        <v>10</v>
      </c>
      <c r="F700" s="12" t="s">
        <v>105</v>
      </c>
      <c r="G700" s="4" t="s">
        <v>2311</v>
      </c>
    </row>
    <row r="701" spans="1:7" x14ac:dyDescent="0.35">
      <c r="A701" s="2">
        <v>42260</v>
      </c>
      <c r="B701" s="93" t="s">
        <v>105</v>
      </c>
      <c r="C701" t="s">
        <v>8</v>
      </c>
      <c r="D701" t="s">
        <v>25</v>
      </c>
      <c r="E701" t="s">
        <v>10</v>
      </c>
      <c r="F701" s="12" t="s">
        <v>105</v>
      </c>
      <c r="G701" s="4" t="s">
        <v>2312</v>
      </c>
    </row>
    <row r="702" spans="1:7" x14ac:dyDescent="0.35">
      <c r="A702" s="2">
        <v>42260</v>
      </c>
      <c r="B702" s="93" t="s">
        <v>105</v>
      </c>
      <c r="C702" t="s">
        <v>8</v>
      </c>
      <c r="D702" t="s">
        <v>167</v>
      </c>
      <c r="E702" t="s">
        <v>10</v>
      </c>
      <c r="F702" s="12" t="s">
        <v>105</v>
      </c>
      <c r="G702" s="4" t="s">
        <v>2129</v>
      </c>
    </row>
    <row r="703" spans="1:7" x14ac:dyDescent="0.35">
      <c r="A703" s="2">
        <v>42260</v>
      </c>
      <c r="B703" s="93" t="s">
        <v>105</v>
      </c>
      <c r="C703" t="s">
        <v>8</v>
      </c>
      <c r="D703" t="s">
        <v>167</v>
      </c>
      <c r="E703" t="s">
        <v>10</v>
      </c>
      <c r="F703" s="12" t="s">
        <v>105</v>
      </c>
      <c r="G703" s="4" t="s">
        <v>2130</v>
      </c>
    </row>
    <row r="704" spans="1:7" x14ac:dyDescent="0.35">
      <c r="A704" s="2">
        <v>42260</v>
      </c>
      <c r="B704" s="93" t="s">
        <v>105</v>
      </c>
      <c r="C704" t="s">
        <v>8</v>
      </c>
      <c r="D704" t="s">
        <v>167</v>
      </c>
      <c r="E704" t="s">
        <v>10</v>
      </c>
      <c r="F704" s="12" t="s">
        <v>105</v>
      </c>
      <c r="G704" s="4" t="s">
        <v>2131</v>
      </c>
    </row>
    <row r="705" spans="1:7" x14ac:dyDescent="0.35">
      <c r="A705" s="2">
        <v>42260</v>
      </c>
      <c r="B705" s="93" t="s">
        <v>105</v>
      </c>
      <c r="C705" t="s">
        <v>8</v>
      </c>
      <c r="D705" t="s">
        <v>26</v>
      </c>
      <c r="E705" t="s">
        <v>10</v>
      </c>
      <c r="F705" s="12" t="s">
        <v>105</v>
      </c>
      <c r="G705" s="4" t="s">
        <v>1227</v>
      </c>
    </row>
    <row r="706" spans="1:7" x14ac:dyDescent="0.35">
      <c r="A706" s="2">
        <v>42260</v>
      </c>
      <c r="B706" s="93" t="s">
        <v>105</v>
      </c>
      <c r="C706" t="s">
        <v>8</v>
      </c>
      <c r="D706" t="s">
        <v>26</v>
      </c>
      <c r="E706" t="s">
        <v>10</v>
      </c>
      <c r="F706" s="12" t="s">
        <v>105</v>
      </c>
      <c r="G706" s="4" t="s">
        <v>1228</v>
      </c>
    </row>
    <row r="707" spans="1:7" x14ac:dyDescent="0.35">
      <c r="A707" s="2">
        <v>42260</v>
      </c>
      <c r="B707" s="93" t="s">
        <v>105</v>
      </c>
      <c r="C707" t="s">
        <v>8</v>
      </c>
      <c r="D707" t="s">
        <v>26</v>
      </c>
      <c r="E707" t="s">
        <v>10</v>
      </c>
      <c r="F707" s="12" t="s">
        <v>105</v>
      </c>
      <c r="G707" s="4" t="s">
        <v>1229</v>
      </c>
    </row>
    <row r="708" spans="1:7" x14ac:dyDescent="0.35">
      <c r="A708" s="2">
        <v>42261</v>
      </c>
      <c r="B708" s="4" t="s">
        <v>2015</v>
      </c>
      <c r="C708" t="s">
        <v>8</v>
      </c>
      <c r="D708" t="s">
        <v>26</v>
      </c>
      <c r="E708" t="s">
        <v>10</v>
      </c>
      <c r="F708" s="12" t="s">
        <v>105</v>
      </c>
      <c r="G708" s="4" t="s">
        <v>2132</v>
      </c>
    </row>
    <row r="709" spans="1:7" x14ac:dyDescent="0.35">
      <c r="A709" s="2">
        <v>42261</v>
      </c>
      <c r="B709" s="4" t="s">
        <v>2015</v>
      </c>
      <c r="C709" t="s">
        <v>8</v>
      </c>
      <c r="D709" t="s">
        <v>26</v>
      </c>
      <c r="E709" t="s">
        <v>10</v>
      </c>
      <c r="F709" s="12" t="s">
        <v>105</v>
      </c>
      <c r="G709" s="4" t="s">
        <v>2133</v>
      </c>
    </row>
    <row r="710" spans="1:7" x14ac:dyDescent="0.35">
      <c r="A710" s="2">
        <v>42261</v>
      </c>
      <c r="B710" s="4" t="s">
        <v>2015</v>
      </c>
      <c r="C710" t="s">
        <v>8</v>
      </c>
      <c r="D710" t="s">
        <v>26</v>
      </c>
      <c r="E710" t="s">
        <v>10</v>
      </c>
      <c r="F710" s="12" t="s">
        <v>105</v>
      </c>
      <c r="G710" s="4" t="s">
        <v>2134</v>
      </c>
    </row>
    <row r="711" spans="1:7" x14ac:dyDescent="0.35">
      <c r="A711" s="2">
        <v>42261</v>
      </c>
      <c r="B711" s="4" t="s">
        <v>2016</v>
      </c>
      <c r="C711" t="s">
        <v>8</v>
      </c>
      <c r="D711" t="s">
        <v>69</v>
      </c>
      <c r="E711" t="s">
        <v>10</v>
      </c>
      <c r="F711" s="12" t="s">
        <v>105</v>
      </c>
      <c r="G711" s="4" t="s">
        <v>2135</v>
      </c>
    </row>
    <row r="712" spans="1:7" x14ac:dyDescent="0.35">
      <c r="A712" s="2">
        <v>42261</v>
      </c>
      <c r="B712" s="4" t="s">
        <v>2017</v>
      </c>
      <c r="C712" t="s">
        <v>8</v>
      </c>
      <c r="D712" t="s">
        <v>64</v>
      </c>
      <c r="E712" t="s">
        <v>10</v>
      </c>
      <c r="F712" s="12" t="s">
        <v>105</v>
      </c>
      <c r="G712" s="4" t="s">
        <v>2136</v>
      </c>
    </row>
    <row r="713" spans="1:7" x14ac:dyDescent="0.35">
      <c r="A713" s="2">
        <v>42261</v>
      </c>
      <c r="B713" s="4" t="s">
        <v>2018</v>
      </c>
      <c r="C713" t="s">
        <v>8</v>
      </c>
      <c r="D713" t="s">
        <v>60</v>
      </c>
      <c r="E713" t="s">
        <v>10</v>
      </c>
      <c r="F713" s="12" t="s">
        <v>105</v>
      </c>
      <c r="G713" s="4" t="s">
        <v>2137</v>
      </c>
    </row>
    <row r="714" spans="1:7" x14ac:dyDescent="0.35">
      <c r="A714" s="2">
        <v>42261</v>
      </c>
      <c r="B714" s="4" t="s">
        <v>2018</v>
      </c>
      <c r="C714" t="s">
        <v>8</v>
      </c>
      <c r="D714" t="s">
        <v>60</v>
      </c>
      <c r="E714" t="s">
        <v>10</v>
      </c>
      <c r="F714" s="12" t="s">
        <v>105</v>
      </c>
      <c r="G714" s="4" t="s">
        <v>2138</v>
      </c>
    </row>
    <row r="715" spans="1:7" x14ac:dyDescent="0.35">
      <c r="A715" s="2">
        <v>42261</v>
      </c>
      <c r="B715" s="93">
        <v>0.63263888888888886</v>
      </c>
      <c r="C715" t="s">
        <v>8</v>
      </c>
      <c r="D715" t="s">
        <v>60</v>
      </c>
      <c r="E715" t="s">
        <v>10</v>
      </c>
      <c r="F715" s="12" t="s">
        <v>105</v>
      </c>
      <c r="G715" s="4" t="s">
        <v>2139</v>
      </c>
    </row>
    <row r="716" spans="1:7" x14ac:dyDescent="0.35">
      <c r="A716" s="2">
        <v>42261</v>
      </c>
      <c r="B716" s="93">
        <v>0.63263888888888886</v>
      </c>
      <c r="C716" t="s">
        <v>8</v>
      </c>
      <c r="D716" t="s">
        <v>60</v>
      </c>
      <c r="E716" t="s">
        <v>10</v>
      </c>
      <c r="F716" s="12" t="s">
        <v>105</v>
      </c>
      <c r="G716" s="4" t="s">
        <v>2140</v>
      </c>
    </row>
    <row r="717" spans="1:7" x14ac:dyDescent="0.35">
      <c r="A717" s="63">
        <v>42261</v>
      </c>
      <c r="B717" s="94">
        <v>0.65208333333333335</v>
      </c>
      <c r="C717" s="64" t="s">
        <v>8</v>
      </c>
      <c r="D717" s="64" t="s">
        <v>64</v>
      </c>
      <c r="E717" s="64" t="s">
        <v>10</v>
      </c>
      <c r="F717" s="76" t="s">
        <v>105</v>
      </c>
      <c r="G717" s="62" t="s">
        <v>2143</v>
      </c>
    </row>
    <row r="718" spans="1:7" x14ac:dyDescent="0.35">
      <c r="A718" s="63">
        <v>42261</v>
      </c>
      <c r="B718" s="94">
        <v>0.65208333333333335</v>
      </c>
      <c r="C718" s="64" t="s">
        <v>8</v>
      </c>
      <c r="D718" s="64" t="s">
        <v>64</v>
      </c>
      <c r="E718" s="64" t="s">
        <v>10</v>
      </c>
      <c r="F718" s="76" t="s">
        <v>105</v>
      </c>
      <c r="G718" s="62" t="s">
        <v>2144</v>
      </c>
    </row>
    <row r="719" spans="1:7" x14ac:dyDescent="0.35">
      <c r="A719" s="63">
        <v>42261</v>
      </c>
      <c r="B719" s="94">
        <v>0.65208333333333335</v>
      </c>
      <c r="C719" s="64" t="s">
        <v>8</v>
      </c>
      <c r="D719" s="64" t="s">
        <v>64</v>
      </c>
      <c r="E719" s="64" t="s">
        <v>10</v>
      </c>
      <c r="F719" s="76" t="s">
        <v>105</v>
      </c>
      <c r="G719" s="62" t="s">
        <v>2145</v>
      </c>
    </row>
    <row r="720" spans="1:7" x14ac:dyDescent="0.35">
      <c r="A720" s="2">
        <v>42261</v>
      </c>
      <c r="B720" s="93">
        <v>0.66180555555555554</v>
      </c>
      <c r="C720" t="s">
        <v>8</v>
      </c>
      <c r="D720" t="s">
        <v>69</v>
      </c>
      <c r="E720" t="s">
        <v>10</v>
      </c>
      <c r="F720" s="12" t="s">
        <v>105</v>
      </c>
      <c r="G720" s="4" t="s">
        <v>2141</v>
      </c>
    </row>
    <row r="721" spans="1:7" x14ac:dyDescent="0.35">
      <c r="A721" s="2">
        <v>42261</v>
      </c>
      <c r="B721" s="93">
        <v>0.66180555555555554</v>
      </c>
      <c r="C721" t="s">
        <v>8</v>
      </c>
      <c r="D721" t="s">
        <v>69</v>
      </c>
      <c r="E721" t="s">
        <v>10</v>
      </c>
      <c r="F721" s="12" t="s">
        <v>105</v>
      </c>
      <c r="G721" s="4" t="s">
        <v>2142</v>
      </c>
    </row>
    <row r="722" spans="1:7" x14ac:dyDescent="0.35">
      <c r="A722" s="2">
        <v>42261</v>
      </c>
      <c r="B722" s="93">
        <v>0.6777777777777777</v>
      </c>
      <c r="C722" t="s">
        <v>8</v>
      </c>
      <c r="D722" t="s">
        <v>26</v>
      </c>
      <c r="E722" t="s">
        <v>10</v>
      </c>
      <c r="F722" s="12" t="s">
        <v>105</v>
      </c>
      <c r="G722" s="4" t="s">
        <v>2146</v>
      </c>
    </row>
    <row r="723" spans="1:7" x14ac:dyDescent="0.35">
      <c r="A723" s="2">
        <v>42261</v>
      </c>
      <c r="B723" s="93">
        <v>0.6777777777777777</v>
      </c>
      <c r="C723" t="s">
        <v>8</v>
      </c>
      <c r="D723" t="s">
        <v>26</v>
      </c>
      <c r="E723" t="s">
        <v>10</v>
      </c>
      <c r="F723" s="12" t="s">
        <v>105</v>
      </c>
      <c r="G723" s="4" t="s">
        <v>2147</v>
      </c>
    </row>
    <row r="724" spans="1:7" x14ac:dyDescent="0.35">
      <c r="A724" s="2">
        <v>42261</v>
      </c>
      <c r="B724" s="93">
        <v>0.6777777777777777</v>
      </c>
      <c r="C724" t="s">
        <v>8</v>
      </c>
      <c r="D724" t="s">
        <v>26</v>
      </c>
      <c r="E724" t="s">
        <v>10</v>
      </c>
      <c r="F724" s="12" t="s">
        <v>105</v>
      </c>
      <c r="G724" s="4" t="s">
        <v>2148</v>
      </c>
    </row>
    <row r="725" spans="1:7" x14ac:dyDescent="0.35">
      <c r="A725" s="2">
        <v>42261</v>
      </c>
      <c r="B725" s="4" t="s">
        <v>2019</v>
      </c>
      <c r="C725" t="s">
        <v>8</v>
      </c>
      <c r="D725" t="s">
        <v>9</v>
      </c>
      <c r="E725" t="s">
        <v>10</v>
      </c>
      <c r="F725" s="12" t="s">
        <v>105</v>
      </c>
      <c r="G725" s="4" t="s">
        <v>1241</v>
      </c>
    </row>
    <row r="726" spans="1:7" x14ac:dyDescent="0.35">
      <c r="A726" s="2">
        <v>42261</v>
      </c>
      <c r="B726" s="4" t="s">
        <v>2019</v>
      </c>
      <c r="C726" t="s">
        <v>8</v>
      </c>
      <c r="D726" t="s">
        <v>9</v>
      </c>
      <c r="E726" t="s">
        <v>10</v>
      </c>
      <c r="F726" s="12" t="s">
        <v>105</v>
      </c>
      <c r="G726" s="4" t="s">
        <v>1242</v>
      </c>
    </row>
    <row r="727" spans="1:7" x14ac:dyDescent="0.35">
      <c r="A727" s="2">
        <v>42261</v>
      </c>
      <c r="B727" s="4" t="s">
        <v>2019</v>
      </c>
      <c r="C727" t="s">
        <v>8</v>
      </c>
      <c r="D727" t="s">
        <v>9</v>
      </c>
      <c r="E727" t="s">
        <v>10</v>
      </c>
      <c r="F727" s="12" t="s">
        <v>105</v>
      </c>
      <c r="G727" s="4" t="s">
        <v>1243</v>
      </c>
    </row>
    <row r="728" spans="1:7" x14ac:dyDescent="0.35">
      <c r="A728" s="2">
        <v>42261</v>
      </c>
      <c r="B728" s="4" t="s">
        <v>2020</v>
      </c>
      <c r="C728" t="s">
        <v>8</v>
      </c>
      <c r="D728" t="s">
        <v>18</v>
      </c>
      <c r="E728" t="s">
        <v>10</v>
      </c>
      <c r="F728" s="12" t="s">
        <v>105</v>
      </c>
      <c r="G728" s="4" t="s">
        <v>1244</v>
      </c>
    </row>
    <row r="729" spans="1:7" x14ac:dyDescent="0.35">
      <c r="A729" s="2">
        <v>42261</v>
      </c>
      <c r="B729" s="4" t="s">
        <v>2020</v>
      </c>
      <c r="C729" t="s">
        <v>8</v>
      </c>
      <c r="D729" t="s">
        <v>18</v>
      </c>
      <c r="E729" t="s">
        <v>10</v>
      </c>
      <c r="F729" s="12" t="s">
        <v>105</v>
      </c>
      <c r="G729" s="4" t="s">
        <v>1245</v>
      </c>
    </row>
    <row r="730" spans="1:7" x14ac:dyDescent="0.35">
      <c r="A730" s="2">
        <v>42261</v>
      </c>
      <c r="B730" s="4" t="s">
        <v>2020</v>
      </c>
      <c r="C730" t="s">
        <v>8</v>
      </c>
      <c r="D730" t="s">
        <v>18</v>
      </c>
      <c r="E730" t="s">
        <v>10</v>
      </c>
      <c r="F730" s="12" t="s">
        <v>105</v>
      </c>
      <c r="G730" s="4" t="s">
        <v>1246</v>
      </c>
    </row>
    <row r="731" spans="1:7" x14ac:dyDescent="0.35">
      <c r="A731" s="2">
        <v>42261</v>
      </c>
      <c r="B731" s="4" t="s">
        <v>2021</v>
      </c>
      <c r="C731" t="s">
        <v>8</v>
      </c>
      <c r="D731" t="s">
        <v>25</v>
      </c>
      <c r="E731" t="s">
        <v>10</v>
      </c>
      <c r="F731" s="12" t="s">
        <v>105</v>
      </c>
      <c r="G731" s="4" t="s">
        <v>1247</v>
      </c>
    </row>
    <row r="732" spans="1:7" x14ac:dyDescent="0.35">
      <c r="A732" s="2">
        <v>42261</v>
      </c>
      <c r="B732" s="4" t="s">
        <v>2021</v>
      </c>
      <c r="C732" t="s">
        <v>8</v>
      </c>
      <c r="D732" t="s">
        <v>25</v>
      </c>
      <c r="E732" t="s">
        <v>10</v>
      </c>
      <c r="F732" s="12" t="s">
        <v>105</v>
      </c>
      <c r="G732" s="4" t="s">
        <v>1248</v>
      </c>
    </row>
    <row r="733" spans="1:7" x14ac:dyDescent="0.35">
      <c r="A733" s="2">
        <v>42261</v>
      </c>
      <c r="B733" s="4" t="s">
        <v>2022</v>
      </c>
      <c r="C733" t="s">
        <v>8</v>
      </c>
      <c r="D733" t="s">
        <v>167</v>
      </c>
      <c r="E733" t="s">
        <v>10</v>
      </c>
      <c r="F733" s="12" t="s">
        <v>105</v>
      </c>
      <c r="G733" s="4" t="s">
        <v>1249</v>
      </c>
    </row>
    <row r="734" spans="1:7" x14ac:dyDescent="0.35">
      <c r="A734" s="2">
        <v>42261</v>
      </c>
      <c r="B734" s="4" t="s">
        <v>2022</v>
      </c>
      <c r="C734" t="s">
        <v>8</v>
      </c>
      <c r="D734" t="s">
        <v>167</v>
      </c>
      <c r="E734" t="s">
        <v>10</v>
      </c>
      <c r="F734" s="12" t="s">
        <v>105</v>
      </c>
      <c r="G734" s="4" t="s">
        <v>1250</v>
      </c>
    </row>
    <row r="735" spans="1:7" x14ac:dyDescent="0.35">
      <c r="A735" s="2">
        <v>42261</v>
      </c>
      <c r="B735" s="4" t="s">
        <v>2022</v>
      </c>
      <c r="C735" t="s">
        <v>8</v>
      </c>
      <c r="D735" t="s">
        <v>167</v>
      </c>
      <c r="E735" t="s">
        <v>10</v>
      </c>
      <c r="F735" s="12" t="s">
        <v>105</v>
      </c>
      <c r="G735" s="4" t="s">
        <v>1251</v>
      </c>
    </row>
    <row r="736" spans="1:7" x14ac:dyDescent="0.35">
      <c r="A736" s="2">
        <v>42261</v>
      </c>
      <c r="B736" s="93">
        <v>0.42430555555555555</v>
      </c>
      <c r="C736" t="s">
        <v>8</v>
      </c>
      <c r="D736" t="s">
        <v>14</v>
      </c>
      <c r="E736" t="s">
        <v>10</v>
      </c>
      <c r="F736" s="12" t="s">
        <v>105</v>
      </c>
      <c r="G736" s="4" t="s">
        <v>1252</v>
      </c>
    </row>
    <row r="737" spans="1:7" x14ac:dyDescent="0.35">
      <c r="A737" s="2">
        <v>42261</v>
      </c>
      <c r="B737" s="93">
        <v>0.42430555555555555</v>
      </c>
      <c r="C737" t="s">
        <v>8</v>
      </c>
      <c r="D737" t="s">
        <v>14</v>
      </c>
      <c r="E737" t="s">
        <v>10</v>
      </c>
      <c r="F737" s="12" t="s">
        <v>105</v>
      </c>
      <c r="G737" s="4" t="s">
        <v>1253</v>
      </c>
    </row>
    <row r="738" spans="1:7" x14ac:dyDescent="0.35">
      <c r="A738" s="2">
        <v>42261</v>
      </c>
      <c r="B738" s="93">
        <v>0.42430555555555555</v>
      </c>
      <c r="C738" t="s">
        <v>8</v>
      </c>
      <c r="D738" t="s">
        <v>14</v>
      </c>
      <c r="E738" t="s">
        <v>10</v>
      </c>
      <c r="F738" s="12" t="s">
        <v>105</v>
      </c>
      <c r="G738" s="4" t="s">
        <v>348</v>
      </c>
    </row>
    <row r="739" spans="1:7" x14ac:dyDescent="0.35">
      <c r="A739" s="2">
        <v>42261</v>
      </c>
      <c r="B739" s="93">
        <v>0.51666666666666672</v>
      </c>
      <c r="C739" t="s">
        <v>8</v>
      </c>
      <c r="D739" t="s">
        <v>9</v>
      </c>
      <c r="E739" t="s">
        <v>10</v>
      </c>
      <c r="F739" s="12" t="s">
        <v>105</v>
      </c>
      <c r="G739" s="4" t="s">
        <v>1254</v>
      </c>
    </row>
    <row r="740" spans="1:7" x14ac:dyDescent="0.35">
      <c r="A740" s="2">
        <v>42261</v>
      </c>
      <c r="B740" s="93">
        <v>0.51666666666666672</v>
      </c>
      <c r="C740" t="s">
        <v>8</v>
      </c>
      <c r="D740" t="s">
        <v>9</v>
      </c>
      <c r="E740" t="s">
        <v>10</v>
      </c>
      <c r="F740" s="12" t="s">
        <v>105</v>
      </c>
      <c r="G740" s="4" t="s">
        <v>1255</v>
      </c>
    </row>
    <row r="741" spans="1:7" x14ac:dyDescent="0.35">
      <c r="A741" s="2">
        <v>42261</v>
      </c>
      <c r="B741" s="93">
        <v>0.51666666666666672</v>
      </c>
      <c r="C741" t="s">
        <v>8</v>
      </c>
      <c r="D741" t="s">
        <v>9</v>
      </c>
      <c r="E741" t="s">
        <v>10</v>
      </c>
      <c r="F741" s="12" t="s">
        <v>105</v>
      </c>
      <c r="G741" s="4" t="s">
        <v>1256</v>
      </c>
    </row>
    <row r="742" spans="1:7" x14ac:dyDescent="0.35">
      <c r="A742" s="2">
        <v>42261</v>
      </c>
      <c r="B742" s="93">
        <v>0.52847222222222223</v>
      </c>
      <c r="C742" t="s">
        <v>8</v>
      </c>
      <c r="D742" t="s">
        <v>14</v>
      </c>
      <c r="E742" t="s">
        <v>10</v>
      </c>
      <c r="F742" s="12" t="s">
        <v>105</v>
      </c>
      <c r="G742" s="4" t="s">
        <v>1257</v>
      </c>
    </row>
    <row r="743" spans="1:7" x14ac:dyDescent="0.35">
      <c r="A743" s="2">
        <v>42261</v>
      </c>
      <c r="B743" s="93">
        <v>0.52847222222222223</v>
      </c>
      <c r="C743" t="s">
        <v>8</v>
      </c>
      <c r="D743" t="s">
        <v>14</v>
      </c>
      <c r="E743" t="s">
        <v>10</v>
      </c>
      <c r="F743" s="12" t="s">
        <v>105</v>
      </c>
      <c r="G743" s="4" t="s">
        <v>1258</v>
      </c>
    </row>
    <row r="744" spans="1:7" x14ac:dyDescent="0.35">
      <c r="A744" s="2">
        <v>42261</v>
      </c>
      <c r="B744" s="93">
        <v>0.52847222222222223</v>
      </c>
      <c r="C744" t="s">
        <v>8</v>
      </c>
      <c r="D744" t="s">
        <v>14</v>
      </c>
      <c r="E744" t="s">
        <v>10</v>
      </c>
      <c r="F744" s="12" t="s">
        <v>105</v>
      </c>
      <c r="G744" s="4" t="s">
        <v>1259</v>
      </c>
    </row>
    <row r="745" spans="1:7" x14ac:dyDescent="0.35">
      <c r="A745" s="2">
        <v>42261</v>
      </c>
      <c r="B745" s="93">
        <v>0.53819444444444442</v>
      </c>
      <c r="C745" t="s">
        <v>8</v>
      </c>
      <c r="D745" t="s">
        <v>18</v>
      </c>
      <c r="E745" t="s">
        <v>10</v>
      </c>
      <c r="F745" s="12" t="s">
        <v>105</v>
      </c>
      <c r="G745" s="4" t="s">
        <v>1260</v>
      </c>
    </row>
    <row r="746" spans="1:7" x14ac:dyDescent="0.35">
      <c r="A746" s="2">
        <v>42261</v>
      </c>
      <c r="B746" s="93">
        <v>0.53819444444444442</v>
      </c>
      <c r="C746" t="s">
        <v>8</v>
      </c>
      <c r="D746" t="s">
        <v>18</v>
      </c>
      <c r="E746" t="s">
        <v>10</v>
      </c>
      <c r="F746" s="12" t="s">
        <v>105</v>
      </c>
      <c r="G746" s="4" t="s">
        <v>1261</v>
      </c>
    </row>
    <row r="747" spans="1:7" x14ac:dyDescent="0.35">
      <c r="A747" s="2">
        <v>42261</v>
      </c>
      <c r="B747" s="93">
        <v>0.53819444444444442</v>
      </c>
      <c r="C747" t="s">
        <v>8</v>
      </c>
      <c r="D747" t="s">
        <v>18</v>
      </c>
      <c r="E747" t="s">
        <v>10</v>
      </c>
      <c r="F747" s="12" t="s">
        <v>105</v>
      </c>
      <c r="G747" s="4" t="s">
        <v>1262</v>
      </c>
    </row>
    <row r="748" spans="1:7" x14ac:dyDescent="0.35">
      <c r="A748" s="2">
        <v>42261</v>
      </c>
      <c r="B748" s="93">
        <v>0.56111111111111112</v>
      </c>
      <c r="C748" t="s">
        <v>8</v>
      </c>
      <c r="D748" t="s">
        <v>167</v>
      </c>
      <c r="E748" t="s">
        <v>10</v>
      </c>
      <c r="F748" s="12" t="s">
        <v>105</v>
      </c>
      <c r="G748" s="4" t="s">
        <v>1263</v>
      </c>
    </row>
    <row r="749" spans="1:7" x14ac:dyDescent="0.35">
      <c r="A749" s="2">
        <v>42261</v>
      </c>
      <c r="B749" s="93">
        <v>0.56111111111111112</v>
      </c>
      <c r="C749" t="s">
        <v>8</v>
      </c>
      <c r="D749" t="s">
        <v>167</v>
      </c>
      <c r="E749" t="s">
        <v>10</v>
      </c>
      <c r="F749" s="12" t="s">
        <v>105</v>
      </c>
      <c r="G749" s="4" t="s">
        <v>1264</v>
      </c>
    </row>
    <row r="750" spans="1:7" x14ac:dyDescent="0.35">
      <c r="A750" s="2">
        <v>42261</v>
      </c>
      <c r="B750" s="93">
        <v>0.56111111111111112</v>
      </c>
      <c r="C750" t="s">
        <v>8</v>
      </c>
      <c r="D750" t="s">
        <v>167</v>
      </c>
      <c r="E750" t="s">
        <v>10</v>
      </c>
      <c r="F750" s="12" t="s">
        <v>105</v>
      </c>
      <c r="G750" s="4" t="s">
        <v>1265</v>
      </c>
    </row>
    <row r="751" spans="1:7" x14ac:dyDescent="0.35">
      <c r="A751" s="2">
        <v>42261</v>
      </c>
      <c r="B751" s="93">
        <v>0.63194444444444442</v>
      </c>
      <c r="C751" t="s">
        <v>8</v>
      </c>
      <c r="D751" t="s">
        <v>9</v>
      </c>
      <c r="E751" t="s">
        <v>10</v>
      </c>
      <c r="F751" s="12" t="s">
        <v>105</v>
      </c>
      <c r="G751" s="4" t="s">
        <v>1266</v>
      </c>
    </row>
    <row r="752" spans="1:7" x14ac:dyDescent="0.35">
      <c r="A752" s="2">
        <v>42261</v>
      </c>
      <c r="B752" s="93">
        <v>0.63194444444444442</v>
      </c>
      <c r="C752" t="s">
        <v>8</v>
      </c>
      <c r="D752" t="s">
        <v>9</v>
      </c>
      <c r="E752" t="s">
        <v>10</v>
      </c>
      <c r="F752" s="12" t="s">
        <v>105</v>
      </c>
      <c r="G752" s="4" t="s">
        <v>1267</v>
      </c>
    </row>
    <row r="753" spans="1:7" x14ac:dyDescent="0.35">
      <c r="A753" s="2">
        <v>42261</v>
      </c>
      <c r="B753" s="93">
        <v>0.63194444444444442</v>
      </c>
      <c r="C753" t="s">
        <v>8</v>
      </c>
      <c r="D753" t="s">
        <v>9</v>
      </c>
      <c r="E753" t="s">
        <v>10</v>
      </c>
      <c r="F753" s="12" t="s">
        <v>105</v>
      </c>
      <c r="G753" s="4" t="s">
        <v>1268</v>
      </c>
    </row>
    <row r="754" spans="1:7" x14ac:dyDescent="0.35">
      <c r="A754" s="2">
        <v>42261</v>
      </c>
      <c r="B754" s="93">
        <v>0.64444444444444449</v>
      </c>
      <c r="C754" t="s">
        <v>8</v>
      </c>
      <c r="D754" t="s">
        <v>14</v>
      </c>
      <c r="E754" t="s">
        <v>10</v>
      </c>
      <c r="F754" s="12" t="s">
        <v>105</v>
      </c>
      <c r="G754" s="4" t="s">
        <v>1269</v>
      </c>
    </row>
    <row r="755" spans="1:7" x14ac:dyDescent="0.35">
      <c r="A755" s="2">
        <v>42261</v>
      </c>
      <c r="B755" s="93">
        <v>0.64444444444444449</v>
      </c>
      <c r="C755" t="s">
        <v>8</v>
      </c>
      <c r="D755" t="s">
        <v>14</v>
      </c>
      <c r="E755" t="s">
        <v>10</v>
      </c>
      <c r="F755" s="12" t="s">
        <v>105</v>
      </c>
      <c r="G755" s="4" t="s">
        <v>1270</v>
      </c>
    </row>
    <row r="756" spans="1:7" x14ac:dyDescent="0.35">
      <c r="A756" s="2">
        <v>42261</v>
      </c>
      <c r="B756" s="93">
        <v>0.64444444444444449</v>
      </c>
      <c r="C756" t="s">
        <v>8</v>
      </c>
      <c r="D756" t="s">
        <v>14</v>
      </c>
      <c r="E756" t="s">
        <v>10</v>
      </c>
      <c r="F756" s="12" t="s">
        <v>105</v>
      </c>
      <c r="G756" s="4" t="s">
        <v>1271</v>
      </c>
    </row>
    <row r="757" spans="1:7" x14ac:dyDescent="0.35">
      <c r="A757" s="2">
        <v>42261</v>
      </c>
      <c r="B757" s="93">
        <v>0.65138888888888891</v>
      </c>
      <c r="C757" t="s">
        <v>8</v>
      </c>
      <c r="D757" t="s">
        <v>18</v>
      </c>
      <c r="E757" t="s">
        <v>10</v>
      </c>
      <c r="F757" s="12" t="s">
        <v>105</v>
      </c>
      <c r="G757" s="4" t="s">
        <v>1272</v>
      </c>
    </row>
    <row r="758" spans="1:7" x14ac:dyDescent="0.35">
      <c r="A758" s="2">
        <v>42261</v>
      </c>
      <c r="B758" s="93">
        <v>0.65138888888888891</v>
      </c>
      <c r="C758" t="s">
        <v>8</v>
      </c>
      <c r="D758" t="s">
        <v>18</v>
      </c>
      <c r="E758" t="s">
        <v>10</v>
      </c>
      <c r="F758" s="12" t="s">
        <v>105</v>
      </c>
      <c r="G758" s="4" t="s">
        <v>1273</v>
      </c>
    </row>
    <row r="759" spans="1:7" x14ac:dyDescent="0.35">
      <c r="A759" s="2">
        <v>42261</v>
      </c>
      <c r="B759" s="93">
        <v>0.65138888888888891</v>
      </c>
      <c r="C759" t="s">
        <v>8</v>
      </c>
      <c r="D759" t="s">
        <v>18</v>
      </c>
      <c r="E759" t="s">
        <v>10</v>
      </c>
      <c r="F759" s="12" t="s">
        <v>105</v>
      </c>
      <c r="G759" s="4" t="s">
        <v>1274</v>
      </c>
    </row>
    <row r="760" spans="1:7" x14ac:dyDescent="0.35">
      <c r="A760" s="2">
        <v>42261</v>
      </c>
      <c r="B760" s="93">
        <v>0.66388888888888886</v>
      </c>
      <c r="C760" t="s">
        <v>8</v>
      </c>
      <c r="D760" t="s">
        <v>25</v>
      </c>
      <c r="E760" t="s">
        <v>10</v>
      </c>
      <c r="F760" s="12" t="s">
        <v>105</v>
      </c>
      <c r="G760" s="4" t="s">
        <v>1275</v>
      </c>
    </row>
    <row r="761" spans="1:7" x14ac:dyDescent="0.35">
      <c r="A761" s="2">
        <v>42261</v>
      </c>
      <c r="B761" s="93">
        <v>0.66388888888888886</v>
      </c>
      <c r="C761" t="s">
        <v>8</v>
      </c>
      <c r="D761" t="s">
        <v>25</v>
      </c>
      <c r="E761" t="s">
        <v>10</v>
      </c>
      <c r="F761" s="12" t="s">
        <v>105</v>
      </c>
      <c r="G761" s="4" t="s">
        <v>1276</v>
      </c>
    </row>
    <row r="762" spans="1:7" x14ac:dyDescent="0.35">
      <c r="A762" s="2">
        <v>42261</v>
      </c>
      <c r="B762" s="93">
        <v>0.66388888888888886</v>
      </c>
      <c r="C762" t="s">
        <v>8</v>
      </c>
      <c r="D762" t="s">
        <v>25</v>
      </c>
      <c r="E762" t="s">
        <v>10</v>
      </c>
      <c r="F762" s="12" t="s">
        <v>105</v>
      </c>
      <c r="G762" s="4" t="s">
        <v>1277</v>
      </c>
    </row>
    <row r="763" spans="1:7" x14ac:dyDescent="0.35">
      <c r="A763" s="2">
        <v>42261</v>
      </c>
      <c r="B763" s="93">
        <v>0.67152777777777783</v>
      </c>
      <c r="C763" t="s">
        <v>8</v>
      </c>
      <c r="D763" t="s">
        <v>167</v>
      </c>
      <c r="E763" t="s">
        <v>10</v>
      </c>
      <c r="F763" s="12" t="s">
        <v>105</v>
      </c>
      <c r="G763" s="4" t="s">
        <v>1278</v>
      </c>
    </row>
    <row r="764" spans="1:7" x14ac:dyDescent="0.35">
      <c r="A764" s="2">
        <v>42261</v>
      </c>
      <c r="B764" s="93">
        <v>0.67152777777777783</v>
      </c>
      <c r="C764" t="s">
        <v>8</v>
      </c>
      <c r="D764" t="s">
        <v>167</v>
      </c>
      <c r="E764" t="s">
        <v>10</v>
      </c>
      <c r="F764" s="12" t="s">
        <v>105</v>
      </c>
      <c r="G764" s="4" t="s">
        <v>1279</v>
      </c>
    </row>
    <row r="765" spans="1:7" x14ac:dyDescent="0.35">
      <c r="A765" s="2">
        <v>42261</v>
      </c>
      <c r="B765" s="93">
        <v>0.67152777777777783</v>
      </c>
      <c r="C765" t="s">
        <v>8</v>
      </c>
      <c r="D765" t="s">
        <v>167</v>
      </c>
      <c r="E765" t="s">
        <v>10</v>
      </c>
      <c r="F765" s="12" t="s">
        <v>105</v>
      </c>
      <c r="G765" s="4" t="s">
        <v>1280</v>
      </c>
    </row>
    <row r="766" spans="1:7" x14ac:dyDescent="0.35">
      <c r="A766" s="2">
        <v>42262</v>
      </c>
      <c r="B766" s="93">
        <v>0.3611111111111111</v>
      </c>
      <c r="C766" t="s">
        <v>8</v>
      </c>
      <c r="D766" t="s">
        <v>26</v>
      </c>
      <c r="E766" t="s">
        <v>10</v>
      </c>
      <c r="F766" s="12" t="s">
        <v>105</v>
      </c>
      <c r="G766" s="4" t="s">
        <v>2149</v>
      </c>
    </row>
    <row r="767" spans="1:7" x14ac:dyDescent="0.35">
      <c r="A767" s="2">
        <v>42262</v>
      </c>
      <c r="B767" s="93">
        <v>0.3611111111111111</v>
      </c>
      <c r="C767" t="s">
        <v>8</v>
      </c>
      <c r="D767" t="s">
        <v>26</v>
      </c>
      <c r="E767" t="s">
        <v>10</v>
      </c>
      <c r="F767" s="12" t="s">
        <v>105</v>
      </c>
      <c r="G767" s="4" t="s">
        <v>2150</v>
      </c>
    </row>
    <row r="768" spans="1:7" x14ac:dyDescent="0.35">
      <c r="A768" s="2">
        <v>42262</v>
      </c>
      <c r="B768" s="93">
        <v>0.3611111111111111</v>
      </c>
      <c r="C768" t="s">
        <v>8</v>
      </c>
      <c r="D768" t="s">
        <v>26</v>
      </c>
      <c r="E768" t="s">
        <v>10</v>
      </c>
      <c r="F768" s="12" t="s">
        <v>105</v>
      </c>
      <c r="G768" s="4" t="s">
        <v>2151</v>
      </c>
    </row>
    <row r="769" spans="1:7" x14ac:dyDescent="0.35">
      <c r="A769" s="2">
        <v>42262</v>
      </c>
      <c r="B769" s="4" t="s">
        <v>2023</v>
      </c>
      <c r="C769" t="s">
        <v>8</v>
      </c>
      <c r="D769" t="s">
        <v>69</v>
      </c>
      <c r="E769" t="s">
        <v>10</v>
      </c>
      <c r="F769" s="12" t="s">
        <v>105</v>
      </c>
      <c r="G769" s="4" t="s">
        <v>2299</v>
      </c>
    </row>
    <row r="770" spans="1:7" x14ac:dyDescent="0.35">
      <c r="A770" s="2">
        <v>42262</v>
      </c>
      <c r="B770" s="4" t="s">
        <v>2023</v>
      </c>
      <c r="C770" t="s">
        <v>8</v>
      </c>
      <c r="D770" t="s">
        <v>69</v>
      </c>
      <c r="E770" t="s">
        <v>10</v>
      </c>
      <c r="F770" s="12" t="s">
        <v>105</v>
      </c>
      <c r="G770" s="4" t="s">
        <v>2325</v>
      </c>
    </row>
    <row r="771" spans="1:7" x14ac:dyDescent="0.35">
      <c r="A771" s="2">
        <v>42262</v>
      </c>
      <c r="B771" s="4" t="s">
        <v>2023</v>
      </c>
      <c r="C771" t="s">
        <v>8</v>
      </c>
      <c r="D771" t="s">
        <v>69</v>
      </c>
      <c r="E771" t="s">
        <v>10</v>
      </c>
      <c r="F771" s="12" t="s">
        <v>105</v>
      </c>
      <c r="G771" s="4" t="s">
        <v>2326</v>
      </c>
    </row>
    <row r="772" spans="1:7" x14ac:dyDescent="0.35">
      <c r="A772" s="2">
        <v>42262</v>
      </c>
      <c r="B772" s="93">
        <v>0.41180555555555554</v>
      </c>
      <c r="C772" t="s">
        <v>8</v>
      </c>
      <c r="D772" t="s">
        <v>64</v>
      </c>
      <c r="E772" t="s">
        <v>10</v>
      </c>
      <c r="F772" s="12" t="s">
        <v>105</v>
      </c>
      <c r="G772" s="4" t="s">
        <v>2327</v>
      </c>
    </row>
    <row r="773" spans="1:7" x14ac:dyDescent="0.35">
      <c r="A773" s="2">
        <v>42262</v>
      </c>
      <c r="B773" s="93">
        <v>0.41180555555555554</v>
      </c>
      <c r="C773" t="s">
        <v>8</v>
      </c>
      <c r="D773" t="s">
        <v>64</v>
      </c>
      <c r="E773" t="s">
        <v>10</v>
      </c>
      <c r="F773" s="12" t="s">
        <v>105</v>
      </c>
      <c r="G773" s="4" t="s">
        <v>2328</v>
      </c>
    </row>
    <row r="774" spans="1:7" x14ac:dyDescent="0.35">
      <c r="A774" s="2">
        <v>42262</v>
      </c>
      <c r="B774" s="93">
        <v>0.41180555555555554</v>
      </c>
      <c r="C774" t="s">
        <v>8</v>
      </c>
      <c r="D774" t="s">
        <v>64</v>
      </c>
      <c r="E774" t="s">
        <v>10</v>
      </c>
      <c r="F774" s="12" t="s">
        <v>105</v>
      </c>
      <c r="G774" s="4" t="s">
        <v>2329</v>
      </c>
    </row>
    <row r="775" spans="1:7" x14ac:dyDescent="0.35">
      <c r="A775" s="2">
        <v>42262</v>
      </c>
      <c r="B775" s="93">
        <v>0.43263888888888885</v>
      </c>
      <c r="C775" t="s">
        <v>8</v>
      </c>
      <c r="D775" t="s">
        <v>60</v>
      </c>
      <c r="E775" t="s">
        <v>10</v>
      </c>
      <c r="F775" s="12" t="s">
        <v>105</v>
      </c>
      <c r="G775" s="4" t="s">
        <v>2330</v>
      </c>
    </row>
    <row r="776" spans="1:7" x14ac:dyDescent="0.35">
      <c r="A776" s="2">
        <v>42262</v>
      </c>
      <c r="B776" s="93">
        <v>0.43263888888888885</v>
      </c>
      <c r="C776" t="s">
        <v>8</v>
      </c>
      <c r="D776" t="s">
        <v>60</v>
      </c>
      <c r="E776" t="s">
        <v>10</v>
      </c>
      <c r="F776" s="12" t="s">
        <v>105</v>
      </c>
      <c r="G776" s="4" t="s">
        <v>2331</v>
      </c>
    </row>
    <row r="777" spans="1:7" x14ac:dyDescent="0.35">
      <c r="A777" s="2">
        <v>42262</v>
      </c>
      <c r="B777" s="93">
        <v>0.43263888888888885</v>
      </c>
      <c r="C777" t="s">
        <v>8</v>
      </c>
      <c r="D777" t="s">
        <v>60</v>
      </c>
      <c r="E777" t="s">
        <v>10</v>
      </c>
      <c r="F777" s="12" t="s">
        <v>105</v>
      </c>
      <c r="G777" s="4" t="s">
        <v>2332</v>
      </c>
    </row>
    <row r="778" spans="1:7" x14ac:dyDescent="0.35">
      <c r="A778" s="2">
        <v>42262</v>
      </c>
      <c r="B778" s="93">
        <v>0.59375</v>
      </c>
      <c r="C778" t="s">
        <v>8</v>
      </c>
      <c r="D778" t="s">
        <v>69</v>
      </c>
      <c r="E778" t="s">
        <v>10</v>
      </c>
      <c r="F778" s="12" t="s">
        <v>105</v>
      </c>
      <c r="G778" s="4" t="s">
        <v>2333</v>
      </c>
    </row>
    <row r="779" spans="1:7" x14ac:dyDescent="0.35">
      <c r="A779" s="2">
        <v>42262</v>
      </c>
      <c r="B779" s="93">
        <v>0.61111111111111105</v>
      </c>
      <c r="C779" t="s">
        <v>8</v>
      </c>
      <c r="D779" t="s">
        <v>64</v>
      </c>
      <c r="E779" t="s">
        <v>10</v>
      </c>
      <c r="F779" s="12" t="s">
        <v>105</v>
      </c>
      <c r="G779" s="4" t="s">
        <v>2334</v>
      </c>
    </row>
    <row r="780" spans="1:7" x14ac:dyDescent="0.35">
      <c r="A780" s="2">
        <v>42262</v>
      </c>
      <c r="B780" s="93">
        <v>0.62916666666666665</v>
      </c>
      <c r="C780" t="s">
        <v>8</v>
      </c>
      <c r="D780" t="s">
        <v>60</v>
      </c>
      <c r="E780" t="s">
        <v>10</v>
      </c>
      <c r="F780" s="12" t="s">
        <v>105</v>
      </c>
      <c r="G780" s="4" t="s">
        <v>2335</v>
      </c>
    </row>
    <row r="781" spans="1:7" x14ac:dyDescent="0.35">
      <c r="A781" s="2">
        <v>42262</v>
      </c>
      <c r="B781" s="93">
        <v>0.62916666666666665</v>
      </c>
      <c r="C781" t="s">
        <v>8</v>
      </c>
      <c r="D781" t="s">
        <v>60</v>
      </c>
      <c r="E781" t="s">
        <v>10</v>
      </c>
      <c r="F781" s="12" t="s">
        <v>105</v>
      </c>
      <c r="G781" s="4" t="s">
        <v>2336</v>
      </c>
    </row>
    <row r="782" spans="1:7" x14ac:dyDescent="0.35">
      <c r="A782" s="2">
        <v>42262</v>
      </c>
      <c r="B782" s="93">
        <v>0.62916666666666665</v>
      </c>
      <c r="C782" t="s">
        <v>8</v>
      </c>
      <c r="D782" t="s">
        <v>60</v>
      </c>
      <c r="E782" t="s">
        <v>10</v>
      </c>
      <c r="F782" s="12" t="s">
        <v>105</v>
      </c>
      <c r="G782" s="4" t="s">
        <v>2337</v>
      </c>
    </row>
    <row r="783" spans="1:7" x14ac:dyDescent="0.35">
      <c r="A783" s="2">
        <v>42262</v>
      </c>
      <c r="B783" s="4" t="s">
        <v>2024</v>
      </c>
      <c r="C783" t="s">
        <v>8</v>
      </c>
      <c r="D783" t="s">
        <v>9</v>
      </c>
      <c r="E783" t="s">
        <v>10</v>
      </c>
      <c r="F783" s="12" t="s">
        <v>105</v>
      </c>
      <c r="G783" s="4" t="s">
        <v>1298</v>
      </c>
    </row>
    <row r="784" spans="1:7" x14ac:dyDescent="0.35">
      <c r="A784" s="2">
        <v>42262</v>
      </c>
      <c r="B784" s="4" t="s">
        <v>2024</v>
      </c>
      <c r="C784" t="s">
        <v>8</v>
      </c>
      <c r="D784" t="s">
        <v>9</v>
      </c>
      <c r="E784" t="s">
        <v>10</v>
      </c>
      <c r="F784" s="12" t="s">
        <v>105</v>
      </c>
      <c r="G784" s="4" t="s">
        <v>1299</v>
      </c>
    </row>
    <row r="785" spans="1:7" x14ac:dyDescent="0.35">
      <c r="A785" s="2">
        <v>42262</v>
      </c>
      <c r="B785" s="4" t="s">
        <v>2024</v>
      </c>
      <c r="C785" t="s">
        <v>8</v>
      </c>
      <c r="D785" t="s">
        <v>9</v>
      </c>
      <c r="E785" t="s">
        <v>10</v>
      </c>
      <c r="F785" s="12" t="s">
        <v>105</v>
      </c>
      <c r="G785" s="4" t="s">
        <v>1300</v>
      </c>
    </row>
    <row r="786" spans="1:7" x14ac:dyDescent="0.35">
      <c r="A786" s="2">
        <v>42262</v>
      </c>
      <c r="B786" s="4" t="s">
        <v>2025</v>
      </c>
      <c r="C786" t="s">
        <v>8</v>
      </c>
      <c r="D786" t="s">
        <v>14</v>
      </c>
      <c r="E786" t="s">
        <v>10</v>
      </c>
      <c r="F786" s="12" t="s">
        <v>105</v>
      </c>
      <c r="G786" s="4" t="s">
        <v>1301</v>
      </c>
    </row>
    <row r="787" spans="1:7" x14ac:dyDescent="0.35">
      <c r="A787" s="2">
        <v>42262</v>
      </c>
      <c r="B787" s="4" t="s">
        <v>2025</v>
      </c>
      <c r="C787" t="s">
        <v>8</v>
      </c>
      <c r="D787" t="s">
        <v>14</v>
      </c>
      <c r="E787" t="s">
        <v>10</v>
      </c>
      <c r="F787" s="12" t="s">
        <v>105</v>
      </c>
      <c r="G787" s="4" t="s">
        <v>1302</v>
      </c>
    </row>
    <row r="788" spans="1:7" x14ac:dyDescent="0.35">
      <c r="A788" s="2">
        <v>42262</v>
      </c>
      <c r="B788" s="4" t="s">
        <v>2025</v>
      </c>
      <c r="C788" t="s">
        <v>8</v>
      </c>
      <c r="D788" t="s">
        <v>14</v>
      </c>
      <c r="E788" t="s">
        <v>10</v>
      </c>
      <c r="F788" s="12" t="s">
        <v>105</v>
      </c>
      <c r="G788" s="4" t="s">
        <v>1303</v>
      </c>
    </row>
    <row r="789" spans="1:7" x14ac:dyDescent="0.35">
      <c r="A789" s="2">
        <v>42262</v>
      </c>
      <c r="B789" s="93">
        <v>0.4236111111111111</v>
      </c>
      <c r="C789" t="s">
        <v>8</v>
      </c>
      <c r="D789" t="s">
        <v>18</v>
      </c>
      <c r="E789" t="s">
        <v>10</v>
      </c>
      <c r="F789" s="12" t="s">
        <v>105</v>
      </c>
      <c r="G789" s="4" t="s">
        <v>1304</v>
      </c>
    </row>
    <row r="790" spans="1:7" x14ac:dyDescent="0.35">
      <c r="A790" s="2">
        <v>42262</v>
      </c>
      <c r="B790" s="93">
        <v>0.4236111111111111</v>
      </c>
      <c r="C790" t="s">
        <v>8</v>
      </c>
      <c r="D790" t="s">
        <v>18</v>
      </c>
      <c r="E790" t="s">
        <v>10</v>
      </c>
      <c r="F790" s="12" t="s">
        <v>105</v>
      </c>
      <c r="G790" s="4" t="s">
        <v>1305</v>
      </c>
    </row>
    <row r="791" spans="1:7" x14ac:dyDescent="0.35">
      <c r="A791" s="2">
        <v>42262</v>
      </c>
      <c r="B791" s="93">
        <v>0.4236111111111111</v>
      </c>
      <c r="C791" t="s">
        <v>8</v>
      </c>
      <c r="D791" t="s">
        <v>18</v>
      </c>
      <c r="E791" t="s">
        <v>10</v>
      </c>
      <c r="F791" s="12" t="s">
        <v>105</v>
      </c>
      <c r="G791" s="4" t="s">
        <v>1306</v>
      </c>
    </row>
    <row r="792" spans="1:7" x14ac:dyDescent="0.35">
      <c r="A792" s="2">
        <v>42262</v>
      </c>
      <c r="B792" s="93">
        <v>0.44097222222222227</v>
      </c>
      <c r="C792" t="s">
        <v>8</v>
      </c>
      <c r="D792" t="s">
        <v>25</v>
      </c>
      <c r="E792" t="s">
        <v>10</v>
      </c>
      <c r="F792" s="12" t="s">
        <v>105</v>
      </c>
      <c r="G792" s="4" t="s">
        <v>1307</v>
      </c>
    </row>
    <row r="793" spans="1:7" x14ac:dyDescent="0.35">
      <c r="A793" s="2">
        <v>42262</v>
      </c>
      <c r="B793" s="93">
        <v>0.44097222222222227</v>
      </c>
      <c r="C793" t="s">
        <v>8</v>
      </c>
      <c r="D793" t="s">
        <v>25</v>
      </c>
      <c r="E793" t="s">
        <v>10</v>
      </c>
      <c r="F793" s="12" t="s">
        <v>105</v>
      </c>
      <c r="G793" s="4" t="s">
        <v>1308</v>
      </c>
    </row>
    <row r="794" spans="1:7" x14ac:dyDescent="0.35">
      <c r="A794" s="2">
        <v>42262</v>
      </c>
      <c r="B794" s="93">
        <v>0.44097222222222227</v>
      </c>
      <c r="C794" t="s">
        <v>8</v>
      </c>
      <c r="D794" t="s">
        <v>25</v>
      </c>
      <c r="E794" t="s">
        <v>10</v>
      </c>
      <c r="F794" s="12" t="s">
        <v>105</v>
      </c>
      <c r="G794" s="4" t="s">
        <v>1049</v>
      </c>
    </row>
    <row r="795" spans="1:7" x14ac:dyDescent="0.35">
      <c r="A795" s="2">
        <v>42262</v>
      </c>
      <c r="B795" s="93">
        <v>0.45833333333333331</v>
      </c>
      <c r="C795" t="s">
        <v>8</v>
      </c>
      <c r="D795" t="s">
        <v>167</v>
      </c>
      <c r="E795" t="s">
        <v>10</v>
      </c>
      <c r="F795" s="12" t="s">
        <v>105</v>
      </c>
      <c r="G795" s="4" t="s">
        <v>1309</v>
      </c>
    </row>
    <row r="796" spans="1:7" x14ac:dyDescent="0.35">
      <c r="A796" s="2">
        <v>42262</v>
      </c>
      <c r="B796" s="93">
        <v>0.45833333333333331</v>
      </c>
      <c r="C796" t="s">
        <v>8</v>
      </c>
      <c r="D796" t="s">
        <v>167</v>
      </c>
      <c r="E796" t="s">
        <v>10</v>
      </c>
      <c r="F796" s="12" t="s">
        <v>105</v>
      </c>
      <c r="G796" s="4" t="s">
        <v>1310</v>
      </c>
    </row>
    <row r="797" spans="1:7" x14ac:dyDescent="0.35">
      <c r="A797" s="2">
        <v>42262</v>
      </c>
      <c r="B797" s="93">
        <v>0.45833333333333331</v>
      </c>
      <c r="C797" t="s">
        <v>8</v>
      </c>
      <c r="D797" t="s">
        <v>167</v>
      </c>
      <c r="E797" t="s">
        <v>10</v>
      </c>
      <c r="F797" s="12" t="s">
        <v>105</v>
      </c>
      <c r="G797" s="4" t="s">
        <v>2322</v>
      </c>
    </row>
    <row r="798" spans="1:7" x14ac:dyDescent="0.35">
      <c r="A798" s="2">
        <v>42262</v>
      </c>
      <c r="B798" s="93">
        <v>0.60416666666666663</v>
      </c>
      <c r="C798" t="s">
        <v>8</v>
      </c>
      <c r="D798" t="s">
        <v>9</v>
      </c>
      <c r="E798" t="s">
        <v>10</v>
      </c>
      <c r="F798" s="12" t="s">
        <v>105</v>
      </c>
      <c r="G798" s="4" t="s">
        <v>1311</v>
      </c>
    </row>
    <row r="799" spans="1:7" x14ac:dyDescent="0.35">
      <c r="A799" s="2">
        <v>42262</v>
      </c>
      <c r="B799" s="93">
        <v>0.60416666666666663</v>
      </c>
      <c r="C799" t="s">
        <v>8</v>
      </c>
      <c r="D799" t="s">
        <v>9</v>
      </c>
      <c r="E799" t="s">
        <v>10</v>
      </c>
      <c r="F799" s="12" t="s">
        <v>105</v>
      </c>
      <c r="G799" s="4" t="s">
        <v>1312</v>
      </c>
    </row>
    <row r="800" spans="1:7" x14ac:dyDescent="0.35">
      <c r="A800" s="2">
        <v>42262</v>
      </c>
      <c r="B800" s="93">
        <v>0.61458333333333337</v>
      </c>
      <c r="C800" t="s">
        <v>8</v>
      </c>
      <c r="D800" t="s">
        <v>14</v>
      </c>
      <c r="E800" t="s">
        <v>10</v>
      </c>
      <c r="F800" s="12" t="s">
        <v>105</v>
      </c>
      <c r="G800" s="4" t="s">
        <v>2323</v>
      </c>
    </row>
    <row r="801" spans="1:7" x14ac:dyDescent="0.35">
      <c r="A801" s="2">
        <v>42262</v>
      </c>
      <c r="B801" s="93">
        <v>0.61458333333333337</v>
      </c>
      <c r="C801" t="s">
        <v>8</v>
      </c>
      <c r="D801" t="s">
        <v>14</v>
      </c>
      <c r="E801" t="s">
        <v>10</v>
      </c>
      <c r="F801" s="12" t="s">
        <v>105</v>
      </c>
      <c r="G801" s="4" t="s">
        <v>2324</v>
      </c>
    </row>
    <row r="802" spans="1:7" x14ac:dyDescent="0.35">
      <c r="A802" s="2">
        <v>42262</v>
      </c>
      <c r="B802" s="93">
        <v>0.61458333333333337</v>
      </c>
      <c r="C802" t="s">
        <v>8</v>
      </c>
      <c r="D802" t="s">
        <v>14</v>
      </c>
      <c r="E802" t="s">
        <v>10</v>
      </c>
      <c r="F802" s="12" t="s">
        <v>105</v>
      </c>
      <c r="G802" s="4" t="s">
        <v>1880</v>
      </c>
    </row>
    <row r="803" spans="1:7" x14ac:dyDescent="0.35">
      <c r="A803" s="2">
        <v>42262</v>
      </c>
      <c r="B803" s="93">
        <v>0.625</v>
      </c>
      <c r="C803" t="s">
        <v>8</v>
      </c>
      <c r="D803" t="s">
        <v>18</v>
      </c>
      <c r="E803" t="s">
        <v>10</v>
      </c>
      <c r="F803" s="12" t="s">
        <v>105</v>
      </c>
      <c r="G803" s="4" t="s">
        <v>1313</v>
      </c>
    </row>
    <row r="804" spans="1:7" x14ac:dyDescent="0.35">
      <c r="A804" s="2">
        <v>42262</v>
      </c>
      <c r="B804" s="93">
        <v>0.625</v>
      </c>
      <c r="C804" t="s">
        <v>8</v>
      </c>
      <c r="D804" t="s">
        <v>18</v>
      </c>
      <c r="E804" t="s">
        <v>10</v>
      </c>
      <c r="F804" s="12" t="s">
        <v>105</v>
      </c>
      <c r="G804" s="4" t="s">
        <v>1314</v>
      </c>
    </row>
    <row r="805" spans="1:7" x14ac:dyDescent="0.35">
      <c r="A805" s="2">
        <v>42262</v>
      </c>
      <c r="B805" s="93">
        <v>0.625</v>
      </c>
      <c r="C805" t="s">
        <v>8</v>
      </c>
      <c r="D805" t="s">
        <v>18</v>
      </c>
      <c r="E805" t="s">
        <v>10</v>
      </c>
      <c r="F805" s="12" t="s">
        <v>105</v>
      </c>
      <c r="G805" s="4" t="s">
        <v>1315</v>
      </c>
    </row>
    <row r="806" spans="1:7" x14ac:dyDescent="0.35">
      <c r="A806" s="2">
        <v>42262</v>
      </c>
      <c r="B806" s="93">
        <v>0.63541666666666663</v>
      </c>
      <c r="C806" t="s">
        <v>8</v>
      </c>
      <c r="D806" t="s">
        <v>25</v>
      </c>
      <c r="E806" t="s">
        <v>10</v>
      </c>
      <c r="F806" s="12" t="s">
        <v>105</v>
      </c>
      <c r="G806" s="4" t="s">
        <v>1316</v>
      </c>
    </row>
    <row r="807" spans="1:7" x14ac:dyDescent="0.35">
      <c r="A807" s="2">
        <v>42262</v>
      </c>
      <c r="B807" s="93">
        <v>0.64583333333333337</v>
      </c>
      <c r="C807" t="s">
        <v>8</v>
      </c>
      <c r="D807" t="s">
        <v>26</v>
      </c>
      <c r="E807" t="s">
        <v>10</v>
      </c>
      <c r="F807" s="12" t="s">
        <v>105</v>
      </c>
      <c r="G807" s="4" t="s">
        <v>1317</v>
      </c>
    </row>
    <row r="808" spans="1:7" x14ac:dyDescent="0.35">
      <c r="A808" s="2">
        <v>42262</v>
      </c>
      <c r="B808" s="93">
        <v>0.64583333333333337</v>
      </c>
      <c r="C808" t="s">
        <v>8</v>
      </c>
      <c r="D808" t="s">
        <v>26</v>
      </c>
      <c r="E808" t="s">
        <v>10</v>
      </c>
      <c r="F808" s="12" t="s">
        <v>105</v>
      </c>
      <c r="G808" s="4" t="s">
        <v>1318</v>
      </c>
    </row>
    <row r="809" spans="1:7" x14ac:dyDescent="0.35">
      <c r="A809" s="2">
        <v>42262</v>
      </c>
      <c r="B809" s="93">
        <v>0.64583333333333337</v>
      </c>
      <c r="C809" t="s">
        <v>8</v>
      </c>
      <c r="D809" t="s">
        <v>26</v>
      </c>
      <c r="E809" t="s">
        <v>10</v>
      </c>
      <c r="F809" s="12" t="s">
        <v>105</v>
      </c>
      <c r="G809" s="4" t="s">
        <v>1319</v>
      </c>
    </row>
    <row r="810" spans="1:7" x14ac:dyDescent="0.35">
      <c r="A810" s="2">
        <v>42262</v>
      </c>
      <c r="B810" s="93">
        <v>0.65277777777777779</v>
      </c>
      <c r="C810" t="s">
        <v>8</v>
      </c>
      <c r="D810" t="s">
        <v>167</v>
      </c>
      <c r="E810" t="s">
        <v>10</v>
      </c>
      <c r="F810" s="12" t="s">
        <v>105</v>
      </c>
      <c r="G810" s="4" t="s">
        <v>1320</v>
      </c>
    </row>
    <row r="811" spans="1:7" x14ac:dyDescent="0.35">
      <c r="A811" s="2">
        <v>42263</v>
      </c>
      <c r="B811" s="93" t="s">
        <v>105</v>
      </c>
      <c r="C811" t="s">
        <v>8</v>
      </c>
      <c r="D811" t="s">
        <v>60</v>
      </c>
      <c r="E811" t="s">
        <v>10</v>
      </c>
      <c r="F811" s="12" t="s">
        <v>105</v>
      </c>
      <c r="G811" s="4" t="s">
        <v>1321</v>
      </c>
    </row>
    <row r="812" spans="1:7" x14ac:dyDescent="0.35">
      <c r="A812" s="2">
        <v>42263</v>
      </c>
      <c r="B812" s="93" t="s">
        <v>105</v>
      </c>
      <c r="C812" t="s">
        <v>8</v>
      </c>
      <c r="D812" t="s">
        <v>60</v>
      </c>
      <c r="E812" t="s">
        <v>10</v>
      </c>
      <c r="F812" s="12" t="s">
        <v>105</v>
      </c>
      <c r="G812" s="4" t="s">
        <v>1322</v>
      </c>
    </row>
    <row r="813" spans="1:7" x14ac:dyDescent="0.35">
      <c r="A813" s="2">
        <v>42263</v>
      </c>
      <c r="B813" s="93" t="s">
        <v>105</v>
      </c>
      <c r="C813" t="s">
        <v>8</v>
      </c>
      <c r="D813" t="s">
        <v>60</v>
      </c>
      <c r="E813" t="s">
        <v>10</v>
      </c>
      <c r="F813" s="12" t="s">
        <v>105</v>
      </c>
      <c r="G813" s="4" t="s">
        <v>1323</v>
      </c>
    </row>
    <row r="814" spans="1:7" x14ac:dyDescent="0.35">
      <c r="A814" s="2">
        <v>42263</v>
      </c>
      <c r="B814" s="93" t="s">
        <v>105</v>
      </c>
      <c r="C814" t="s">
        <v>8</v>
      </c>
      <c r="D814" t="s">
        <v>64</v>
      </c>
      <c r="E814" t="s">
        <v>10</v>
      </c>
      <c r="F814" s="12" t="s">
        <v>105</v>
      </c>
      <c r="G814" s="4" t="s">
        <v>1324</v>
      </c>
    </row>
    <row r="815" spans="1:7" x14ac:dyDescent="0.35">
      <c r="A815" s="2">
        <v>42263</v>
      </c>
      <c r="B815" s="93" t="s">
        <v>105</v>
      </c>
      <c r="C815" t="s">
        <v>8</v>
      </c>
      <c r="D815" t="s">
        <v>64</v>
      </c>
      <c r="E815" t="s">
        <v>10</v>
      </c>
      <c r="F815" s="12" t="s">
        <v>105</v>
      </c>
      <c r="G815" s="4" t="s">
        <v>1325</v>
      </c>
    </row>
    <row r="816" spans="1:7" x14ac:dyDescent="0.35">
      <c r="A816" s="2">
        <v>42263</v>
      </c>
      <c r="B816" s="93" t="s">
        <v>105</v>
      </c>
      <c r="C816" t="s">
        <v>8</v>
      </c>
      <c r="D816" t="s">
        <v>64</v>
      </c>
      <c r="E816" t="s">
        <v>10</v>
      </c>
      <c r="F816" s="12" t="s">
        <v>105</v>
      </c>
      <c r="G816" s="4" t="s">
        <v>1326</v>
      </c>
    </row>
    <row r="817" spans="1:7" x14ac:dyDescent="0.35">
      <c r="A817" s="2">
        <v>42263</v>
      </c>
      <c r="B817" s="93" t="s">
        <v>105</v>
      </c>
      <c r="C817" t="s">
        <v>8</v>
      </c>
      <c r="D817" t="s">
        <v>69</v>
      </c>
      <c r="E817" t="s">
        <v>10</v>
      </c>
      <c r="F817" s="12" t="s">
        <v>105</v>
      </c>
      <c r="G817" s="4" t="s">
        <v>1327</v>
      </c>
    </row>
    <row r="818" spans="1:7" x14ac:dyDescent="0.35">
      <c r="A818" s="2">
        <v>42263</v>
      </c>
      <c r="B818" s="93" t="s">
        <v>105</v>
      </c>
      <c r="C818" t="s">
        <v>8</v>
      </c>
      <c r="D818" t="s">
        <v>69</v>
      </c>
      <c r="E818" t="s">
        <v>10</v>
      </c>
      <c r="F818" s="12" t="s">
        <v>105</v>
      </c>
      <c r="G818" s="4" t="s">
        <v>1328</v>
      </c>
    </row>
    <row r="819" spans="1:7" x14ac:dyDescent="0.35">
      <c r="A819" s="2">
        <v>42263</v>
      </c>
      <c r="B819" s="93" t="s">
        <v>105</v>
      </c>
      <c r="C819" t="s">
        <v>8</v>
      </c>
      <c r="D819" t="s">
        <v>69</v>
      </c>
      <c r="E819" t="s">
        <v>10</v>
      </c>
      <c r="F819" s="12" t="s">
        <v>105</v>
      </c>
      <c r="G819" s="4" t="s">
        <v>1329</v>
      </c>
    </row>
    <row r="820" spans="1:7" x14ac:dyDescent="0.35">
      <c r="A820" s="2">
        <v>42263</v>
      </c>
      <c r="B820" s="93">
        <v>0.44791666666666669</v>
      </c>
      <c r="C820" t="s">
        <v>8</v>
      </c>
      <c r="D820" t="s">
        <v>26</v>
      </c>
      <c r="E820" t="s">
        <v>10</v>
      </c>
      <c r="F820" s="12" t="s">
        <v>105</v>
      </c>
      <c r="G820" s="4" t="s">
        <v>1330</v>
      </c>
    </row>
    <row r="821" spans="1:7" x14ac:dyDescent="0.35">
      <c r="A821" s="2">
        <v>42263</v>
      </c>
      <c r="B821" s="93">
        <v>0.44791666666666669</v>
      </c>
      <c r="C821" t="s">
        <v>8</v>
      </c>
      <c r="D821" t="s">
        <v>26</v>
      </c>
      <c r="E821" t="s">
        <v>10</v>
      </c>
      <c r="F821" s="12" t="s">
        <v>105</v>
      </c>
      <c r="G821" s="4" t="s">
        <v>1331</v>
      </c>
    </row>
    <row r="822" spans="1:7" x14ac:dyDescent="0.35">
      <c r="A822" s="2">
        <v>42263</v>
      </c>
      <c r="B822" s="93">
        <v>0.44791666666666669</v>
      </c>
      <c r="C822" t="s">
        <v>8</v>
      </c>
      <c r="D822" t="s">
        <v>26</v>
      </c>
      <c r="E822" t="s">
        <v>10</v>
      </c>
      <c r="F822" s="12" t="s">
        <v>105</v>
      </c>
      <c r="G822" s="4" t="s">
        <v>1332</v>
      </c>
    </row>
    <row r="823" spans="1:7" x14ac:dyDescent="0.35">
      <c r="A823" s="2">
        <v>42263</v>
      </c>
      <c r="B823" s="93">
        <v>0.47430555555555554</v>
      </c>
      <c r="C823" t="s">
        <v>8</v>
      </c>
      <c r="D823" t="s">
        <v>25</v>
      </c>
      <c r="E823" t="s">
        <v>10</v>
      </c>
      <c r="F823" s="12" t="s">
        <v>105</v>
      </c>
      <c r="G823" s="4" t="s">
        <v>1333</v>
      </c>
    </row>
    <row r="824" spans="1:7" x14ac:dyDescent="0.35">
      <c r="A824" s="2">
        <v>42263</v>
      </c>
      <c r="B824" s="93">
        <v>0.47430555555555554</v>
      </c>
      <c r="C824" t="s">
        <v>8</v>
      </c>
      <c r="D824" t="s">
        <v>25</v>
      </c>
      <c r="E824" t="s">
        <v>10</v>
      </c>
      <c r="F824" s="12" t="s">
        <v>105</v>
      </c>
      <c r="G824" s="4" t="s">
        <v>1334</v>
      </c>
    </row>
    <row r="825" spans="1:7" x14ac:dyDescent="0.35">
      <c r="A825" s="2">
        <v>42263</v>
      </c>
      <c r="B825" s="93">
        <v>0.47430555555555554</v>
      </c>
      <c r="C825" t="s">
        <v>8</v>
      </c>
      <c r="D825" t="s">
        <v>25</v>
      </c>
      <c r="E825" t="s">
        <v>10</v>
      </c>
      <c r="F825" s="12" t="s">
        <v>105</v>
      </c>
      <c r="G825" s="4" t="s">
        <v>1335</v>
      </c>
    </row>
    <row r="826" spans="1:7" x14ac:dyDescent="0.35">
      <c r="A826" s="2">
        <v>42263</v>
      </c>
      <c r="B826" s="93">
        <v>0.4861111111111111</v>
      </c>
      <c r="C826" t="s">
        <v>8</v>
      </c>
      <c r="D826" t="s">
        <v>167</v>
      </c>
      <c r="E826" t="s">
        <v>10</v>
      </c>
      <c r="F826" s="12" t="s">
        <v>105</v>
      </c>
      <c r="G826" s="4" t="s">
        <v>1336</v>
      </c>
    </row>
    <row r="827" spans="1:7" x14ac:dyDescent="0.35">
      <c r="A827" s="2">
        <v>42263</v>
      </c>
      <c r="B827" s="93">
        <v>0.4861111111111111</v>
      </c>
      <c r="C827" t="s">
        <v>8</v>
      </c>
      <c r="D827" t="s">
        <v>167</v>
      </c>
      <c r="E827" t="s">
        <v>10</v>
      </c>
      <c r="F827" s="12" t="s">
        <v>105</v>
      </c>
      <c r="G827" s="4" t="s">
        <v>1337</v>
      </c>
    </row>
    <row r="828" spans="1:7" x14ac:dyDescent="0.35">
      <c r="A828" s="2">
        <v>42263</v>
      </c>
      <c r="B828" s="93">
        <v>0.4861111111111111</v>
      </c>
      <c r="C828" t="s">
        <v>8</v>
      </c>
      <c r="D828" t="s">
        <v>167</v>
      </c>
      <c r="E828" t="s">
        <v>10</v>
      </c>
      <c r="F828" s="12" t="s">
        <v>105</v>
      </c>
      <c r="G828" s="4" t="s">
        <v>1338</v>
      </c>
    </row>
    <row r="829" spans="1:7" x14ac:dyDescent="0.35">
      <c r="A829" s="2">
        <v>42263</v>
      </c>
      <c r="B829" s="93">
        <v>0.5</v>
      </c>
      <c r="C829" t="s">
        <v>8</v>
      </c>
      <c r="D829" t="s">
        <v>18</v>
      </c>
      <c r="E829" t="s">
        <v>10</v>
      </c>
      <c r="F829" s="12" t="s">
        <v>105</v>
      </c>
      <c r="G829" s="4" t="s">
        <v>1339</v>
      </c>
    </row>
    <row r="830" spans="1:7" x14ac:dyDescent="0.35">
      <c r="A830" s="2">
        <v>42263</v>
      </c>
      <c r="B830" s="93">
        <v>0.5</v>
      </c>
      <c r="C830" t="s">
        <v>8</v>
      </c>
      <c r="D830" t="s">
        <v>18</v>
      </c>
      <c r="E830" t="s">
        <v>10</v>
      </c>
      <c r="F830" s="12" t="s">
        <v>105</v>
      </c>
      <c r="G830" s="4" t="s">
        <v>1340</v>
      </c>
    </row>
    <row r="831" spans="1:7" x14ac:dyDescent="0.35">
      <c r="A831" s="2">
        <v>42263</v>
      </c>
      <c r="B831" s="93">
        <v>0.5</v>
      </c>
      <c r="C831" t="s">
        <v>8</v>
      </c>
      <c r="D831" t="s">
        <v>18</v>
      </c>
      <c r="E831" t="s">
        <v>10</v>
      </c>
      <c r="F831" s="12" t="s">
        <v>105</v>
      </c>
      <c r="G831" s="4" t="s">
        <v>1341</v>
      </c>
    </row>
    <row r="832" spans="1:7" x14ac:dyDescent="0.35">
      <c r="A832" s="2">
        <v>42263</v>
      </c>
      <c r="B832" s="93">
        <v>0.51111111111111118</v>
      </c>
      <c r="C832" t="s">
        <v>8</v>
      </c>
      <c r="D832" t="s">
        <v>14</v>
      </c>
      <c r="E832" t="s">
        <v>10</v>
      </c>
      <c r="F832" s="12" t="s">
        <v>105</v>
      </c>
      <c r="G832" s="4" t="s">
        <v>1342</v>
      </c>
    </row>
    <row r="833" spans="1:7" x14ac:dyDescent="0.35">
      <c r="A833" s="2">
        <v>42263</v>
      </c>
      <c r="B833" s="93">
        <v>0.51111111111111118</v>
      </c>
      <c r="C833" t="s">
        <v>8</v>
      </c>
      <c r="D833" t="s">
        <v>14</v>
      </c>
      <c r="E833" t="s">
        <v>10</v>
      </c>
      <c r="F833" s="12" t="s">
        <v>105</v>
      </c>
      <c r="G833" s="4" t="s">
        <v>1343</v>
      </c>
    </row>
    <row r="834" spans="1:7" x14ac:dyDescent="0.35">
      <c r="A834" s="2">
        <v>42263</v>
      </c>
      <c r="B834" s="93">
        <v>0.51111111111111118</v>
      </c>
      <c r="C834" t="s">
        <v>8</v>
      </c>
      <c r="D834" t="s">
        <v>14</v>
      </c>
      <c r="E834" t="s">
        <v>10</v>
      </c>
      <c r="F834" s="12" t="s">
        <v>105</v>
      </c>
      <c r="G834" s="4" t="s">
        <v>1344</v>
      </c>
    </row>
    <row r="835" spans="1:7" x14ac:dyDescent="0.35">
      <c r="A835" s="2">
        <v>42263</v>
      </c>
      <c r="B835" s="93">
        <v>0.52083333333333337</v>
      </c>
      <c r="C835" t="s">
        <v>8</v>
      </c>
      <c r="D835" t="s">
        <v>9</v>
      </c>
      <c r="E835" t="s">
        <v>10</v>
      </c>
      <c r="F835" s="12" t="s">
        <v>105</v>
      </c>
      <c r="G835" s="4" t="s">
        <v>1345</v>
      </c>
    </row>
    <row r="836" spans="1:7" x14ac:dyDescent="0.35">
      <c r="A836" s="2">
        <v>42263</v>
      </c>
      <c r="B836" s="93">
        <v>0.52083333333333337</v>
      </c>
      <c r="C836" t="s">
        <v>8</v>
      </c>
      <c r="D836" t="s">
        <v>9</v>
      </c>
      <c r="E836" t="s">
        <v>10</v>
      </c>
      <c r="F836" s="12" t="s">
        <v>105</v>
      </c>
      <c r="G836" s="4" t="s">
        <v>1346</v>
      </c>
    </row>
    <row r="837" spans="1:7" x14ac:dyDescent="0.35">
      <c r="A837" s="2">
        <v>42263</v>
      </c>
      <c r="B837" s="93">
        <v>0.52083333333333337</v>
      </c>
      <c r="C837" t="s">
        <v>8</v>
      </c>
      <c r="D837" t="s">
        <v>9</v>
      </c>
      <c r="E837" t="s">
        <v>10</v>
      </c>
      <c r="F837" s="12" t="s">
        <v>105</v>
      </c>
      <c r="G837" s="4" t="s">
        <v>1347</v>
      </c>
    </row>
    <row r="838" spans="1:7" x14ac:dyDescent="0.35">
      <c r="A838" s="2">
        <v>42263</v>
      </c>
      <c r="B838" s="93">
        <v>0.63611111111111118</v>
      </c>
      <c r="C838" t="s">
        <v>8</v>
      </c>
      <c r="D838" t="s">
        <v>25</v>
      </c>
      <c r="E838" t="s">
        <v>10</v>
      </c>
      <c r="F838" s="12" t="s">
        <v>105</v>
      </c>
      <c r="G838" s="4" t="s">
        <v>1224</v>
      </c>
    </row>
    <row r="839" spans="1:7" x14ac:dyDescent="0.35">
      <c r="A839" s="2">
        <v>42263</v>
      </c>
      <c r="B839" s="93">
        <v>0.64583333333333337</v>
      </c>
      <c r="C839" t="s">
        <v>8</v>
      </c>
      <c r="D839" t="s">
        <v>26</v>
      </c>
      <c r="E839" t="s">
        <v>10</v>
      </c>
      <c r="F839" s="12" t="s">
        <v>105</v>
      </c>
      <c r="G839" s="4" t="s">
        <v>1225</v>
      </c>
    </row>
    <row r="840" spans="1:7" x14ac:dyDescent="0.35">
      <c r="A840" s="2">
        <v>42263</v>
      </c>
      <c r="B840" s="93">
        <v>0.64583333333333337</v>
      </c>
      <c r="C840" t="s">
        <v>8</v>
      </c>
      <c r="D840" t="s">
        <v>26</v>
      </c>
      <c r="E840" t="s">
        <v>10</v>
      </c>
      <c r="F840" s="12" t="s">
        <v>105</v>
      </c>
      <c r="G840" s="4" t="s">
        <v>1226</v>
      </c>
    </row>
    <row r="841" spans="1:7" x14ac:dyDescent="0.35">
      <c r="A841" s="2">
        <v>42263</v>
      </c>
      <c r="B841" s="93">
        <v>0.64583333333333337</v>
      </c>
      <c r="C841" t="s">
        <v>8</v>
      </c>
      <c r="D841" t="s">
        <v>26</v>
      </c>
      <c r="E841" t="s">
        <v>10</v>
      </c>
      <c r="F841" s="12" t="s">
        <v>105</v>
      </c>
      <c r="G841" s="4" t="s">
        <v>1227</v>
      </c>
    </row>
    <row r="842" spans="1:7" x14ac:dyDescent="0.35">
      <c r="A842" s="2">
        <v>42263</v>
      </c>
      <c r="B842" s="93">
        <v>0.65277777777777779</v>
      </c>
      <c r="C842" t="s">
        <v>8</v>
      </c>
      <c r="D842" t="s">
        <v>167</v>
      </c>
      <c r="E842" t="s">
        <v>10</v>
      </c>
      <c r="F842" s="12" t="s">
        <v>105</v>
      </c>
      <c r="G842" s="4" t="s">
        <v>1228</v>
      </c>
    </row>
    <row r="843" spans="1:7" x14ac:dyDescent="0.35">
      <c r="A843" s="2">
        <v>42263</v>
      </c>
      <c r="B843" s="93">
        <v>0.65277777777777779</v>
      </c>
      <c r="C843" t="s">
        <v>8</v>
      </c>
      <c r="D843" t="s">
        <v>167</v>
      </c>
      <c r="E843" t="s">
        <v>10</v>
      </c>
      <c r="F843" s="12" t="s">
        <v>105</v>
      </c>
      <c r="G843" s="4" t="s">
        <v>1229</v>
      </c>
    </row>
    <row r="844" spans="1:7" x14ac:dyDescent="0.35">
      <c r="A844" s="2">
        <v>42263</v>
      </c>
      <c r="B844" s="93">
        <v>0.65277777777777779</v>
      </c>
      <c r="C844" t="s">
        <v>8</v>
      </c>
      <c r="D844" t="s">
        <v>167</v>
      </c>
      <c r="E844" t="s">
        <v>10</v>
      </c>
      <c r="F844" s="12" t="s">
        <v>105</v>
      </c>
      <c r="G844" s="4" t="s">
        <v>1230</v>
      </c>
    </row>
    <row r="845" spans="1:7" x14ac:dyDescent="0.35">
      <c r="A845" s="2">
        <v>42263</v>
      </c>
      <c r="B845" s="93">
        <v>0.66666666666666663</v>
      </c>
      <c r="C845" t="s">
        <v>8</v>
      </c>
      <c r="D845" t="s">
        <v>9</v>
      </c>
      <c r="E845" t="s">
        <v>10</v>
      </c>
      <c r="F845" s="12" t="s">
        <v>105</v>
      </c>
      <c r="G845" s="4" t="s">
        <v>1231</v>
      </c>
    </row>
    <row r="846" spans="1:7" x14ac:dyDescent="0.35">
      <c r="A846" s="2">
        <v>42263</v>
      </c>
      <c r="B846" s="93">
        <v>0.66666666666666663</v>
      </c>
      <c r="C846" t="s">
        <v>8</v>
      </c>
      <c r="D846" t="s">
        <v>9</v>
      </c>
      <c r="E846" t="s">
        <v>10</v>
      </c>
      <c r="F846" s="12" t="s">
        <v>105</v>
      </c>
      <c r="G846" s="4" t="s">
        <v>1232</v>
      </c>
    </row>
    <row r="847" spans="1:7" x14ac:dyDescent="0.35">
      <c r="A847" s="2">
        <v>42263</v>
      </c>
      <c r="B847" s="93">
        <v>0.66666666666666663</v>
      </c>
      <c r="C847" t="s">
        <v>8</v>
      </c>
      <c r="D847" t="s">
        <v>9</v>
      </c>
      <c r="E847" t="s">
        <v>10</v>
      </c>
      <c r="F847" s="12" t="s">
        <v>105</v>
      </c>
      <c r="G847" s="4" t="s">
        <v>1233</v>
      </c>
    </row>
    <row r="848" spans="1:7" x14ac:dyDescent="0.35">
      <c r="A848" s="2">
        <v>42263</v>
      </c>
      <c r="B848" s="93">
        <v>0.68055555555555547</v>
      </c>
      <c r="C848" t="s">
        <v>8</v>
      </c>
      <c r="D848" t="s">
        <v>14</v>
      </c>
      <c r="E848" t="s">
        <v>10</v>
      </c>
      <c r="F848" s="12" t="s">
        <v>105</v>
      </c>
      <c r="G848" s="4" t="s">
        <v>1234</v>
      </c>
    </row>
    <row r="849" spans="1:7" x14ac:dyDescent="0.35">
      <c r="A849" s="2">
        <v>42263</v>
      </c>
      <c r="B849" s="93">
        <v>0.68055555555555547</v>
      </c>
      <c r="C849" t="s">
        <v>8</v>
      </c>
      <c r="D849" t="s">
        <v>14</v>
      </c>
      <c r="E849" t="s">
        <v>10</v>
      </c>
      <c r="F849" s="12" t="s">
        <v>105</v>
      </c>
      <c r="G849" s="4" t="s">
        <v>1235</v>
      </c>
    </row>
    <row r="850" spans="1:7" x14ac:dyDescent="0.35">
      <c r="A850" s="2">
        <v>42263</v>
      </c>
      <c r="B850" s="93">
        <v>0.68055555555555547</v>
      </c>
      <c r="C850" t="s">
        <v>8</v>
      </c>
      <c r="D850" t="s">
        <v>14</v>
      </c>
      <c r="E850" t="s">
        <v>10</v>
      </c>
      <c r="F850" s="12" t="s">
        <v>105</v>
      </c>
      <c r="G850" s="4" t="s">
        <v>1348</v>
      </c>
    </row>
    <row r="851" spans="1:7" x14ac:dyDescent="0.35">
      <c r="A851" s="2">
        <v>42263</v>
      </c>
      <c r="B851" s="93">
        <v>0.6875</v>
      </c>
      <c r="C851" t="s">
        <v>8</v>
      </c>
      <c r="D851" t="s">
        <v>18</v>
      </c>
      <c r="E851" t="s">
        <v>10</v>
      </c>
      <c r="F851" s="12" t="s">
        <v>105</v>
      </c>
      <c r="G851" s="4" t="s">
        <v>1349</v>
      </c>
    </row>
    <row r="852" spans="1:7" x14ac:dyDescent="0.35">
      <c r="A852" s="2">
        <v>42263</v>
      </c>
      <c r="B852" s="93">
        <v>0.6875</v>
      </c>
      <c r="C852" t="s">
        <v>8</v>
      </c>
      <c r="D852" t="s">
        <v>18</v>
      </c>
      <c r="E852" t="s">
        <v>10</v>
      </c>
      <c r="F852" s="12" t="s">
        <v>105</v>
      </c>
      <c r="G852" s="4" t="s">
        <v>1350</v>
      </c>
    </row>
    <row r="853" spans="1:7" x14ac:dyDescent="0.35">
      <c r="A853" s="2">
        <v>42263</v>
      </c>
      <c r="B853" s="93">
        <v>0.6875</v>
      </c>
      <c r="C853" t="s">
        <v>8</v>
      </c>
      <c r="D853" t="s">
        <v>18</v>
      </c>
      <c r="E853" t="s">
        <v>10</v>
      </c>
      <c r="F853" s="12" t="s">
        <v>105</v>
      </c>
      <c r="G853" s="4" t="s">
        <v>1236</v>
      </c>
    </row>
    <row r="854" spans="1:7" x14ac:dyDescent="0.35">
      <c r="A854" s="2">
        <v>42264</v>
      </c>
      <c r="B854" s="93" t="s">
        <v>105</v>
      </c>
      <c r="C854" t="s">
        <v>8</v>
      </c>
      <c r="D854" t="s">
        <v>60</v>
      </c>
      <c r="E854" t="s">
        <v>10</v>
      </c>
      <c r="F854" s="12" t="s">
        <v>105</v>
      </c>
      <c r="G854" s="4" t="s">
        <v>1237</v>
      </c>
    </row>
    <row r="855" spans="1:7" x14ac:dyDescent="0.35">
      <c r="A855" s="2">
        <v>42264</v>
      </c>
      <c r="B855" s="93" t="s">
        <v>105</v>
      </c>
      <c r="C855" t="s">
        <v>8</v>
      </c>
      <c r="D855" t="s">
        <v>60</v>
      </c>
      <c r="E855" t="s">
        <v>10</v>
      </c>
      <c r="F855" s="12" t="s">
        <v>105</v>
      </c>
      <c r="G855" s="4" t="s">
        <v>1238</v>
      </c>
    </row>
    <row r="856" spans="1:7" x14ac:dyDescent="0.35">
      <c r="A856" s="2">
        <v>42264</v>
      </c>
      <c r="B856" s="93" t="s">
        <v>105</v>
      </c>
      <c r="C856" t="s">
        <v>8</v>
      </c>
      <c r="D856" t="s">
        <v>60</v>
      </c>
      <c r="E856" t="s">
        <v>10</v>
      </c>
      <c r="F856" s="12" t="s">
        <v>105</v>
      </c>
      <c r="G856" s="4" t="s">
        <v>1239</v>
      </c>
    </row>
    <row r="857" spans="1:7" x14ac:dyDescent="0.35">
      <c r="A857" s="2">
        <v>42264</v>
      </c>
      <c r="B857" s="93" t="s">
        <v>105</v>
      </c>
      <c r="C857" t="s">
        <v>8</v>
      </c>
      <c r="D857" t="s">
        <v>64</v>
      </c>
      <c r="E857" t="s">
        <v>10</v>
      </c>
      <c r="F857" s="12" t="s">
        <v>105</v>
      </c>
      <c r="G857" s="4" t="s">
        <v>1240</v>
      </c>
    </row>
    <row r="858" spans="1:7" x14ac:dyDescent="0.35">
      <c r="A858" s="2">
        <v>42264</v>
      </c>
      <c r="B858" s="93" t="s">
        <v>105</v>
      </c>
      <c r="C858" t="s">
        <v>8</v>
      </c>
      <c r="D858" t="s">
        <v>64</v>
      </c>
      <c r="E858" t="s">
        <v>10</v>
      </c>
      <c r="F858" s="12" t="s">
        <v>105</v>
      </c>
      <c r="G858" s="4" t="s">
        <v>1281</v>
      </c>
    </row>
    <row r="859" spans="1:7" x14ac:dyDescent="0.35">
      <c r="A859" s="2">
        <v>42264</v>
      </c>
      <c r="B859" s="93" t="s">
        <v>105</v>
      </c>
      <c r="C859" t="s">
        <v>8</v>
      </c>
      <c r="D859" t="s">
        <v>64</v>
      </c>
      <c r="E859" t="s">
        <v>10</v>
      </c>
      <c r="F859" s="12" t="s">
        <v>105</v>
      </c>
      <c r="G859" s="4" t="s">
        <v>1282</v>
      </c>
    </row>
    <row r="860" spans="1:7" x14ac:dyDescent="0.35">
      <c r="A860" s="2">
        <v>42264</v>
      </c>
      <c r="B860" s="93" t="s">
        <v>105</v>
      </c>
      <c r="C860" t="s">
        <v>8</v>
      </c>
      <c r="D860" t="s">
        <v>69</v>
      </c>
      <c r="E860" t="s">
        <v>10</v>
      </c>
      <c r="F860" s="12" t="s">
        <v>105</v>
      </c>
      <c r="G860" s="4" t="s">
        <v>1283</v>
      </c>
    </row>
    <row r="861" spans="1:7" x14ac:dyDescent="0.35">
      <c r="A861" s="2">
        <v>42264</v>
      </c>
      <c r="B861" s="93" t="s">
        <v>105</v>
      </c>
      <c r="C861" t="s">
        <v>8</v>
      </c>
      <c r="D861" t="s">
        <v>69</v>
      </c>
      <c r="E861" t="s">
        <v>10</v>
      </c>
      <c r="F861" s="12" t="s">
        <v>105</v>
      </c>
      <c r="G861" s="4" t="s">
        <v>1284</v>
      </c>
    </row>
    <row r="862" spans="1:7" x14ac:dyDescent="0.35">
      <c r="A862" s="2">
        <v>42264</v>
      </c>
      <c r="B862" s="93" t="s">
        <v>105</v>
      </c>
      <c r="C862" t="s">
        <v>8</v>
      </c>
      <c r="D862" t="s">
        <v>69</v>
      </c>
      <c r="E862" t="s">
        <v>10</v>
      </c>
      <c r="F862" s="12" t="s">
        <v>105</v>
      </c>
      <c r="G862" s="4" t="s">
        <v>1285</v>
      </c>
    </row>
    <row r="863" spans="1:7" x14ac:dyDescent="0.35">
      <c r="A863" s="2">
        <v>42264</v>
      </c>
      <c r="B863" s="93" t="s">
        <v>105</v>
      </c>
      <c r="C863" t="s">
        <v>8</v>
      </c>
      <c r="D863" t="s">
        <v>26</v>
      </c>
      <c r="E863" t="s">
        <v>10</v>
      </c>
      <c r="F863" s="12" t="s">
        <v>105</v>
      </c>
      <c r="G863" s="4" t="s">
        <v>1286</v>
      </c>
    </row>
    <row r="864" spans="1:7" x14ac:dyDescent="0.35">
      <c r="A864" s="2">
        <v>42264</v>
      </c>
      <c r="B864" s="93" t="s">
        <v>105</v>
      </c>
      <c r="C864" t="s">
        <v>8</v>
      </c>
      <c r="D864" t="s">
        <v>26</v>
      </c>
      <c r="E864" t="s">
        <v>10</v>
      </c>
      <c r="F864" s="12" t="s">
        <v>105</v>
      </c>
      <c r="G864" s="4" t="s">
        <v>1287</v>
      </c>
    </row>
    <row r="865" spans="1:7" x14ac:dyDescent="0.35">
      <c r="A865" s="2">
        <v>42264</v>
      </c>
      <c r="B865" s="93" t="s">
        <v>105</v>
      </c>
      <c r="C865" t="s">
        <v>8</v>
      </c>
      <c r="D865" t="s">
        <v>26</v>
      </c>
      <c r="E865" t="s">
        <v>10</v>
      </c>
      <c r="F865" s="12" t="s">
        <v>105</v>
      </c>
      <c r="G865" s="4" t="s">
        <v>1288</v>
      </c>
    </row>
    <row r="866" spans="1:7" x14ac:dyDescent="0.35">
      <c r="A866" s="2">
        <v>42264</v>
      </c>
      <c r="B866" s="93" t="s">
        <v>105</v>
      </c>
      <c r="C866" t="s">
        <v>8</v>
      </c>
      <c r="D866" t="s">
        <v>25</v>
      </c>
      <c r="E866" t="s">
        <v>10</v>
      </c>
      <c r="F866" s="12" t="s">
        <v>105</v>
      </c>
      <c r="G866" s="4" t="s">
        <v>1289</v>
      </c>
    </row>
    <row r="867" spans="1:7" x14ac:dyDescent="0.35">
      <c r="A867" s="2">
        <v>42264</v>
      </c>
      <c r="B867" s="93" t="s">
        <v>105</v>
      </c>
      <c r="C867" t="s">
        <v>8</v>
      </c>
      <c r="D867" t="s">
        <v>25</v>
      </c>
      <c r="E867" t="s">
        <v>10</v>
      </c>
      <c r="F867" s="12" t="s">
        <v>105</v>
      </c>
      <c r="G867" s="4" t="s">
        <v>1290</v>
      </c>
    </row>
    <row r="868" spans="1:7" x14ac:dyDescent="0.35">
      <c r="A868" s="2">
        <v>42264</v>
      </c>
      <c r="B868" s="93" t="s">
        <v>105</v>
      </c>
      <c r="C868" t="s">
        <v>8</v>
      </c>
      <c r="D868" t="s">
        <v>25</v>
      </c>
      <c r="E868" t="s">
        <v>10</v>
      </c>
      <c r="F868" s="12" t="s">
        <v>105</v>
      </c>
      <c r="G868" s="4" t="s">
        <v>1291</v>
      </c>
    </row>
    <row r="869" spans="1:7" x14ac:dyDescent="0.35">
      <c r="A869" s="2">
        <v>42264</v>
      </c>
      <c r="B869" s="93" t="s">
        <v>105</v>
      </c>
      <c r="C869" t="s">
        <v>8</v>
      </c>
      <c r="D869" t="s">
        <v>167</v>
      </c>
      <c r="E869" t="s">
        <v>10</v>
      </c>
      <c r="F869" s="12" t="s">
        <v>105</v>
      </c>
      <c r="G869" s="4" t="s">
        <v>1292</v>
      </c>
    </row>
    <row r="870" spans="1:7" x14ac:dyDescent="0.35">
      <c r="A870" s="2">
        <v>42264</v>
      </c>
      <c r="B870" s="93" t="s">
        <v>105</v>
      </c>
      <c r="C870" t="s">
        <v>8</v>
      </c>
      <c r="D870" t="s">
        <v>167</v>
      </c>
      <c r="E870" t="s">
        <v>10</v>
      </c>
      <c r="F870" s="12" t="s">
        <v>105</v>
      </c>
      <c r="G870" s="4" t="s">
        <v>1293</v>
      </c>
    </row>
    <row r="871" spans="1:7" x14ac:dyDescent="0.35">
      <c r="A871" s="2">
        <v>42264</v>
      </c>
      <c r="B871" s="93" t="s">
        <v>105</v>
      </c>
      <c r="C871" t="s">
        <v>8</v>
      </c>
      <c r="D871" t="s">
        <v>167</v>
      </c>
      <c r="E871" t="s">
        <v>10</v>
      </c>
      <c r="F871" s="12" t="s">
        <v>105</v>
      </c>
      <c r="G871" s="4" t="s">
        <v>1294</v>
      </c>
    </row>
    <row r="872" spans="1:7" x14ac:dyDescent="0.35">
      <c r="A872" s="2">
        <v>42264</v>
      </c>
      <c r="B872" s="93" t="s">
        <v>105</v>
      </c>
      <c r="C872" t="s">
        <v>8</v>
      </c>
      <c r="D872" t="s">
        <v>18</v>
      </c>
      <c r="E872" t="s">
        <v>10</v>
      </c>
      <c r="F872" s="12" t="s">
        <v>105</v>
      </c>
      <c r="G872" s="4" t="s">
        <v>1295</v>
      </c>
    </row>
    <row r="873" spans="1:7" x14ac:dyDescent="0.35">
      <c r="A873" s="2">
        <v>42264</v>
      </c>
      <c r="B873" s="93" t="s">
        <v>105</v>
      </c>
      <c r="C873" t="s">
        <v>8</v>
      </c>
      <c r="D873" t="s">
        <v>18</v>
      </c>
      <c r="E873" t="s">
        <v>10</v>
      </c>
      <c r="F873" s="12" t="s">
        <v>105</v>
      </c>
      <c r="G873" s="4" t="s">
        <v>1296</v>
      </c>
    </row>
    <row r="874" spans="1:7" x14ac:dyDescent="0.35">
      <c r="A874" s="2">
        <v>42264</v>
      </c>
      <c r="B874" s="93" t="s">
        <v>105</v>
      </c>
      <c r="C874" t="s">
        <v>8</v>
      </c>
      <c r="D874" t="s">
        <v>18</v>
      </c>
      <c r="E874" t="s">
        <v>10</v>
      </c>
      <c r="F874" s="12" t="s">
        <v>105</v>
      </c>
      <c r="G874" s="4" t="s">
        <v>1297</v>
      </c>
    </row>
    <row r="875" spans="1:7" x14ac:dyDescent="0.35">
      <c r="A875" s="2">
        <v>42264</v>
      </c>
      <c r="B875" s="93" t="s">
        <v>105</v>
      </c>
      <c r="C875" t="s">
        <v>8</v>
      </c>
      <c r="D875" t="s">
        <v>14</v>
      </c>
      <c r="E875" t="s">
        <v>10</v>
      </c>
      <c r="F875" s="12" t="s">
        <v>105</v>
      </c>
      <c r="G875" s="4" t="s">
        <v>1351</v>
      </c>
    </row>
    <row r="876" spans="1:7" x14ac:dyDescent="0.35">
      <c r="A876" s="2">
        <v>42264</v>
      </c>
      <c r="B876" s="93" t="s">
        <v>105</v>
      </c>
      <c r="C876" t="s">
        <v>8</v>
      </c>
      <c r="D876" t="s">
        <v>14</v>
      </c>
      <c r="E876" t="s">
        <v>10</v>
      </c>
      <c r="F876" s="12" t="s">
        <v>105</v>
      </c>
      <c r="G876" s="4" t="s">
        <v>1352</v>
      </c>
    </row>
    <row r="877" spans="1:7" x14ac:dyDescent="0.35">
      <c r="A877" s="2">
        <v>42264</v>
      </c>
      <c r="B877" s="93" t="s">
        <v>105</v>
      </c>
      <c r="C877" t="s">
        <v>8</v>
      </c>
      <c r="D877" t="s">
        <v>14</v>
      </c>
      <c r="E877" t="s">
        <v>10</v>
      </c>
      <c r="F877" s="12" t="s">
        <v>105</v>
      </c>
      <c r="G877" s="4" t="s">
        <v>1353</v>
      </c>
    </row>
    <row r="878" spans="1:7" x14ac:dyDescent="0.35">
      <c r="A878" s="2">
        <v>42264</v>
      </c>
      <c r="B878" s="93" t="s">
        <v>105</v>
      </c>
      <c r="C878" t="s">
        <v>8</v>
      </c>
      <c r="D878" t="s">
        <v>9</v>
      </c>
      <c r="E878" t="s">
        <v>10</v>
      </c>
      <c r="F878" s="12" t="s">
        <v>105</v>
      </c>
      <c r="G878" s="4" t="s">
        <v>1354</v>
      </c>
    </row>
    <row r="879" spans="1:7" x14ac:dyDescent="0.35">
      <c r="A879" s="2">
        <v>42264</v>
      </c>
      <c r="B879" s="93" t="s">
        <v>105</v>
      </c>
      <c r="C879" t="s">
        <v>8</v>
      </c>
      <c r="D879" t="s">
        <v>9</v>
      </c>
      <c r="E879" t="s">
        <v>10</v>
      </c>
      <c r="F879" s="12" t="s">
        <v>105</v>
      </c>
      <c r="G879" s="4" t="s">
        <v>1355</v>
      </c>
    </row>
    <row r="880" spans="1:7" x14ac:dyDescent="0.35">
      <c r="A880" s="2">
        <v>42264</v>
      </c>
      <c r="B880" s="93" t="s">
        <v>105</v>
      </c>
      <c r="C880" t="s">
        <v>8</v>
      </c>
      <c r="D880" t="s">
        <v>9</v>
      </c>
      <c r="E880" t="s">
        <v>10</v>
      </c>
      <c r="F880" s="12" t="s">
        <v>105</v>
      </c>
      <c r="G880" s="4" t="s">
        <v>1356</v>
      </c>
    </row>
    <row r="881" spans="1:7" x14ac:dyDescent="0.35">
      <c r="A881" s="2">
        <v>42270</v>
      </c>
      <c r="B881" s="93" t="s">
        <v>105</v>
      </c>
      <c r="C881" t="s">
        <v>8</v>
      </c>
      <c r="D881" t="s">
        <v>9</v>
      </c>
      <c r="E881" t="s">
        <v>10</v>
      </c>
      <c r="F881" s="12" t="s">
        <v>105</v>
      </c>
      <c r="G881" s="4" t="s">
        <v>1357</v>
      </c>
    </row>
    <row r="882" spans="1:7" x14ac:dyDescent="0.35">
      <c r="A882" s="2">
        <v>42270</v>
      </c>
      <c r="B882" s="93" t="s">
        <v>105</v>
      </c>
      <c r="C882" t="s">
        <v>8</v>
      </c>
      <c r="D882" t="s">
        <v>9</v>
      </c>
      <c r="E882" t="s">
        <v>10</v>
      </c>
      <c r="F882" s="12" t="s">
        <v>105</v>
      </c>
      <c r="G882" s="4" t="s">
        <v>1358</v>
      </c>
    </row>
    <row r="883" spans="1:7" x14ac:dyDescent="0.35">
      <c r="A883" s="2">
        <v>42270</v>
      </c>
      <c r="B883" s="93" t="s">
        <v>105</v>
      </c>
      <c r="C883" t="s">
        <v>8</v>
      </c>
      <c r="D883" t="s">
        <v>9</v>
      </c>
      <c r="E883" t="s">
        <v>10</v>
      </c>
      <c r="F883" s="12" t="s">
        <v>105</v>
      </c>
      <c r="G883" s="4" t="s">
        <v>1359</v>
      </c>
    </row>
    <row r="884" spans="1:7" x14ac:dyDescent="0.35">
      <c r="A884" s="2">
        <v>42270</v>
      </c>
      <c r="B884" s="93" t="s">
        <v>105</v>
      </c>
      <c r="C884" t="s">
        <v>8</v>
      </c>
      <c r="D884" t="s">
        <v>14</v>
      </c>
      <c r="E884" t="s">
        <v>10</v>
      </c>
      <c r="F884" s="12" t="s">
        <v>105</v>
      </c>
      <c r="G884" s="4" t="s">
        <v>1360</v>
      </c>
    </row>
    <row r="885" spans="1:7" x14ac:dyDescent="0.35">
      <c r="A885" s="2">
        <v>42270</v>
      </c>
      <c r="B885" s="93" t="s">
        <v>105</v>
      </c>
      <c r="C885" t="s">
        <v>8</v>
      </c>
      <c r="D885" t="s">
        <v>14</v>
      </c>
      <c r="E885" t="s">
        <v>10</v>
      </c>
      <c r="F885" s="12" t="s">
        <v>105</v>
      </c>
      <c r="G885" s="4" t="s">
        <v>1361</v>
      </c>
    </row>
    <row r="886" spans="1:7" x14ac:dyDescent="0.35">
      <c r="A886" s="2">
        <v>42270</v>
      </c>
      <c r="B886" s="93" t="s">
        <v>105</v>
      </c>
      <c r="C886" t="s">
        <v>8</v>
      </c>
      <c r="D886" t="s">
        <v>14</v>
      </c>
      <c r="E886" t="s">
        <v>10</v>
      </c>
      <c r="F886" s="12" t="s">
        <v>105</v>
      </c>
      <c r="G886" s="4" t="s">
        <v>1362</v>
      </c>
    </row>
    <row r="887" spans="1:7" x14ac:dyDescent="0.35">
      <c r="A887" s="2">
        <v>42270</v>
      </c>
      <c r="B887" s="93" t="s">
        <v>105</v>
      </c>
      <c r="C887" t="s">
        <v>8</v>
      </c>
      <c r="D887" t="s">
        <v>18</v>
      </c>
      <c r="E887" t="s">
        <v>10</v>
      </c>
      <c r="F887" s="12" t="s">
        <v>105</v>
      </c>
      <c r="G887" s="4" t="s">
        <v>1363</v>
      </c>
    </row>
    <row r="888" spans="1:7" x14ac:dyDescent="0.35">
      <c r="A888" s="2">
        <v>42270</v>
      </c>
      <c r="B888" s="93" t="s">
        <v>105</v>
      </c>
      <c r="C888" t="s">
        <v>8</v>
      </c>
      <c r="D888" t="s">
        <v>18</v>
      </c>
      <c r="E888" t="s">
        <v>10</v>
      </c>
      <c r="F888" s="12" t="s">
        <v>105</v>
      </c>
      <c r="G888" s="4" t="s">
        <v>1364</v>
      </c>
    </row>
    <row r="889" spans="1:7" x14ac:dyDescent="0.35">
      <c r="A889" s="2">
        <v>42270</v>
      </c>
      <c r="B889" s="93" t="s">
        <v>105</v>
      </c>
      <c r="C889" t="s">
        <v>8</v>
      </c>
      <c r="D889" t="s">
        <v>18</v>
      </c>
      <c r="E889" t="s">
        <v>10</v>
      </c>
      <c r="F889" s="12" t="s">
        <v>105</v>
      </c>
      <c r="G889" s="4" t="s">
        <v>1365</v>
      </c>
    </row>
    <row r="890" spans="1:7" x14ac:dyDescent="0.35">
      <c r="A890" s="2">
        <v>42270</v>
      </c>
      <c r="B890" s="93" t="s">
        <v>105</v>
      </c>
      <c r="C890" t="s">
        <v>8</v>
      </c>
      <c r="D890" t="s">
        <v>167</v>
      </c>
      <c r="E890" t="s">
        <v>10</v>
      </c>
      <c r="F890" s="12" t="s">
        <v>105</v>
      </c>
      <c r="G890" s="4" t="s">
        <v>1366</v>
      </c>
    </row>
    <row r="891" spans="1:7" x14ac:dyDescent="0.35">
      <c r="A891" s="2">
        <v>42270</v>
      </c>
      <c r="B891" s="93" t="s">
        <v>105</v>
      </c>
      <c r="C891" t="s">
        <v>8</v>
      </c>
      <c r="D891" t="s">
        <v>167</v>
      </c>
      <c r="E891" t="s">
        <v>10</v>
      </c>
      <c r="F891" s="12" t="s">
        <v>105</v>
      </c>
      <c r="G891" s="4" t="s">
        <v>1367</v>
      </c>
    </row>
    <row r="892" spans="1:7" x14ac:dyDescent="0.35">
      <c r="A892" s="2">
        <v>42270</v>
      </c>
      <c r="B892" s="93" t="s">
        <v>105</v>
      </c>
      <c r="C892" t="s">
        <v>8</v>
      </c>
      <c r="D892" t="s">
        <v>167</v>
      </c>
      <c r="E892" t="s">
        <v>10</v>
      </c>
      <c r="F892" s="12" t="s">
        <v>105</v>
      </c>
      <c r="G892" s="4" t="s">
        <v>1368</v>
      </c>
    </row>
    <row r="893" spans="1:7" x14ac:dyDescent="0.35">
      <c r="A893" s="2">
        <v>42270</v>
      </c>
      <c r="B893" s="93" t="s">
        <v>105</v>
      </c>
      <c r="C893" t="s">
        <v>8</v>
      </c>
      <c r="D893" t="s">
        <v>26</v>
      </c>
      <c r="E893" t="s">
        <v>10</v>
      </c>
      <c r="F893" s="12" t="s">
        <v>105</v>
      </c>
      <c r="G893" s="4" t="s">
        <v>1369</v>
      </c>
    </row>
    <row r="894" spans="1:7" x14ac:dyDescent="0.35">
      <c r="A894" s="2">
        <v>42270</v>
      </c>
      <c r="B894" s="93" t="s">
        <v>105</v>
      </c>
      <c r="C894" t="s">
        <v>8</v>
      </c>
      <c r="D894" t="s">
        <v>26</v>
      </c>
      <c r="E894" t="s">
        <v>10</v>
      </c>
      <c r="F894" s="12" t="s">
        <v>105</v>
      </c>
      <c r="G894" s="4" t="s">
        <v>1370</v>
      </c>
    </row>
    <row r="895" spans="1:7" x14ac:dyDescent="0.35">
      <c r="A895" s="2">
        <v>42270</v>
      </c>
      <c r="B895" s="93" t="s">
        <v>105</v>
      </c>
      <c r="C895" t="s">
        <v>8</v>
      </c>
      <c r="D895" t="s">
        <v>26</v>
      </c>
      <c r="E895" t="s">
        <v>10</v>
      </c>
      <c r="F895" s="12" t="s">
        <v>105</v>
      </c>
      <c r="G895" s="4" t="s">
        <v>1371</v>
      </c>
    </row>
    <row r="896" spans="1:7" x14ac:dyDescent="0.35">
      <c r="A896" s="2">
        <v>42270</v>
      </c>
      <c r="B896" s="93" t="s">
        <v>105</v>
      </c>
      <c r="C896" t="s">
        <v>8</v>
      </c>
      <c r="D896" t="s">
        <v>25</v>
      </c>
      <c r="E896" t="s">
        <v>10</v>
      </c>
      <c r="F896" s="12" t="s">
        <v>105</v>
      </c>
      <c r="G896" s="4" t="s">
        <v>1372</v>
      </c>
    </row>
    <row r="897" spans="1:7" x14ac:dyDescent="0.35">
      <c r="A897" s="2">
        <v>42270</v>
      </c>
      <c r="B897" s="93" t="s">
        <v>105</v>
      </c>
      <c r="C897" t="s">
        <v>8</v>
      </c>
      <c r="D897" t="s">
        <v>25</v>
      </c>
      <c r="E897" t="s">
        <v>10</v>
      </c>
      <c r="F897" s="12" t="s">
        <v>105</v>
      </c>
      <c r="G897" s="4" t="s">
        <v>1373</v>
      </c>
    </row>
    <row r="898" spans="1:7" x14ac:dyDescent="0.35">
      <c r="A898" s="2">
        <v>42270</v>
      </c>
      <c r="B898" s="93" t="s">
        <v>105</v>
      </c>
      <c r="C898" t="s">
        <v>8</v>
      </c>
      <c r="D898" t="s">
        <v>25</v>
      </c>
      <c r="E898" t="s">
        <v>10</v>
      </c>
      <c r="F898" s="12" t="s">
        <v>105</v>
      </c>
      <c r="G898" s="4" t="s">
        <v>1374</v>
      </c>
    </row>
    <row r="899" spans="1:7" x14ac:dyDescent="0.35">
      <c r="A899" s="2">
        <v>42270</v>
      </c>
      <c r="B899" s="93" t="s">
        <v>105</v>
      </c>
      <c r="C899" t="s">
        <v>8</v>
      </c>
      <c r="D899" t="s">
        <v>9</v>
      </c>
      <c r="E899" t="s">
        <v>74</v>
      </c>
      <c r="F899" s="12" t="s">
        <v>82</v>
      </c>
      <c r="G899" s="4" t="s">
        <v>1375</v>
      </c>
    </row>
    <row r="900" spans="1:7" x14ac:dyDescent="0.35">
      <c r="A900" s="2">
        <v>42270</v>
      </c>
      <c r="B900" s="93" t="s">
        <v>105</v>
      </c>
      <c r="C900" t="s">
        <v>8</v>
      </c>
      <c r="D900" t="s">
        <v>9</v>
      </c>
      <c r="E900" t="s">
        <v>74</v>
      </c>
      <c r="F900" s="12" t="s">
        <v>82</v>
      </c>
      <c r="G900" s="4" t="s">
        <v>1376</v>
      </c>
    </row>
    <row r="901" spans="1:7" x14ac:dyDescent="0.35">
      <c r="A901" s="2">
        <v>42270</v>
      </c>
      <c r="B901" s="93" t="s">
        <v>105</v>
      </c>
      <c r="C901" t="s">
        <v>8</v>
      </c>
      <c r="D901" t="s">
        <v>14</v>
      </c>
      <c r="E901" t="s">
        <v>74</v>
      </c>
      <c r="F901" s="12" t="s">
        <v>82</v>
      </c>
      <c r="G901" s="4" t="s">
        <v>1377</v>
      </c>
    </row>
    <row r="902" spans="1:7" x14ac:dyDescent="0.35">
      <c r="A902" s="2">
        <v>42270</v>
      </c>
      <c r="B902" s="93" t="s">
        <v>105</v>
      </c>
      <c r="C902" t="s">
        <v>8</v>
      </c>
      <c r="D902" t="s">
        <v>14</v>
      </c>
      <c r="E902" t="s">
        <v>74</v>
      </c>
      <c r="F902" s="12" t="s">
        <v>82</v>
      </c>
      <c r="G902" s="4" t="s">
        <v>1378</v>
      </c>
    </row>
    <row r="903" spans="1:7" x14ac:dyDescent="0.35">
      <c r="A903" s="2">
        <v>42270</v>
      </c>
      <c r="B903" s="93" t="s">
        <v>105</v>
      </c>
      <c r="C903" t="s">
        <v>8</v>
      </c>
      <c r="D903" t="s">
        <v>18</v>
      </c>
      <c r="E903" t="s">
        <v>74</v>
      </c>
      <c r="F903" s="12" t="s">
        <v>82</v>
      </c>
      <c r="G903" s="4" t="s">
        <v>1379</v>
      </c>
    </row>
    <row r="904" spans="1:7" x14ac:dyDescent="0.35">
      <c r="A904" s="2">
        <v>42270</v>
      </c>
      <c r="B904" s="93" t="s">
        <v>105</v>
      </c>
      <c r="C904" t="s">
        <v>8</v>
      </c>
      <c r="D904" t="s">
        <v>18</v>
      </c>
      <c r="E904" t="s">
        <v>74</v>
      </c>
      <c r="F904" s="12" t="s">
        <v>82</v>
      </c>
      <c r="G904" s="4" t="s">
        <v>1380</v>
      </c>
    </row>
    <row r="905" spans="1:7" x14ac:dyDescent="0.35">
      <c r="A905" s="2">
        <v>42270</v>
      </c>
      <c r="B905" s="93" t="s">
        <v>105</v>
      </c>
      <c r="C905" t="s">
        <v>8</v>
      </c>
      <c r="D905" t="s">
        <v>25</v>
      </c>
      <c r="E905" t="s">
        <v>74</v>
      </c>
      <c r="F905" s="12" t="s">
        <v>82</v>
      </c>
      <c r="G905" s="4" t="s">
        <v>1381</v>
      </c>
    </row>
    <row r="906" spans="1:7" x14ac:dyDescent="0.35">
      <c r="A906" s="2">
        <v>42270</v>
      </c>
      <c r="B906" s="93" t="s">
        <v>105</v>
      </c>
      <c r="C906" t="s">
        <v>8</v>
      </c>
      <c r="D906" t="s">
        <v>25</v>
      </c>
      <c r="E906" t="s">
        <v>74</v>
      </c>
      <c r="F906" s="12" t="s">
        <v>82</v>
      </c>
      <c r="G906" s="4" t="s">
        <v>1382</v>
      </c>
    </row>
    <row r="907" spans="1:7" x14ac:dyDescent="0.35">
      <c r="A907" s="2">
        <v>42270</v>
      </c>
      <c r="B907" s="93" t="s">
        <v>105</v>
      </c>
      <c r="C907" t="s">
        <v>8</v>
      </c>
      <c r="D907" t="s">
        <v>26</v>
      </c>
      <c r="E907" t="s">
        <v>74</v>
      </c>
      <c r="F907" s="12" t="s">
        <v>82</v>
      </c>
      <c r="G907" s="4" t="s">
        <v>1383</v>
      </c>
    </row>
    <row r="908" spans="1:7" x14ac:dyDescent="0.35">
      <c r="A908" s="2">
        <v>42270</v>
      </c>
      <c r="B908" s="93" t="s">
        <v>105</v>
      </c>
      <c r="C908" t="s">
        <v>8</v>
      </c>
      <c r="D908" t="s">
        <v>26</v>
      </c>
      <c r="E908" t="s">
        <v>74</v>
      </c>
      <c r="F908" s="12" t="s">
        <v>82</v>
      </c>
      <c r="G908" s="4" t="s">
        <v>1384</v>
      </c>
    </row>
    <row r="909" spans="1:7" x14ac:dyDescent="0.35">
      <c r="A909" s="2">
        <v>42270</v>
      </c>
      <c r="B909" s="93" t="s">
        <v>105</v>
      </c>
      <c r="C909" t="s">
        <v>8</v>
      </c>
      <c r="D909" t="s">
        <v>167</v>
      </c>
      <c r="E909" t="s">
        <v>74</v>
      </c>
      <c r="F909" s="12" t="s">
        <v>82</v>
      </c>
      <c r="G909" s="4" t="s">
        <v>1385</v>
      </c>
    </row>
    <row r="910" spans="1:7" x14ac:dyDescent="0.35">
      <c r="A910" s="2">
        <v>42270</v>
      </c>
      <c r="B910" s="93" t="s">
        <v>105</v>
      </c>
      <c r="C910" t="s">
        <v>8</v>
      </c>
      <c r="D910" t="s">
        <v>167</v>
      </c>
      <c r="E910" t="s">
        <v>74</v>
      </c>
      <c r="F910" s="12" t="s">
        <v>82</v>
      </c>
      <c r="G910" s="4" t="s">
        <v>1386</v>
      </c>
    </row>
    <row r="911" spans="1:7" x14ac:dyDescent="0.35">
      <c r="A911" s="2">
        <v>42270</v>
      </c>
      <c r="B911" s="93" t="s">
        <v>105</v>
      </c>
      <c r="C911" t="s">
        <v>8</v>
      </c>
      <c r="D911" t="s">
        <v>9</v>
      </c>
      <c r="E911" t="s">
        <v>78</v>
      </c>
      <c r="F911" s="12" t="s">
        <v>105</v>
      </c>
      <c r="G911" s="4" t="s">
        <v>1387</v>
      </c>
    </row>
    <row r="912" spans="1:7" x14ac:dyDescent="0.35">
      <c r="A912" s="2">
        <v>42270</v>
      </c>
      <c r="B912" s="93" t="s">
        <v>105</v>
      </c>
      <c r="C912" t="s">
        <v>8</v>
      </c>
      <c r="D912" t="s">
        <v>9</v>
      </c>
      <c r="E912" t="s">
        <v>78</v>
      </c>
      <c r="F912" s="12" t="s">
        <v>105</v>
      </c>
      <c r="G912" s="4" t="s">
        <v>1388</v>
      </c>
    </row>
    <row r="913" spans="1:7" x14ac:dyDescent="0.35">
      <c r="A913" s="2">
        <v>42270</v>
      </c>
      <c r="B913" s="93" t="s">
        <v>105</v>
      </c>
      <c r="C913" t="s">
        <v>8</v>
      </c>
      <c r="D913" t="s">
        <v>9</v>
      </c>
      <c r="E913" t="s">
        <v>78</v>
      </c>
      <c r="F913" s="12" t="s">
        <v>105</v>
      </c>
      <c r="G913" s="4" t="s">
        <v>1389</v>
      </c>
    </row>
    <row r="914" spans="1:7" x14ac:dyDescent="0.35">
      <c r="A914" s="2">
        <v>42270</v>
      </c>
      <c r="B914" s="93" t="s">
        <v>105</v>
      </c>
      <c r="C914" t="s">
        <v>8</v>
      </c>
      <c r="D914" t="s">
        <v>25</v>
      </c>
      <c r="E914" t="s">
        <v>78</v>
      </c>
      <c r="F914" s="12" t="s">
        <v>105</v>
      </c>
      <c r="G914" s="4" t="s">
        <v>1390</v>
      </c>
    </row>
    <row r="915" spans="1:7" x14ac:dyDescent="0.35">
      <c r="A915" s="2">
        <v>42270</v>
      </c>
      <c r="B915" s="93" t="s">
        <v>105</v>
      </c>
      <c r="C915" t="s">
        <v>8</v>
      </c>
      <c r="D915" t="s">
        <v>25</v>
      </c>
      <c r="E915" t="s">
        <v>78</v>
      </c>
      <c r="F915" s="12" t="s">
        <v>105</v>
      </c>
      <c r="G915" s="4" t="s">
        <v>1391</v>
      </c>
    </row>
    <row r="916" spans="1:7" x14ac:dyDescent="0.35">
      <c r="A916" s="2">
        <v>42270</v>
      </c>
      <c r="B916" s="93" t="s">
        <v>105</v>
      </c>
      <c r="C916" t="s">
        <v>8</v>
      </c>
      <c r="D916" t="s">
        <v>25</v>
      </c>
      <c r="E916" t="s">
        <v>78</v>
      </c>
      <c r="F916" s="12" t="s">
        <v>105</v>
      </c>
      <c r="G916" s="4" t="s">
        <v>1392</v>
      </c>
    </row>
    <row r="917" spans="1:7" x14ac:dyDescent="0.35">
      <c r="A917" s="2">
        <v>42272</v>
      </c>
      <c r="B917" s="93" t="s">
        <v>105</v>
      </c>
      <c r="C917" t="s">
        <v>8</v>
      </c>
      <c r="D917" t="s">
        <v>64</v>
      </c>
      <c r="E917" t="s">
        <v>10</v>
      </c>
      <c r="F917" s="12" t="s">
        <v>105</v>
      </c>
      <c r="G917" s="4" t="s">
        <v>1393</v>
      </c>
    </row>
    <row r="918" spans="1:7" x14ac:dyDescent="0.35">
      <c r="A918" s="2">
        <v>42272</v>
      </c>
      <c r="B918" s="93" t="s">
        <v>105</v>
      </c>
      <c r="C918" t="s">
        <v>8</v>
      </c>
      <c r="D918" t="s">
        <v>64</v>
      </c>
      <c r="E918" t="s">
        <v>10</v>
      </c>
      <c r="F918" s="12" t="s">
        <v>105</v>
      </c>
      <c r="G918" s="4" t="s">
        <v>1394</v>
      </c>
    </row>
    <row r="919" spans="1:7" x14ac:dyDescent="0.35">
      <c r="A919" s="2">
        <v>42272</v>
      </c>
      <c r="B919" s="93" t="s">
        <v>105</v>
      </c>
      <c r="C919" t="s">
        <v>8</v>
      </c>
      <c r="D919" t="s">
        <v>64</v>
      </c>
      <c r="E919" t="s">
        <v>10</v>
      </c>
      <c r="F919" s="12" t="s">
        <v>105</v>
      </c>
      <c r="G919" s="4" t="s">
        <v>1395</v>
      </c>
    </row>
    <row r="920" spans="1:7" x14ac:dyDescent="0.35">
      <c r="A920" s="2">
        <v>42272</v>
      </c>
      <c r="B920" s="93" t="s">
        <v>105</v>
      </c>
      <c r="C920" t="s">
        <v>8</v>
      </c>
      <c r="D920" t="s">
        <v>69</v>
      </c>
      <c r="E920" t="s">
        <v>10</v>
      </c>
      <c r="F920" s="12" t="s">
        <v>105</v>
      </c>
      <c r="G920" s="4" t="s">
        <v>1396</v>
      </c>
    </row>
    <row r="921" spans="1:7" x14ac:dyDescent="0.35">
      <c r="A921" s="2">
        <v>42272</v>
      </c>
      <c r="B921" s="93" t="s">
        <v>105</v>
      </c>
      <c r="C921" t="s">
        <v>8</v>
      </c>
      <c r="D921" t="s">
        <v>69</v>
      </c>
      <c r="E921" t="s">
        <v>10</v>
      </c>
      <c r="F921" s="12" t="s">
        <v>105</v>
      </c>
      <c r="G921" s="4" t="s">
        <v>1397</v>
      </c>
    </row>
    <row r="922" spans="1:7" x14ac:dyDescent="0.35">
      <c r="A922" s="2">
        <v>42272</v>
      </c>
      <c r="B922" s="93" t="s">
        <v>105</v>
      </c>
      <c r="C922" t="s">
        <v>8</v>
      </c>
      <c r="D922" t="s">
        <v>69</v>
      </c>
      <c r="E922" t="s">
        <v>10</v>
      </c>
      <c r="F922" s="12" t="s">
        <v>105</v>
      </c>
      <c r="G922" s="4" t="s">
        <v>1398</v>
      </c>
    </row>
    <row r="923" spans="1:7" x14ac:dyDescent="0.35">
      <c r="A923" s="2">
        <v>42272</v>
      </c>
      <c r="B923" s="93" t="s">
        <v>105</v>
      </c>
      <c r="C923" t="s">
        <v>8</v>
      </c>
      <c r="D923" t="s">
        <v>60</v>
      </c>
      <c r="E923" t="s">
        <v>10</v>
      </c>
      <c r="F923" s="12" t="s">
        <v>105</v>
      </c>
      <c r="G923" s="4" t="s">
        <v>1399</v>
      </c>
    </row>
    <row r="924" spans="1:7" x14ac:dyDescent="0.35">
      <c r="A924" s="2">
        <v>42272</v>
      </c>
      <c r="B924" s="93" t="s">
        <v>105</v>
      </c>
      <c r="C924" t="s">
        <v>8</v>
      </c>
      <c r="D924" t="s">
        <v>60</v>
      </c>
      <c r="E924" t="s">
        <v>10</v>
      </c>
      <c r="F924" s="12" t="s">
        <v>105</v>
      </c>
      <c r="G924" s="4" t="s">
        <v>1400</v>
      </c>
    </row>
    <row r="925" spans="1:7" x14ac:dyDescent="0.35">
      <c r="A925" s="2">
        <v>42272</v>
      </c>
      <c r="B925" s="93" t="s">
        <v>105</v>
      </c>
      <c r="C925" t="s">
        <v>8</v>
      </c>
      <c r="D925" t="s">
        <v>60</v>
      </c>
      <c r="E925" t="s">
        <v>10</v>
      </c>
      <c r="F925" s="12" t="s">
        <v>105</v>
      </c>
      <c r="G925" s="4" t="s">
        <v>1401</v>
      </c>
    </row>
    <row r="926" spans="1:7" x14ac:dyDescent="0.35">
      <c r="A926" s="2">
        <v>42272</v>
      </c>
      <c r="B926" s="93" t="s">
        <v>105</v>
      </c>
      <c r="C926" t="s">
        <v>8</v>
      </c>
      <c r="D926" t="s">
        <v>64</v>
      </c>
      <c r="E926" t="s">
        <v>74</v>
      </c>
      <c r="F926" s="12" t="s">
        <v>82</v>
      </c>
      <c r="G926" s="4" t="s">
        <v>1402</v>
      </c>
    </row>
    <row r="927" spans="1:7" x14ac:dyDescent="0.35">
      <c r="A927" s="2">
        <v>42272</v>
      </c>
      <c r="B927" s="93" t="s">
        <v>105</v>
      </c>
      <c r="C927" t="s">
        <v>8</v>
      </c>
      <c r="D927" t="s">
        <v>64</v>
      </c>
      <c r="E927" t="s">
        <v>74</v>
      </c>
      <c r="F927" s="12" t="s">
        <v>82</v>
      </c>
      <c r="G927" s="4" t="s">
        <v>1403</v>
      </c>
    </row>
    <row r="928" spans="1:7" x14ac:dyDescent="0.35">
      <c r="A928" s="2">
        <v>42272</v>
      </c>
      <c r="B928" s="93" t="s">
        <v>105</v>
      </c>
      <c r="C928" t="s">
        <v>8</v>
      </c>
      <c r="D928" t="s">
        <v>69</v>
      </c>
      <c r="E928" t="s">
        <v>74</v>
      </c>
      <c r="F928" s="12" t="s">
        <v>82</v>
      </c>
      <c r="G928" s="4" t="s">
        <v>1404</v>
      </c>
    </row>
    <row r="929" spans="1:7" x14ac:dyDescent="0.35">
      <c r="A929" s="2">
        <v>42272</v>
      </c>
      <c r="B929" s="93" t="s">
        <v>105</v>
      </c>
      <c r="C929" t="s">
        <v>8</v>
      </c>
      <c r="D929" t="s">
        <v>69</v>
      </c>
      <c r="E929" t="s">
        <v>74</v>
      </c>
      <c r="F929" s="12" t="s">
        <v>82</v>
      </c>
      <c r="G929" s="4" t="s">
        <v>1405</v>
      </c>
    </row>
    <row r="930" spans="1:7" x14ac:dyDescent="0.35">
      <c r="A930" s="2">
        <v>42272</v>
      </c>
      <c r="B930" s="93" t="s">
        <v>105</v>
      </c>
      <c r="C930" t="s">
        <v>8</v>
      </c>
      <c r="D930" t="s">
        <v>60</v>
      </c>
      <c r="E930" t="s">
        <v>74</v>
      </c>
      <c r="F930" s="12" t="s">
        <v>82</v>
      </c>
      <c r="G930" s="4" t="s">
        <v>1406</v>
      </c>
    </row>
    <row r="931" spans="1:7" x14ac:dyDescent="0.35">
      <c r="A931" s="2">
        <v>42272</v>
      </c>
      <c r="B931" s="93" t="s">
        <v>105</v>
      </c>
      <c r="C931" t="s">
        <v>8</v>
      </c>
      <c r="D931" t="s">
        <v>60</v>
      </c>
      <c r="E931" t="s">
        <v>74</v>
      </c>
      <c r="F931" s="12" t="s">
        <v>82</v>
      </c>
      <c r="G931" s="4" t="s">
        <v>1407</v>
      </c>
    </row>
    <row r="932" spans="1:7" x14ac:dyDescent="0.35">
      <c r="A932" s="2">
        <v>42272</v>
      </c>
      <c r="B932" s="93" t="s">
        <v>105</v>
      </c>
      <c r="C932" t="s">
        <v>8</v>
      </c>
      <c r="D932" t="s">
        <v>64</v>
      </c>
      <c r="E932" t="s">
        <v>78</v>
      </c>
      <c r="F932" s="12" t="s">
        <v>105</v>
      </c>
      <c r="G932" s="4" t="s">
        <v>2313</v>
      </c>
    </row>
    <row r="933" spans="1:7" x14ac:dyDescent="0.35">
      <c r="A933" s="2">
        <v>42272</v>
      </c>
      <c r="B933" s="93" t="s">
        <v>105</v>
      </c>
      <c r="C933" t="s">
        <v>8</v>
      </c>
      <c r="D933" t="s">
        <v>64</v>
      </c>
      <c r="E933" t="s">
        <v>78</v>
      </c>
      <c r="F933" s="12" t="s">
        <v>105</v>
      </c>
      <c r="G933" s="4" t="s">
        <v>2314</v>
      </c>
    </row>
    <row r="934" spans="1:7" x14ac:dyDescent="0.35">
      <c r="A934" s="2">
        <v>42272</v>
      </c>
      <c r="B934" s="93" t="s">
        <v>105</v>
      </c>
      <c r="C934" t="s">
        <v>8</v>
      </c>
      <c r="D934" t="s">
        <v>64</v>
      </c>
      <c r="E934" t="s">
        <v>78</v>
      </c>
      <c r="F934" s="12" t="s">
        <v>105</v>
      </c>
      <c r="G934" s="4" t="s">
        <v>2315</v>
      </c>
    </row>
    <row r="935" spans="1:7" x14ac:dyDescent="0.35">
      <c r="A935" s="2">
        <v>42275</v>
      </c>
      <c r="B935" s="93" t="s">
        <v>105</v>
      </c>
      <c r="C935" t="s">
        <v>8</v>
      </c>
      <c r="D935" t="s">
        <v>9</v>
      </c>
      <c r="E935" t="s">
        <v>10</v>
      </c>
      <c r="F935" s="12" t="s">
        <v>105</v>
      </c>
      <c r="G935" s="4" t="s">
        <v>1421</v>
      </c>
    </row>
    <row r="936" spans="1:7" x14ac:dyDescent="0.35">
      <c r="A936" s="2">
        <v>42275</v>
      </c>
      <c r="B936" s="93" t="s">
        <v>105</v>
      </c>
      <c r="C936" t="s">
        <v>8</v>
      </c>
      <c r="D936" t="s">
        <v>9</v>
      </c>
      <c r="E936" t="s">
        <v>10</v>
      </c>
      <c r="F936" s="12" t="s">
        <v>105</v>
      </c>
      <c r="G936" s="4" t="s">
        <v>1422</v>
      </c>
    </row>
    <row r="937" spans="1:7" x14ac:dyDescent="0.35">
      <c r="A937" s="2">
        <v>42275</v>
      </c>
      <c r="B937" s="93" t="s">
        <v>105</v>
      </c>
      <c r="C937" t="s">
        <v>8</v>
      </c>
      <c r="D937" t="s">
        <v>9</v>
      </c>
      <c r="E937" t="s">
        <v>10</v>
      </c>
      <c r="F937" s="12" t="s">
        <v>105</v>
      </c>
      <c r="G937" s="4" t="s">
        <v>1423</v>
      </c>
    </row>
    <row r="938" spans="1:7" x14ac:dyDescent="0.35">
      <c r="A938" s="2">
        <v>42275</v>
      </c>
      <c r="B938" s="93" t="s">
        <v>105</v>
      </c>
      <c r="C938" t="s">
        <v>8</v>
      </c>
      <c r="D938" t="s">
        <v>14</v>
      </c>
      <c r="E938" t="s">
        <v>10</v>
      </c>
      <c r="F938" s="12" t="s">
        <v>105</v>
      </c>
      <c r="G938" s="4" t="s">
        <v>1424</v>
      </c>
    </row>
    <row r="939" spans="1:7" x14ac:dyDescent="0.35">
      <c r="A939" s="2">
        <v>42275</v>
      </c>
      <c r="B939" s="93" t="s">
        <v>105</v>
      </c>
      <c r="C939" t="s">
        <v>8</v>
      </c>
      <c r="D939" t="s">
        <v>14</v>
      </c>
      <c r="E939" t="s">
        <v>10</v>
      </c>
      <c r="F939" s="12" t="s">
        <v>105</v>
      </c>
      <c r="G939" s="4" t="s">
        <v>1425</v>
      </c>
    </row>
    <row r="940" spans="1:7" x14ac:dyDescent="0.35">
      <c r="A940" s="2">
        <v>42275</v>
      </c>
      <c r="B940" s="93" t="s">
        <v>105</v>
      </c>
      <c r="C940" t="s">
        <v>8</v>
      </c>
      <c r="D940" t="s">
        <v>14</v>
      </c>
      <c r="E940" t="s">
        <v>10</v>
      </c>
      <c r="F940" s="12" t="s">
        <v>105</v>
      </c>
      <c r="G940" s="4" t="s">
        <v>1426</v>
      </c>
    </row>
    <row r="941" spans="1:7" x14ac:dyDescent="0.35">
      <c r="A941" s="2">
        <v>42275</v>
      </c>
      <c r="B941" s="93" t="s">
        <v>105</v>
      </c>
      <c r="C941" t="s">
        <v>8</v>
      </c>
      <c r="D941" t="s">
        <v>18</v>
      </c>
      <c r="E941" t="s">
        <v>10</v>
      </c>
      <c r="F941" s="12" t="s">
        <v>105</v>
      </c>
      <c r="G941" s="4" t="s">
        <v>1427</v>
      </c>
    </row>
    <row r="942" spans="1:7" x14ac:dyDescent="0.35">
      <c r="A942" s="2">
        <v>42275</v>
      </c>
      <c r="B942" s="93" t="s">
        <v>105</v>
      </c>
      <c r="C942" t="s">
        <v>8</v>
      </c>
      <c r="D942" t="s">
        <v>18</v>
      </c>
      <c r="E942" t="s">
        <v>10</v>
      </c>
      <c r="F942" s="12" t="s">
        <v>105</v>
      </c>
      <c r="G942" s="4" t="s">
        <v>1428</v>
      </c>
    </row>
    <row r="943" spans="1:7" x14ac:dyDescent="0.35">
      <c r="A943" s="2">
        <v>42275</v>
      </c>
      <c r="B943" s="93" t="s">
        <v>105</v>
      </c>
      <c r="C943" t="s">
        <v>8</v>
      </c>
      <c r="D943" t="s">
        <v>18</v>
      </c>
      <c r="E943" t="s">
        <v>10</v>
      </c>
      <c r="F943" s="12" t="s">
        <v>105</v>
      </c>
      <c r="G943" s="4" t="s">
        <v>1429</v>
      </c>
    </row>
    <row r="944" spans="1:7" x14ac:dyDescent="0.35">
      <c r="A944" s="2">
        <v>42275</v>
      </c>
      <c r="B944" s="93" t="s">
        <v>105</v>
      </c>
      <c r="C944" t="s">
        <v>8</v>
      </c>
      <c r="D944" t="s">
        <v>167</v>
      </c>
      <c r="E944" t="s">
        <v>10</v>
      </c>
      <c r="F944" s="12" t="s">
        <v>105</v>
      </c>
      <c r="G944" s="4" t="s">
        <v>1430</v>
      </c>
    </row>
    <row r="945" spans="1:7" x14ac:dyDescent="0.35">
      <c r="A945" s="2">
        <v>42275</v>
      </c>
      <c r="B945" s="93" t="s">
        <v>105</v>
      </c>
      <c r="C945" t="s">
        <v>8</v>
      </c>
      <c r="D945" t="s">
        <v>167</v>
      </c>
      <c r="E945" t="s">
        <v>10</v>
      </c>
      <c r="F945" s="12" t="s">
        <v>105</v>
      </c>
      <c r="G945" s="4" t="s">
        <v>1431</v>
      </c>
    </row>
    <row r="946" spans="1:7" x14ac:dyDescent="0.35">
      <c r="A946" s="2">
        <v>42275</v>
      </c>
      <c r="B946" s="93" t="s">
        <v>105</v>
      </c>
      <c r="C946" t="s">
        <v>8</v>
      </c>
      <c r="D946" t="s">
        <v>167</v>
      </c>
      <c r="E946" t="s">
        <v>10</v>
      </c>
      <c r="F946" s="12" t="s">
        <v>105</v>
      </c>
      <c r="G946" s="4" t="s">
        <v>1432</v>
      </c>
    </row>
    <row r="947" spans="1:7" x14ac:dyDescent="0.35">
      <c r="A947" s="2">
        <v>42275</v>
      </c>
      <c r="B947" s="93" t="s">
        <v>105</v>
      </c>
      <c r="C947" t="s">
        <v>8</v>
      </c>
      <c r="D947" t="s">
        <v>25</v>
      </c>
      <c r="E947" t="s">
        <v>10</v>
      </c>
      <c r="F947" s="12" t="s">
        <v>105</v>
      </c>
      <c r="G947" s="4" t="s">
        <v>1433</v>
      </c>
    </row>
    <row r="948" spans="1:7" x14ac:dyDescent="0.35">
      <c r="A948" s="2">
        <v>42275</v>
      </c>
      <c r="B948" s="93" t="s">
        <v>105</v>
      </c>
      <c r="C948" t="s">
        <v>8</v>
      </c>
      <c r="D948" t="s">
        <v>25</v>
      </c>
      <c r="E948" t="s">
        <v>10</v>
      </c>
      <c r="F948" s="12" t="s">
        <v>105</v>
      </c>
      <c r="G948" s="4" t="s">
        <v>1434</v>
      </c>
    </row>
    <row r="949" spans="1:7" x14ac:dyDescent="0.35">
      <c r="A949" s="2">
        <v>42275</v>
      </c>
      <c r="B949" s="93" t="s">
        <v>105</v>
      </c>
      <c r="C949" t="s">
        <v>8</v>
      </c>
      <c r="D949" t="s">
        <v>25</v>
      </c>
      <c r="E949" t="s">
        <v>10</v>
      </c>
      <c r="F949" s="12" t="s">
        <v>105</v>
      </c>
      <c r="G949" s="4" t="s">
        <v>1435</v>
      </c>
    </row>
    <row r="950" spans="1:7" x14ac:dyDescent="0.35">
      <c r="A950" s="2">
        <v>42275</v>
      </c>
      <c r="B950" s="93" t="s">
        <v>105</v>
      </c>
      <c r="C950" t="s">
        <v>8</v>
      </c>
      <c r="D950" t="s">
        <v>26</v>
      </c>
      <c r="E950" t="s">
        <v>10</v>
      </c>
      <c r="F950" s="12" t="s">
        <v>105</v>
      </c>
      <c r="G950" s="4" t="s">
        <v>1436</v>
      </c>
    </row>
    <row r="951" spans="1:7" x14ac:dyDescent="0.35">
      <c r="A951" s="2">
        <v>42275</v>
      </c>
      <c r="B951" s="93" t="s">
        <v>105</v>
      </c>
      <c r="C951" t="s">
        <v>8</v>
      </c>
      <c r="D951" t="s">
        <v>26</v>
      </c>
      <c r="E951" t="s">
        <v>10</v>
      </c>
      <c r="F951" s="12" t="s">
        <v>105</v>
      </c>
      <c r="G951" s="4" t="s">
        <v>1437</v>
      </c>
    </row>
    <row r="952" spans="1:7" x14ac:dyDescent="0.35">
      <c r="A952" s="2">
        <v>42275</v>
      </c>
      <c r="B952" s="93" t="s">
        <v>105</v>
      </c>
      <c r="C952" t="s">
        <v>8</v>
      </c>
      <c r="D952" t="s">
        <v>26</v>
      </c>
      <c r="E952" t="s">
        <v>10</v>
      </c>
      <c r="F952" s="12" t="s">
        <v>105</v>
      </c>
      <c r="G952" s="4" t="s">
        <v>1438</v>
      </c>
    </row>
    <row r="953" spans="1:7" x14ac:dyDescent="0.35">
      <c r="A953" s="2">
        <v>42275</v>
      </c>
      <c r="B953" s="93" t="s">
        <v>105</v>
      </c>
      <c r="C953" t="s">
        <v>8</v>
      </c>
      <c r="D953" t="s">
        <v>69</v>
      </c>
      <c r="E953" t="s">
        <v>10</v>
      </c>
      <c r="F953" s="12" t="s">
        <v>105</v>
      </c>
      <c r="G953" s="4" t="s">
        <v>1439</v>
      </c>
    </row>
    <row r="954" spans="1:7" x14ac:dyDescent="0.35">
      <c r="A954" s="2">
        <v>42275</v>
      </c>
      <c r="B954" s="93" t="s">
        <v>105</v>
      </c>
      <c r="C954" t="s">
        <v>8</v>
      </c>
      <c r="D954" t="s">
        <v>69</v>
      </c>
      <c r="E954" t="s">
        <v>10</v>
      </c>
      <c r="F954" s="12" t="s">
        <v>105</v>
      </c>
      <c r="G954" s="4" t="s">
        <v>1440</v>
      </c>
    </row>
    <row r="955" spans="1:7" x14ac:dyDescent="0.35">
      <c r="A955" s="2">
        <v>42275</v>
      </c>
      <c r="B955" s="93" t="s">
        <v>105</v>
      </c>
      <c r="C955" t="s">
        <v>8</v>
      </c>
      <c r="D955" t="s">
        <v>69</v>
      </c>
      <c r="E955" t="s">
        <v>10</v>
      </c>
      <c r="F955" s="12" t="s">
        <v>105</v>
      </c>
      <c r="G955" s="4" t="s">
        <v>1441</v>
      </c>
    </row>
    <row r="956" spans="1:7" x14ac:dyDescent="0.35">
      <c r="A956" s="2">
        <v>42275</v>
      </c>
      <c r="B956" s="93" t="s">
        <v>105</v>
      </c>
      <c r="C956" t="s">
        <v>8</v>
      </c>
      <c r="D956" t="s">
        <v>9</v>
      </c>
      <c r="E956" t="s">
        <v>74</v>
      </c>
      <c r="F956" s="12" t="s">
        <v>82</v>
      </c>
      <c r="G956" s="4" t="s">
        <v>1408</v>
      </c>
    </row>
    <row r="957" spans="1:7" x14ac:dyDescent="0.35">
      <c r="A957" s="2">
        <v>42275</v>
      </c>
      <c r="B957" s="93" t="s">
        <v>105</v>
      </c>
      <c r="C957" t="s">
        <v>8</v>
      </c>
      <c r="D957" t="s">
        <v>9</v>
      </c>
      <c r="E957" t="s">
        <v>74</v>
      </c>
      <c r="F957" s="12" t="s">
        <v>82</v>
      </c>
      <c r="G957" s="4" t="s">
        <v>1409</v>
      </c>
    </row>
    <row r="958" spans="1:7" x14ac:dyDescent="0.35">
      <c r="A958" s="2">
        <v>42275</v>
      </c>
      <c r="B958" s="93" t="s">
        <v>105</v>
      </c>
      <c r="C958" t="s">
        <v>8</v>
      </c>
      <c r="D958" t="s">
        <v>14</v>
      </c>
      <c r="E958" t="s">
        <v>74</v>
      </c>
      <c r="F958" s="12" t="s">
        <v>82</v>
      </c>
      <c r="G958" s="4" t="s">
        <v>1410</v>
      </c>
    </row>
    <row r="959" spans="1:7" x14ac:dyDescent="0.35">
      <c r="A959" s="2">
        <v>42275</v>
      </c>
      <c r="B959" s="93" t="s">
        <v>105</v>
      </c>
      <c r="C959" t="s">
        <v>8</v>
      </c>
      <c r="D959" t="s">
        <v>14</v>
      </c>
      <c r="E959" t="s">
        <v>74</v>
      </c>
      <c r="F959" s="12" t="s">
        <v>82</v>
      </c>
      <c r="G959" s="4" t="s">
        <v>285</v>
      </c>
    </row>
    <row r="960" spans="1:7" x14ac:dyDescent="0.35">
      <c r="A960" s="2">
        <v>42275</v>
      </c>
      <c r="B960" s="93" t="s">
        <v>105</v>
      </c>
      <c r="C960" t="s">
        <v>8</v>
      </c>
      <c r="D960" t="s">
        <v>18</v>
      </c>
      <c r="E960" t="s">
        <v>74</v>
      </c>
      <c r="F960" s="12" t="s">
        <v>82</v>
      </c>
      <c r="G960" s="4" t="s">
        <v>1411</v>
      </c>
    </row>
    <row r="961" spans="1:7" x14ac:dyDescent="0.35">
      <c r="A961" s="2">
        <v>42275</v>
      </c>
      <c r="B961" s="93" t="s">
        <v>105</v>
      </c>
      <c r="C961" t="s">
        <v>8</v>
      </c>
      <c r="D961" t="s">
        <v>18</v>
      </c>
      <c r="E961" t="s">
        <v>74</v>
      </c>
      <c r="F961" s="12" t="s">
        <v>82</v>
      </c>
      <c r="G961" s="4" t="s">
        <v>1412</v>
      </c>
    </row>
    <row r="962" spans="1:7" x14ac:dyDescent="0.35">
      <c r="A962" s="2">
        <v>42275</v>
      </c>
      <c r="B962" s="93" t="s">
        <v>105</v>
      </c>
      <c r="C962" t="s">
        <v>8</v>
      </c>
      <c r="D962" t="s">
        <v>167</v>
      </c>
      <c r="E962" t="s">
        <v>74</v>
      </c>
      <c r="F962" s="12" t="s">
        <v>82</v>
      </c>
      <c r="G962" s="4" t="s">
        <v>1413</v>
      </c>
    </row>
    <row r="963" spans="1:7" x14ac:dyDescent="0.35">
      <c r="A963" s="2">
        <v>42275</v>
      </c>
      <c r="B963" s="93" t="s">
        <v>105</v>
      </c>
      <c r="C963" t="s">
        <v>8</v>
      </c>
      <c r="D963" t="s">
        <v>167</v>
      </c>
      <c r="E963" t="s">
        <v>74</v>
      </c>
      <c r="F963" s="12" t="s">
        <v>82</v>
      </c>
      <c r="G963" s="4" t="s">
        <v>1414</v>
      </c>
    </row>
    <row r="964" spans="1:7" x14ac:dyDescent="0.35">
      <c r="A964" s="2">
        <v>42275</v>
      </c>
      <c r="B964" s="93" t="s">
        <v>105</v>
      </c>
      <c r="C964" t="s">
        <v>8</v>
      </c>
      <c r="D964" t="s">
        <v>25</v>
      </c>
      <c r="E964" t="s">
        <v>74</v>
      </c>
      <c r="F964" s="12" t="s">
        <v>82</v>
      </c>
      <c r="G964" s="4" t="s">
        <v>1415</v>
      </c>
    </row>
    <row r="965" spans="1:7" x14ac:dyDescent="0.35">
      <c r="A965" s="2">
        <v>42275</v>
      </c>
      <c r="B965" s="93" t="s">
        <v>105</v>
      </c>
      <c r="C965" t="s">
        <v>8</v>
      </c>
      <c r="D965" t="s">
        <v>25</v>
      </c>
      <c r="E965" t="s">
        <v>74</v>
      </c>
      <c r="F965" s="12" t="s">
        <v>82</v>
      </c>
      <c r="G965" s="4" t="s">
        <v>1416</v>
      </c>
    </row>
    <row r="966" spans="1:7" x14ac:dyDescent="0.35">
      <c r="A966" s="2">
        <v>42275</v>
      </c>
      <c r="B966" s="93" t="s">
        <v>105</v>
      </c>
      <c r="C966" t="s">
        <v>8</v>
      </c>
      <c r="D966" t="s">
        <v>26</v>
      </c>
      <c r="E966" t="s">
        <v>74</v>
      </c>
      <c r="F966" s="12" t="s">
        <v>82</v>
      </c>
      <c r="G966" s="4" t="s">
        <v>1417</v>
      </c>
    </row>
    <row r="967" spans="1:7" x14ac:dyDescent="0.35">
      <c r="A967" s="2">
        <v>42275</v>
      </c>
      <c r="B967" s="93" t="s">
        <v>105</v>
      </c>
      <c r="C967" t="s">
        <v>8</v>
      </c>
      <c r="D967" t="s">
        <v>26</v>
      </c>
      <c r="E967" t="s">
        <v>74</v>
      </c>
      <c r="F967" s="12" t="s">
        <v>82</v>
      </c>
      <c r="G967" s="4" t="s">
        <v>1418</v>
      </c>
    </row>
    <row r="968" spans="1:7" x14ac:dyDescent="0.35">
      <c r="A968" s="2">
        <v>42275</v>
      </c>
      <c r="B968" s="93" t="s">
        <v>105</v>
      </c>
      <c r="C968" t="s">
        <v>8</v>
      </c>
      <c r="D968" t="s">
        <v>69</v>
      </c>
      <c r="E968" t="s">
        <v>74</v>
      </c>
      <c r="F968" s="12" t="s">
        <v>82</v>
      </c>
      <c r="G968" s="4" t="s">
        <v>1419</v>
      </c>
    </row>
    <row r="969" spans="1:7" x14ac:dyDescent="0.35">
      <c r="A969" s="2">
        <v>42275</v>
      </c>
      <c r="B969" s="93" t="s">
        <v>105</v>
      </c>
      <c r="C969" t="s">
        <v>8</v>
      </c>
      <c r="D969" t="s">
        <v>69</v>
      </c>
      <c r="E969" t="s">
        <v>74</v>
      </c>
      <c r="F969" s="12" t="s">
        <v>82</v>
      </c>
      <c r="G969" s="4" t="s">
        <v>1420</v>
      </c>
    </row>
    <row r="970" spans="1:7" x14ac:dyDescent="0.35">
      <c r="A970" s="2">
        <v>42275</v>
      </c>
      <c r="B970" s="93" t="s">
        <v>105</v>
      </c>
      <c r="C970" t="s">
        <v>8</v>
      </c>
      <c r="D970" t="s">
        <v>9</v>
      </c>
      <c r="E970" t="s">
        <v>78</v>
      </c>
      <c r="F970" s="12" t="s">
        <v>105</v>
      </c>
      <c r="G970" s="4" t="s">
        <v>2316</v>
      </c>
    </row>
    <row r="971" spans="1:7" x14ac:dyDescent="0.35">
      <c r="A971" s="2">
        <v>42275</v>
      </c>
      <c r="B971" s="93" t="s">
        <v>105</v>
      </c>
      <c r="C971" t="s">
        <v>8</v>
      </c>
      <c r="D971" t="s">
        <v>9</v>
      </c>
      <c r="E971" t="s">
        <v>78</v>
      </c>
      <c r="F971" s="12" t="s">
        <v>105</v>
      </c>
      <c r="G971" s="4" t="s">
        <v>2317</v>
      </c>
    </row>
    <row r="972" spans="1:7" x14ac:dyDescent="0.35">
      <c r="A972" s="2">
        <v>42275</v>
      </c>
      <c r="B972" s="93" t="s">
        <v>105</v>
      </c>
      <c r="C972" t="s">
        <v>8</v>
      </c>
      <c r="D972" t="s">
        <v>9</v>
      </c>
      <c r="E972" t="s">
        <v>78</v>
      </c>
      <c r="F972" s="12" t="s">
        <v>105</v>
      </c>
      <c r="G972" s="4" t="s">
        <v>2318</v>
      </c>
    </row>
    <row r="973" spans="1:7" x14ac:dyDescent="0.35">
      <c r="A973" s="2">
        <v>42275</v>
      </c>
      <c r="B973" s="93" t="s">
        <v>105</v>
      </c>
      <c r="C973" t="s">
        <v>8</v>
      </c>
      <c r="D973" t="s">
        <v>167</v>
      </c>
      <c r="E973" t="s">
        <v>78</v>
      </c>
      <c r="F973" s="12" t="s">
        <v>105</v>
      </c>
      <c r="G973" s="4" t="s">
        <v>2319</v>
      </c>
    </row>
    <row r="974" spans="1:7" x14ac:dyDescent="0.35">
      <c r="A974" s="2">
        <v>42275</v>
      </c>
      <c r="B974" s="93" t="s">
        <v>105</v>
      </c>
      <c r="C974" t="s">
        <v>8</v>
      </c>
      <c r="D974" t="s">
        <v>167</v>
      </c>
      <c r="E974" t="s">
        <v>78</v>
      </c>
      <c r="F974" s="12" t="s">
        <v>105</v>
      </c>
      <c r="G974" s="4" t="s">
        <v>2320</v>
      </c>
    </row>
    <row r="975" spans="1:7" x14ac:dyDescent="0.35">
      <c r="A975" s="2">
        <v>42275</v>
      </c>
      <c r="B975" s="93" t="s">
        <v>105</v>
      </c>
      <c r="C975" t="s">
        <v>8</v>
      </c>
      <c r="D975" t="s">
        <v>167</v>
      </c>
      <c r="E975" t="s">
        <v>78</v>
      </c>
      <c r="F975" s="12" t="s">
        <v>105</v>
      </c>
      <c r="G975" s="4" t="s">
        <v>2321</v>
      </c>
    </row>
    <row r="976" spans="1:7" x14ac:dyDescent="0.35">
      <c r="A976" s="2">
        <v>42277</v>
      </c>
      <c r="B976" s="93" t="s">
        <v>105</v>
      </c>
      <c r="C976" t="s">
        <v>104</v>
      </c>
      <c r="D976" t="s">
        <v>64</v>
      </c>
      <c r="E976" t="s">
        <v>10</v>
      </c>
      <c r="F976" s="12" t="s">
        <v>105</v>
      </c>
      <c r="G976" s="4" t="s">
        <v>1666</v>
      </c>
    </row>
    <row r="977" spans="1:7" x14ac:dyDescent="0.35">
      <c r="A977" s="2">
        <v>42277</v>
      </c>
      <c r="B977" s="93" t="s">
        <v>105</v>
      </c>
      <c r="C977" t="s">
        <v>104</v>
      </c>
      <c r="D977" t="s">
        <v>64</v>
      </c>
      <c r="E977" t="s">
        <v>10</v>
      </c>
      <c r="F977" s="12" t="s">
        <v>105</v>
      </c>
      <c r="G977" s="4" t="s">
        <v>1667</v>
      </c>
    </row>
    <row r="978" spans="1:7" x14ac:dyDescent="0.35">
      <c r="A978" s="2">
        <v>42277</v>
      </c>
      <c r="B978" s="93" t="s">
        <v>105</v>
      </c>
      <c r="C978" t="s">
        <v>104</v>
      </c>
      <c r="D978" t="s">
        <v>64</v>
      </c>
      <c r="E978" t="s">
        <v>10</v>
      </c>
      <c r="F978" s="12" t="s">
        <v>105</v>
      </c>
      <c r="G978" s="4" t="s">
        <v>1668</v>
      </c>
    </row>
    <row r="979" spans="1:7" x14ac:dyDescent="0.35">
      <c r="A979" s="2">
        <v>42277</v>
      </c>
      <c r="B979" s="93" t="s">
        <v>105</v>
      </c>
      <c r="C979" t="s">
        <v>104</v>
      </c>
      <c r="D979" t="s">
        <v>60</v>
      </c>
      <c r="E979" t="s">
        <v>10</v>
      </c>
      <c r="F979" s="12" t="s">
        <v>105</v>
      </c>
      <c r="G979" s="4" t="s">
        <v>1672</v>
      </c>
    </row>
    <row r="980" spans="1:7" x14ac:dyDescent="0.35">
      <c r="A980" s="2">
        <v>42277</v>
      </c>
      <c r="B980" s="93" t="s">
        <v>105</v>
      </c>
      <c r="C980" t="s">
        <v>104</v>
      </c>
      <c r="D980" t="s">
        <v>60</v>
      </c>
      <c r="E980" t="s">
        <v>10</v>
      </c>
      <c r="F980" s="12" t="s">
        <v>105</v>
      </c>
      <c r="G980" s="4" t="s">
        <v>1673</v>
      </c>
    </row>
    <row r="981" spans="1:7" x14ac:dyDescent="0.35">
      <c r="A981" s="2">
        <v>42277</v>
      </c>
      <c r="B981" s="93" t="s">
        <v>105</v>
      </c>
      <c r="C981" t="s">
        <v>104</v>
      </c>
      <c r="D981" t="s">
        <v>60</v>
      </c>
      <c r="E981" t="s">
        <v>10</v>
      </c>
      <c r="F981" s="12" t="s">
        <v>105</v>
      </c>
      <c r="G981" s="4" t="s">
        <v>1674</v>
      </c>
    </row>
    <row r="982" spans="1:7" x14ac:dyDescent="0.35">
      <c r="A982" s="2">
        <v>42277</v>
      </c>
      <c r="B982" s="93" t="s">
        <v>105</v>
      </c>
      <c r="C982" t="s">
        <v>104</v>
      </c>
      <c r="D982" t="s">
        <v>64</v>
      </c>
      <c r="E982" t="s">
        <v>74</v>
      </c>
      <c r="F982" s="12" t="s">
        <v>82</v>
      </c>
      <c r="G982" s="4" t="s">
        <v>1669</v>
      </c>
    </row>
    <row r="983" spans="1:7" x14ac:dyDescent="0.35">
      <c r="A983" s="2">
        <v>42277</v>
      </c>
      <c r="B983" s="93" t="s">
        <v>105</v>
      </c>
      <c r="C983" t="s">
        <v>104</v>
      </c>
      <c r="D983" t="s">
        <v>64</v>
      </c>
      <c r="E983" t="s">
        <v>74</v>
      </c>
      <c r="F983" s="12" t="s">
        <v>82</v>
      </c>
      <c r="G983" s="4" t="s">
        <v>1670</v>
      </c>
    </row>
    <row r="984" spans="1:7" x14ac:dyDescent="0.35">
      <c r="A984" s="2">
        <v>42277</v>
      </c>
      <c r="B984" s="93">
        <v>0.51041666666666663</v>
      </c>
      <c r="C984" t="s">
        <v>104</v>
      </c>
      <c r="D984" t="s">
        <v>60</v>
      </c>
      <c r="E984" t="s">
        <v>74</v>
      </c>
      <c r="F984" s="75">
        <v>98.4</v>
      </c>
      <c r="G984" s="4" t="s">
        <v>1675</v>
      </c>
    </row>
    <row r="985" spans="1:7" x14ac:dyDescent="0.35">
      <c r="A985" s="2">
        <v>42277</v>
      </c>
      <c r="B985" s="93">
        <v>0.51597222222222217</v>
      </c>
      <c r="C985" t="s">
        <v>104</v>
      </c>
      <c r="D985" t="s">
        <v>60</v>
      </c>
      <c r="E985" t="s">
        <v>74</v>
      </c>
      <c r="F985" s="108">
        <v>86</v>
      </c>
      <c r="G985" s="4" t="s">
        <v>1676</v>
      </c>
    </row>
    <row r="986" spans="1:7" x14ac:dyDescent="0.35">
      <c r="A986" s="2">
        <v>42277</v>
      </c>
      <c r="B986" s="93">
        <v>0.51874999999999993</v>
      </c>
      <c r="C986" t="s">
        <v>104</v>
      </c>
      <c r="D986" t="s">
        <v>60</v>
      </c>
      <c r="E986" t="s">
        <v>74</v>
      </c>
      <c r="F986" s="75">
        <v>76.8</v>
      </c>
      <c r="G986" s="4" t="s">
        <v>1677</v>
      </c>
    </row>
    <row r="987" spans="1:7" x14ac:dyDescent="0.35">
      <c r="A987" s="2">
        <v>42277</v>
      </c>
      <c r="B987" s="93">
        <v>0.52222222222222225</v>
      </c>
      <c r="C987" t="s">
        <v>104</v>
      </c>
      <c r="D987" t="s">
        <v>60</v>
      </c>
      <c r="E987" t="s">
        <v>74</v>
      </c>
      <c r="F987" s="75">
        <v>65.900000000000006</v>
      </c>
      <c r="G987" s="4" t="s">
        <v>1678</v>
      </c>
    </row>
    <row r="988" spans="1:7" x14ac:dyDescent="0.35">
      <c r="A988" s="2">
        <v>42277</v>
      </c>
      <c r="B988" s="93">
        <v>0.52638888888888891</v>
      </c>
      <c r="C988" t="s">
        <v>104</v>
      </c>
      <c r="D988" t="s">
        <v>60</v>
      </c>
      <c r="E988" t="s">
        <v>74</v>
      </c>
      <c r="F988" s="75">
        <v>54.8</v>
      </c>
      <c r="G988" s="4" t="s">
        <v>1679</v>
      </c>
    </row>
    <row r="989" spans="1:7" x14ac:dyDescent="0.35">
      <c r="A989" s="2">
        <v>42277</v>
      </c>
      <c r="B989" s="93">
        <v>0.52986111111111112</v>
      </c>
      <c r="C989" t="s">
        <v>104</v>
      </c>
      <c r="D989" t="s">
        <v>60</v>
      </c>
      <c r="E989" t="s">
        <v>74</v>
      </c>
      <c r="F989" s="108">
        <v>44</v>
      </c>
      <c r="G989" s="4" t="s">
        <v>1680</v>
      </c>
    </row>
    <row r="990" spans="1:7" x14ac:dyDescent="0.35">
      <c r="A990" s="2">
        <v>42277</v>
      </c>
      <c r="B990" s="93">
        <v>0.53263888888888888</v>
      </c>
      <c r="C990" t="s">
        <v>104</v>
      </c>
      <c r="D990" t="s">
        <v>60</v>
      </c>
      <c r="E990" t="s">
        <v>74</v>
      </c>
      <c r="F990" s="75">
        <v>33.1</v>
      </c>
      <c r="G990" s="4" t="s">
        <v>1681</v>
      </c>
    </row>
    <row r="991" spans="1:7" x14ac:dyDescent="0.35">
      <c r="A991" s="2">
        <v>42277</v>
      </c>
      <c r="B991" s="93">
        <v>0.53541666666666665</v>
      </c>
      <c r="C991" t="s">
        <v>104</v>
      </c>
      <c r="D991" t="s">
        <v>60</v>
      </c>
      <c r="E991" t="s">
        <v>74</v>
      </c>
      <c r="F991" s="75">
        <v>22.3</v>
      </c>
      <c r="G991" s="4" t="s">
        <v>1682</v>
      </c>
    </row>
    <row r="992" spans="1:7" x14ac:dyDescent="0.35">
      <c r="A992" s="2">
        <v>42277</v>
      </c>
      <c r="B992" s="93">
        <v>0.53680555555555554</v>
      </c>
      <c r="C992" t="s">
        <v>104</v>
      </c>
      <c r="D992" t="s">
        <v>60</v>
      </c>
      <c r="E992" t="s">
        <v>74</v>
      </c>
      <c r="F992" s="75">
        <v>11.2</v>
      </c>
      <c r="G992" s="4" t="s">
        <v>1683</v>
      </c>
    </row>
    <row r="993" spans="1:7" x14ac:dyDescent="0.35">
      <c r="A993" s="2">
        <v>42277</v>
      </c>
      <c r="B993" s="93">
        <v>0.53819444444444442</v>
      </c>
      <c r="C993" t="s">
        <v>104</v>
      </c>
      <c r="D993" t="s">
        <v>60</v>
      </c>
      <c r="E993" t="s">
        <v>74</v>
      </c>
      <c r="F993" s="75">
        <v>0.33</v>
      </c>
      <c r="G993" s="4" t="s">
        <v>1684</v>
      </c>
    </row>
    <row r="994" spans="1:7" x14ac:dyDescent="0.35">
      <c r="A994" s="2">
        <v>42277</v>
      </c>
      <c r="B994" s="93">
        <v>0.53819444444444442</v>
      </c>
      <c r="C994" t="s">
        <v>104</v>
      </c>
      <c r="D994" t="s">
        <v>60</v>
      </c>
      <c r="E994" t="s">
        <v>74</v>
      </c>
      <c r="F994" s="75">
        <v>0.33</v>
      </c>
      <c r="G994" s="4" t="s">
        <v>1685</v>
      </c>
    </row>
    <row r="995" spans="1:7" x14ac:dyDescent="0.35">
      <c r="A995" s="2">
        <v>42277</v>
      </c>
      <c r="B995" s="93" t="s">
        <v>105</v>
      </c>
      <c r="C995" t="s">
        <v>104</v>
      </c>
      <c r="D995" t="s">
        <v>64</v>
      </c>
      <c r="E995" t="s">
        <v>78</v>
      </c>
      <c r="F995" s="12" t="s">
        <v>105</v>
      </c>
      <c r="G995" s="4" t="s">
        <v>1671</v>
      </c>
    </row>
    <row r="996" spans="1:7" x14ac:dyDescent="0.35">
      <c r="A996" s="2">
        <v>42277</v>
      </c>
      <c r="B996" s="93" t="s">
        <v>105</v>
      </c>
      <c r="C996" t="s">
        <v>104</v>
      </c>
      <c r="D996" t="s">
        <v>64</v>
      </c>
      <c r="E996" t="s">
        <v>78</v>
      </c>
      <c r="F996" s="12" t="s">
        <v>105</v>
      </c>
      <c r="G996" s="4" t="s">
        <v>1715</v>
      </c>
    </row>
    <row r="997" spans="1:7" x14ac:dyDescent="0.35">
      <c r="A997" s="2">
        <v>42277</v>
      </c>
      <c r="B997" s="93" t="s">
        <v>105</v>
      </c>
      <c r="C997" t="s">
        <v>104</v>
      </c>
      <c r="D997" t="s">
        <v>64</v>
      </c>
      <c r="E997" t="s">
        <v>78</v>
      </c>
      <c r="F997" s="12" t="s">
        <v>105</v>
      </c>
      <c r="G997" s="4" t="s">
        <v>1716</v>
      </c>
    </row>
    <row r="998" spans="1:7" x14ac:dyDescent="0.35">
      <c r="A998" s="2">
        <v>42282</v>
      </c>
      <c r="B998" s="93" t="s">
        <v>105</v>
      </c>
      <c r="C998" t="s">
        <v>104</v>
      </c>
      <c r="D998" t="s">
        <v>167</v>
      </c>
      <c r="E998" t="s">
        <v>10</v>
      </c>
      <c r="F998" s="12" t="s">
        <v>105</v>
      </c>
      <c r="G998" s="4" t="s">
        <v>1686</v>
      </c>
    </row>
    <row r="999" spans="1:7" x14ac:dyDescent="0.35">
      <c r="A999" s="2">
        <v>42282</v>
      </c>
      <c r="B999" s="93" t="s">
        <v>105</v>
      </c>
      <c r="C999" t="s">
        <v>104</v>
      </c>
      <c r="D999" t="s">
        <v>167</v>
      </c>
      <c r="E999" t="s">
        <v>10</v>
      </c>
      <c r="F999" s="12" t="s">
        <v>105</v>
      </c>
      <c r="G999" s="4" t="s">
        <v>1687</v>
      </c>
    </row>
    <row r="1000" spans="1:7" x14ac:dyDescent="0.35">
      <c r="A1000" s="2">
        <v>42282</v>
      </c>
      <c r="B1000" s="93" t="s">
        <v>105</v>
      </c>
      <c r="C1000" t="s">
        <v>104</v>
      </c>
      <c r="D1000" t="s">
        <v>167</v>
      </c>
      <c r="E1000" t="s">
        <v>10</v>
      </c>
      <c r="F1000" s="12" t="s">
        <v>105</v>
      </c>
      <c r="G1000" s="4" t="s">
        <v>1688</v>
      </c>
    </row>
    <row r="1001" spans="1:7" x14ac:dyDescent="0.35">
      <c r="A1001" s="2">
        <v>42282</v>
      </c>
      <c r="B1001" s="93" t="s">
        <v>105</v>
      </c>
      <c r="C1001" t="s">
        <v>104</v>
      </c>
      <c r="D1001" t="s">
        <v>26</v>
      </c>
      <c r="E1001" t="s">
        <v>10</v>
      </c>
      <c r="F1001" s="12" t="s">
        <v>105</v>
      </c>
      <c r="G1001" s="12" t="s">
        <v>105</v>
      </c>
    </row>
    <row r="1002" spans="1:7" x14ac:dyDescent="0.35">
      <c r="A1002" s="2">
        <v>42282</v>
      </c>
      <c r="B1002" s="93" t="s">
        <v>105</v>
      </c>
      <c r="C1002" t="s">
        <v>104</v>
      </c>
      <c r="D1002" t="s">
        <v>26</v>
      </c>
      <c r="E1002" t="s">
        <v>10</v>
      </c>
      <c r="F1002" s="12" t="s">
        <v>105</v>
      </c>
      <c r="G1002" s="12" t="s">
        <v>105</v>
      </c>
    </row>
    <row r="1003" spans="1:7" x14ac:dyDescent="0.35">
      <c r="A1003" s="2">
        <v>42282</v>
      </c>
      <c r="B1003" s="93" t="s">
        <v>105</v>
      </c>
      <c r="C1003" t="s">
        <v>104</v>
      </c>
      <c r="D1003" t="s">
        <v>26</v>
      </c>
      <c r="E1003" t="s">
        <v>10</v>
      </c>
      <c r="F1003" s="12" t="s">
        <v>105</v>
      </c>
      <c r="G1003" s="12" t="s">
        <v>105</v>
      </c>
    </row>
    <row r="1004" spans="1:7" x14ac:dyDescent="0.35">
      <c r="A1004" s="2">
        <v>42282</v>
      </c>
      <c r="B1004" s="93" t="s">
        <v>105</v>
      </c>
      <c r="C1004" t="s">
        <v>104</v>
      </c>
      <c r="D1004" t="s">
        <v>25</v>
      </c>
      <c r="E1004" t="s">
        <v>10</v>
      </c>
      <c r="F1004" s="12" t="s">
        <v>105</v>
      </c>
      <c r="G1004" s="4" t="s">
        <v>1689</v>
      </c>
    </row>
    <row r="1005" spans="1:7" x14ac:dyDescent="0.35">
      <c r="A1005" s="2">
        <v>42282</v>
      </c>
      <c r="B1005" s="93" t="s">
        <v>105</v>
      </c>
      <c r="C1005" t="s">
        <v>104</v>
      </c>
      <c r="D1005" t="s">
        <v>25</v>
      </c>
      <c r="E1005" t="s">
        <v>10</v>
      </c>
      <c r="F1005" s="12" t="s">
        <v>105</v>
      </c>
      <c r="G1005" s="4" t="s">
        <v>1690</v>
      </c>
    </row>
    <row r="1006" spans="1:7" x14ac:dyDescent="0.35">
      <c r="A1006" s="2">
        <v>42282</v>
      </c>
      <c r="B1006" s="93" t="s">
        <v>105</v>
      </c>
      <c r="C1006" t="s">
        <v>104</v>
      </c>
      <c r="D1006" t="s">
        <v>25</v>
      </c>
      <c r="E1006" t="s">
        <v>10</v>
      </c>
      <c r="F1006" s="12" t="s">
        <v>105</v>
      </c>
      <c r="G1006" s="4" t="s">
        <v>1691</v>
      </c>
    </row>
    <row r="1007" spans="1:7" x14ac:dyDescent="0.35">
      <c r="A1007" s="2">
        <v>42282</v>
      </c>
      <c r="B1007" s="93" t="s">
        <v>105</v>
      </c>
      <c r="C1007" t="s">
        <v>104</v>
      </c>
      <c r="D1007" t="s">
        <v>14</v>
      </c>
      <c r="E1007" t="s">
        <v>10</v>
      </c>
      <c r="F1007" s="12" t="s">
        <v>105</v>
      </c>
      <c r="G1007" s="4" t="s">
        <v>1692</v>
      </c>
    </row>
    <row r="1008" spans="1:7" x14ac:dyDescent="0.35">
      <c r="A1008" s="2">
        <v>42282</v>
      </c>
      <c r="B1008" s="93" t="s">
        <v>105</v>
      </c>
      <c r="C1008" t="s">
        <v>104</v>
      </c>
      <c r="D1008" t="s">
        <v>14</v>
      </c>
      <c r="E1008" t="s">
        <v>10</v>
      </c>
      <c r="F1008" s="12" t="s">
        <v>105</v>
      </c>
      <c r="G1008" s="4" t="s">
        <v>1693</v>
      </c>
    </row>
    <row r="1009" spans="1:7" x14ac:dyDescent="0.35">
      <c r="A1009" s="2">
        <v>42282</v>
      </c>
      <c r="B1009" s="93" t="s">
        <v>105</v>
      </c>
      <c r="C1009" t="s">
        <v>104</v>
      </c>
      <c r="D1009" t="s">
        <v>14</v>
      </c>
      <c r="E1009" t="s">
        <v>10</v>
      </c>
      <c r="F1009" s="12" t="s">
        <v>105</v>
      </c>
      <c r="G1009" s="4" t="s">
        <v>1694</v>
      </c>
    </row>
    <row r="1010" spans="1:7" x14ac:dyDescent="0.35">
      <c r="A1010" s="2">
        <v>42282</v>
      </c>
      <c r="B1010" s="93" t="s">
        <v>105</v>
      </c>
      <c r="C1010" t="s">
        <v>104</v>
      </c>
      <c r="D1010" t="s">
        <v>9</v>
      </c>
      <c r="E1010" t="s">
        <v>10</v>
      </c>
      <c r="F1010" s="12" t="s">
        <v>105</v>
      </c>
      <c r="G1010" s="4" t="s">
        <v>1695</v>
      </c>
    </row>
    <row r="1011" spans="1:7" x14ac:dyDescent="0.35">
      <c r="A1011" s="2">
        <v>42282</v>
      </c>
      <c r="B1011" s="93" t="s">
        <v>105</v>
      </c>
      <c r="C1011" t="s">
        <v>104</v>
      </c>
      <c r="D1011" t="s">
        <v>9</v>
      </c>
      <c r="E1011" t="s">
        <v>10</v>
      </c>
      <c r="F1011" s="12" t="s">
        <v>105</v>
      </c>
      <c r="G1011" s="4" t="s">
        <v>1697</v>
      </c>
    </row>
    <row r="1012" spans="1:7" x14ac:dyDescent="0.35">
      <c r="A1012" s="2">
        <v>42282</v>
      </c>
      <c r="B1012" s="93" t="s">
        <v>105</v>
      </c>
      <c r="C1012" t="s">
        <v>104</v>
      </c>
      <c r="D1012" t="s">
        <v>9</v>
      </c>
      <c r="E1012" t="s">
        <v>10</v>
      </c>
      <c r="F1012" s="12" t="s">
        <v>105</v>
      </c>
      <c r="G1012" s="4" t="s">
        <v>1698</v>
      </c>
    </row>
    <row r="1013" spans="1:7" x14ac:dyDescent="0.35">
      <c r="A1013" s="2">
        <v>42282</v>
      </c>
      <c r="B1013" s="93" t="s">
        <v>105</v>
      </c>
      <c r="C1013" t="s">
        <v>104</v>
      </c>
      <c r="D1013" t="s">
        <v>18</v>
      </c>
      <c r="E1013" t="s">
        <v>10</v>
      </c>
      <c r="F1013" s="12" t="s">
        <v>105</v>
      </c>
      <c r="G1013" s="4" t="s">
        <v>1696</v>
      </c>
    </row>
    <row r="1014" spans="1:7" x14ac:dyDescent="0.35">
      <c r="A1014" s="2">
        <v>42282</v>
      </c>
      <c r="B1014" s="93" t="s">
        <v>105</v>
      </c>
      <c r="C1014" t="s">
        <v>104</v>
      </c>
      <c r="D1014" t="s">
        <v>18</v>
      </c>
      <c r="E1014" t="s">
        <v>10</v>
      </c>
      <c r="F1014" s="12" t="s">
        <v>105</v>
      </c>
      <c r="G1014" s="4" t="s">
        <v>1699</v>
      </c>
    </row>
    <row r="1015" spans="1:7" x14ac:dyDescent="0.35">
      <c r="A1015" s="2">
        <v>42282</v>
      </c>
      <c r="B1015" s="93" t="s">
        <v>105</v>
      </c>
      <c r="C1015" t="s">
        <v>104</v>
      </c>
      <c r="D1015" t="s">
        <v>18</v>
      </c>
      <c r="E1015" t="s">
        <v>10</v>
      </c>
      <c r="F1015" s="12" t="s">
        <v>105</v>
      </c>
      <c r="G1015" s="4" t="s">
        <v>1700</v>
      </c>
    </row>
    <row r="1016" spans="1:7" x14ac:dyDescent="0.35">
      <c r="A1016" s="2">
        <v>42282</v>
      </c>
      <c r="B1016" s="93" t="s">
        <v>105</v>
      </c>
      <c r="C1016" t="s">
        <v>104</v>
      </c>
      <c r="D1016" t="s">
        <v>167</v>
      </c>
      <c r="E1016" t="s">
        <v>74</v>
      </c>
      <c r="F1016" s="12" t="s">
        <v>82</v>
      </c>
      <c r="G1016" s="4" t="s">
        <v>1701</v>
      </c>
    </row>
    <row r="1017" spans="1:7" x14ac:dyDescent="0.35">
      <c r="A1017" s="2">
        <v>42282</v>
      </c>
      <c r="B1017" s="93" t="s">
        <v>105</v>
      </c>
      <c r="C1017" t="s">
        <v>104</v>
      </c>
      <c r="D1017" t="s">
        <v>167</v>
      </c>
      <c r="E1017" t="s">
        <v>74</v>
      </c>
      <c r="F1017" s="12" t="s">
        <v>82</v>
      </c>
      <c r="G1017" s="4" t="s">
        <v>1702</v>
      </c>
    </row>
    <row r="1018" spans="1:7" x14ac:dyDescent="0.35">
      <c r="A1018" s="2">
        <v>42282</v>
      </c>
      <c r="B1018" s="93" t="s">
        <v>105</v>
      </c>
      <c r="C1018" t="s">
        <v>104</v>
      </c>
      <c r="D1018" t="s">
        <v>26</v>
      </c>
      <c r="E1018" t="s">
        <v>74</v>
      </c>
      <c r="F1018" s="12" t="s">
        <v>82</v>
      </c>
      <c r="G1018" s="4" t="s">
        <v>2302</v>
      </c>
    </row>
    <row r="1019" spans="1:7" x14ac:dyDescent="0.35">
      <c r="A1019" s="2">
        <v>42282</v>
      </c>
      <c r="B1019" s="93" t="s">
        <v>105</v>
      </c>
      <c r="C1019" t="s">
        <v>104</v>
      </c>
      <c r="D1019" t="s">
        <v>26</v>
      </c>
      <c r="E1019" t="s">
        <v>74</v>
      </c>
      <c r="F1019" s="12" t="s">
        <v>82</v>
      </c>
      <c r="G1019" s="4" t="s">
        <v>2303</v>
      </c>
    </row>
    <row r="1020" spans="1:7" x14ac:dyDescent="0.35">
      <c r="A1020" s="2">
        <v>42282</v>
      </c>
      <c r="B1020" s="93" t="s">
        <v>105</v>
      </c>
      <c r="C1020" t="s">
        <v>104</v>
      </c>
      <c r="D1020" t="s">
        <v>25</v>
      </c>
      <c r="E1020" t="s">
        <v>74</v>
      </c>
      <c r="F1020" s="12" t="s">
        <v>82</v>
      </c>
      <c r="G1020" s="4" t="s">
        <v>1703</v>
      </c>
    </row>
    <row r="1021" spans="1:7" x14ac:dyDescent="0.35">
      <c r="A1021" s="2">
        <v>42282</v>
      </c>
      <c r="B1021" s="93" t="s">
        <v>105</v>
      </c>
      <c r="C1021" t="s">
        <v>104</v>
      </c>
      <c r="D1021" t="s">
        <v>25</v>
      </c>
      <c r="E1021" t="s">
        <v>74</v>
      </c>
      <c r="F1021" s="12" t="s">
        <v>82</v>
      </c>
      <c r="G1021" s="4" t="s">
        <v>1704</v>
      </c>
    </row>
    <row r="1022" spans="1:7" x14ac:dyDescent="0.35">
      <c r="A1022" s="2">
        <v>42282</v>
      </c>
      <c r="B1022" s="93" t="s">
        <v>105</v>
      </c>
      <c r="C1022" t="s">
        <v>104</v>
      </c>
      <c r="D1022" t="s">
        <v>9</v>
      </c>
      <c r="E1022" t="s">
        <v>74</v>
      </c>
      <c r="F1022" s="12" t="s">
        <v>82</v>
      </c>
      <c r="G1022" s="4" t="s">
        <v>1705</v>
      </c>
    </row>
    <row r="1023" spans="1:7" x14ac:dyDescent="0.35">
      <c r="A1023" s="2">
        <v>42282</v>
      </c>
      <c r="B1023" s="93" t="s">
        <v>105</v>
      </c>
      <c r="C1023" t="s">
        <v>104</v>
      </c>
      <c r="D1023" t="s">
        <v>9</v>
      </c>
      <c r="E1023" t="s">
        <v>74</v>
      </c>
      <c r="F1023" s="12" t="s">
        <v>82</v>
      </c>
      <c r="G1023" s="4" t="s">
        <v>1706</v>
      </c>
    </row>
    <row r="1024" spans="1:7" x14ac:dyDescent="0.35">
      <c r="A1024" s="2">
        <v>42282</v>
      </c>
      <c r="B1024" s="93" t="s">
        <v>105</v>
      </c>
      <c r="C1024" t="s">
        <v>104</v>
      </c>
      <c r="D1024" t="s">
        <v>14</v>
      </c>
      <c r="E1024" t="s">
        <v>74</v>
      </c>
      <c r="F1024" s="12" t="s">
        <v>82</v>
      </c>
      <c r="G1024" s="4" t="s">
        <v>1707</v>
      </c>
    </row>
    <row r="1025" spans="1:7" x14ac:dyDescent="0.35">
      <c r="A1025" s="2">
        <v>42282</v>
      </c>
      <c r="B1025" s="93" t="s">
        <v>105</v>
      </c>
      <c r="C1025" t="s">
        <v>104</v>
      </c>
      <c r="D1025" t="s">
        <v>14</v>
      </c>
      <c r="E1025" t="s">
        <v>74</v>
      </c>
      <c r="F1025" s="12" t="s">
        <v>82</v>
      </c>
      <c r="G1025" s="4" t="s">
        <v>1708</v>
      </c>
    </row>
    <row r="1026" spans="1:7" x14ac:dyDescent="0.35">
      <c r="A1026" s="2">
        <v>42282</v>
      </c>
      <c r="B1026" s="93" t="s">
        <v>105</v>
      </c>
      <c r="C1026" t="s">
        <v>104</v>
      </c>
      <c r="D1026" t="s">
        <v>18</v>
      </c>
      <c r="E1026" t="s">
        <v>74</v>
      </c>
      <c r="F1026" s="12" t="s">
        <v>82</v>
      </c>
      <c r="G1026" s="4" t="s">
        <v>1709</v>
      </c>
    </row>
    <row r="1027" spans="1:7" x14ac:dyDescent="0.35">
      <c r="A1027" s="2">
        <v>42282</v>
      </c>
      <c r="B1027" s="93" t="s">
        <v>105</v>
      </c>
      <c r="C1027" t="s">
        <v>104</v>
      </c>
      <c r="D1027" t="s">
        <v>18</v>
      </c>
      <c r="E1027" t="s">
        <v>74</v>
      </c>
      <c r="F1027" s="12" t="s">
        <v>82</v>
      </c>
      <c r="G1027" s="4" t="s">
        <v>1710</v>
      </c>
    </row>
    <row r="1028" spans="1:7" x14ac:dyDescent="0.35">
      <c r="A1028" s="2">
        <v>42282</v>
      </c>
      <c r="B1028" s="93" t="s">
        <v>105</v>
      </c>
      <c r="C1028" t="s">
        <v>104</v>
      </c>
      <c r="D1028" t="s">
        <v>167</v>
      </c>
      <c r="E1028" t="s">
        <v>78</v>
      </c>
      <c r="F1028" s="12" t="s">
        <v>105</v>
      </c>
      <c r="G1028" s="4" t="s">
        <v>1711</v>
      </c>
    </row>
    <row r="1029" spans="1:7" x14ac:dyDescent="0.35">
      <c r="A1029" s="2">
        <v>42282</v>
      </c>
      <c r="B1029" s="93" t="s">
        <v>105</v>
      </c>
      <c r="C1029" t="s">
        <v>104</v>
      </c>
      <c r="D1029" t="s">
        <v>167</v>
      </c>
      <c r="E1029" t="s">
        <v>78</v>
      </c>
      <c r="F1029" s="12" t="s">
        <v>105</v>
      </c>
      <c r="G1029" s="4" t="s">
        <v>2300</v>
      </c>
    </row>
    <row r="1030" spans="1:7" x14ac:dyDescent="0.35">
      <c r="A1030" s="2">
        <v>42282</v>
      </c>
      <c r="B1030" s="93" t="s">
        <v>105</v>
      </c>
      <c r="C1030" t="s">
        <v>104</v>
      </c>
      <c r="D1030" t="s">
        <v>167</v>
      </c>
      <c r="E1030" t="s">
        <v>78</v>
      </c>
      <c r="F1030" s="12" t="s">
        <v>105</v>
      </c>
      <c r="G1030" s="4" t="s">
        <v>2301</v>
      </c>
    </row>
    <row r="1031" spans="1:7" x14ac:dyDescent="0.35">
      <c r="A1031" s="2">
        <v>42282</v>
      </c>
      <c r="B1031" s="93" t="s">
        <v>105</v>
      </c>
      <c r="C1031" t="s">
        <v>104</v>
      </c>
      <c r="D1031" t="s">
        <v>9</v>
      </c>
      <c r="E1031" t="s">
        <v>78</v>
      </c>
      <c r="F1031" s="12" t="s">
        <v>105</v>
      </c>
      <c r="G1031" s="4" t="s">
        <v>1712</v>
      </c>
    </row>
    <row r="1032" spans="1:7" x14ac:dyDescent="0.35">
      <c r="A1032" s="2">
        <v>42282</v>
      </c>
      <c r="B1032" s="93" t="s">
        <v>105</v>
      </c>
      <c r="C1032" t="s">
        <v>104</v>
      </c>
      <c r="D1032" t="s">
        <v>9</v>
      </c>
      <c r="E1032" t="s">
        <v>78</v>
      </c>
      <c r="F1032" s="12" t="s">
        <v>105</v>
      </c>
      <c r="G1032" s="4" t="s">
        <v>1713</v>
      </c>
    </row>
    <row r="1033" spans="1:7" x14ac:dyDescent="0.35">
      <c r="A1033" s="2">
        <v>42282</v>
      </c>
      <c r="B1033" s="93" t="s">
        <v>105</v>
      </c>
      <c r="C1033" t="s">
        <v>104</v>
      </c>
      <c r="D1033" t="s">
        <v>9</v>
      </c>
      <c r="E1033" t="s">
        <v>78</v>
      </c>
      <c r="F1033" s="12" t="s">
        <v>105</v>
      </c>
      <c r="G1033" s="4" t="s">
        <v>1714</v>
      </c>
    </row>
    <row r="1034" spans="1:7" x14ac:dyDescent="0.35">
      <c r="A1034" s="2">
        <v>42285</v>
      </c>
      <c r="B1034" s="93" t="s">
        <v>105</v>
      </c>
      <c r="C1034" t="s">
        <v>104</v>
      </c>
      <c r="D1034" t="s">
        <v>64</v>
      </c>
      <c r="E1034" t="s">
        <v>10</v>
      </c>
      <c r="F1034" t="s">
        <v>105</v>
      </c>
      <c r="G1034">
        <v>1034</v>
      </c>
    </row>
    <row r="1035" spans="1:7" x14ac:dyDescent="0.35">
      <c r="A1035" s="2">
        <v>42285</v>
      </c>
      <c r="B1035" s="93" t="s">
        <v>105</v>
      </c>
      <c r="C1035" t="s">
        <v>104</v>
      </c>
      <c r="D1035" t="s">
        <v>64</v>
      </c>
      <c r="E1035" t="s">
        <v>10</v>
      </c>
      <c r="F1035" t="s">
        <v>105</v>
      </c>
      <c r="G1035">
        <v>1035</v>
      </c>
    </row>
    <row r="1036" spans="1:7" x14ac:dyDescent="0.35">
      <c r="A1036" s="2">
        <v>42285</v>
      </c>
      <c r="B1036" s="93" t="s">
        <v>105</v>
      </c>
      <c r="C1036" t="s">
        <v>104</v>
      </c>
      <c r="D1036" t="s">
        <v>64</v>
      </c>
      <c r="E1036" t="s">
        <v>10</v>
      </c>
      <c r="F1036" t="s">
        <v>105</v>
      </c>
      <c r="G1036">
        <v>1036</v>
      </c>
    </row>
    <row r="1037" spans="1:7" x14ac:dyDescent="0.35">
      <c r="A1037" s="2">
        <v>42285</v>
      </c>
      <c r="B1037" s="93" t="s">
        <v>105</v>
      </c>
      <c r="C1037" t="s">
        <v>104</v>
      </c>
      <c r="D1037" t="s">
        <v>69</v>
      </c>
      <c r="E1037" t="s">
        <v>10</v>
      </c>
      <c r="F1037" t="s">
        <v>105</v>
      </c>
      <c r="G1037">
        <v>1042</v>
      </c>
    </row>
    <row r="1038" spans="1:7" x14ac:dyDescent="0.35">
      <c r="A1038" s="2">
        <v>42285</v>
      </c>
      <c r="B1038" s="93" t="s">
        <v>105</v>
      </c>
      <c r="C1038" t="s">
        <v>104</v>
      </c>
      <c r="D1038" t="s">
        <v>69</v>
      </c>
      <c r="E1038" t="s">
        <v>10</v>
      </c>
      <c r="F1038" t="s">
        <v>105</v>
      </c>
      <c r="G1038">
        <v>1043</v>
      </c>
    </row>
    <row r="1039" spans="1:7" x14ac:dyDescent="0.35">
      <c r="A1039" s="2">
        <v>42285</v>
      </c>
      <c r="B1039" s="93" t="s">
        <v>105</v>
      </c>
      <c r="C1039" t="s">
        <v>104</v>
      </c>
      <c r="D1039" t="s">
        <v>69</v>
      </c>
      <c r="E1039" t="s">
        <v>10</v>
      </c>
      <c r="F1039" t="s">
        <v>105</v>
      </c>
      <c r="G1039">
        <v>1044</v>
      </c>
    </row>
    <row r="1040" spans="1:7" x14ac:dyDescent="0.35">
      <c r="A1040" s="2">
        <v>42285</v>
      </c>
      <c r="B1040" s="93" t="s">
        <v>105</v>
      </c>
      <c r="C1040" t="s">
        <v>104</v>
      </c>
      <c r="D1040" t="s">
        <v>60</v>
      </c>
      <c r="E1040" t="s">
        <v>10</v>
      </c>
      <c r="F1040" t="s">
        <v>105</v>
      </c>
      <c r="G1040">
        <v>1047</v>
      </c>
    </row>
    <row r="1041" spans="1:7" x14ac:dyDescent="0.35">
      <c r="A1041" s="2">
        <v>42285</v>
      </c>
      <c r="B1041" s="93" t="s">
        <v>105</v>
      </c>
      <c r="C1041" t="s">
        <v>104</v>
      </c>
      <c r="D1041" t="s">
        <v>60</v>
      </c>
      <c r="E1041" t="s">
        <v>10</v>
      </c>
      <c r="F1041" t="s">
        <v>105</v>
      </c>
      <c r="G1041">
        <v>1048</v>
      </c>
    </row>
    <row r="1042" spans="1:7" x14ac:dyDescent="0.35">
      <c r="A1042" s="2">
        <v>42285</v>
      </c>
      <c r="B1042" s="93" t="s">
        <v>105</v>
      </c>
      <c r="C1042" t="s">
        <v>104</v>
      </c>
      <c r="D1042" t="s">
        <v>60</v>
      </c>
      <c r="E1042" t="s">
        <v>10</v>
      </c>
      <c r="F1042" t="s">
        <v>105</v>
      </c>
      <c r="G1042">
        <v>1049</v>
      </c>
    </row>
    <row r="1043" spans="1:7" x14ac:dyDescent="0.35">
      <c r="A1043" s="2">
        <v>42285</v>
      </c>
      <c r="B1043" s="93" t="s">
        <v>105</v>
      </c>
      <c r="C1043" t="s">
        <v>104</v>
      </c>
      <c r="D1043" t="s">
        <v>64</v>
      </c>
      <c r="E1043" t="s">
        <v>74</v>
      </c>
      <c r="F1043" s="12" t="s">
        <v>82</v>
      </c>
      <c r="G1043">
        <v>1037</v>
      </c>
    </row>
    <row r="1044" spans="1:7" x14ac:dyDescent="0.35">
      <c r="A1044" s="2">
        <v>42285</v>
      </c>
      <c r="B1044" s="93" t="s">
        <v>105</v>
      </c>
      <c r="C1044" t="s">
        <v>104</v>
      </c>
      <c r="D1044" t="s">
        <v>64</v>
      </c>
      <c r="E1044" t="s">
        <v>74</v>
      </c>
      <c r="F1044" s="12" t="s">
        <v>82</v>
      </c>
      <c r="G1044">
        <v>1038</v>
      </c>
    </row>
    <row r="1045" spans="1:7" x14ac:dyDescent="0.35">
      <c r="A1045" s="2">
        <v>42285</v>
      </c>
      <c r="B1045" s="93" t="s">
        <v>105</v>
      </c>
      <c r="C1045" t="s">
        <v>104</v>
      </c>
      <c r="D1045" t="s">
        <v>69</v>
      </c>
      <c r="E1045" t="s">
        <v>74</v>
      </c>
      <c r="F1045" s="12" t="s">
        <v>82</v>
      </c>
      <c r="G1045">
        <v>1045</v>
      </c>
    </row>
    <row r="1046" spans="1:7" x14ac:dyDescent="0.35">
      <c r="A1046" s="2">
        <v>42285</v>
      </c>
      <c r="B1046" s="93" t="s">
        <v>105</v>
      </c>
      <c r="C1046" t="s">
        <v>104</v>
      </c>
      <c r="D1046" t="s">
        <v>69</v>
      </c>
      <c r="E1046" t="s">
        <v>74</v>
      </c>
      <c r="F1046" s="12" t="s">
        <v>82</v>
      </c>
      <c r="G1046">
        <v>1046</v>
      </c>
    </row>
    <row r="1047" spans="1:7" x14ac:dyDescent="0.35">
      <c r="A1047" s="2">
        <v>42285</v>
      </c>
      <c r="B1047" s="93" t="s">
        <v>105</v>
      </c>
      <c r="C1047" t="s">
        <v>104</v>
      </c>
      <c r="D1047" t="s">
        <v>60</v>
      </c>
      <c r="E1047" t="s">
        <v>74</v>
      </c>
      <c r="F1047" s="12" t="s">
        <v>82</v>
      </c>
      <c r="G1047">
        <v>1050</v>
      </c>
    </row>
    <row r="1048" spans="1:7" x14ac:dyDescent="0.35">
      <c r="A1048" s="2">
        <v>42285</v>
      </c>
      <c r="B1048" s="93" t="s">
        <v>105</v>
      </c>
      <c r="C1048" t="s">
        <v>104</v>
      </c>
      <c r="D1048" t="s">
        <v>60</v>
      </c>
      <c r="E1048" t="s">
        <v>74</v>
      </c>
      <c r="F1048" s="12" t="s">
        <v>82</v>
      </c>
      <c r="G1048">
        <v>1051</v>
      </c>
    </row>
    <row r="1049" spans="1:7" x14ac:dyDescent="0.35">
      <c r="A1049" s="2">
        <v>42285</v>
      </c>
      <c r="B1049" s="93" t="s">
        <v>105</v>
      </c>
      <c r="C1049" t="s">
        <v>104</v>
      </c>
      <c r="D1049" t="s">
        <v>64</v>
      </c>
      <c r="E1049" t="s">
        <v>78</v>
      </c>
      <c r="F1049" s="12" t="s">
        <v>105</v>
      </c>
      <c r="G1049">
        <v>1039</v>
      </c>
    </row>
    <row r="1050" spans="1:7" x14ac:dyDescent="0.35">
      <c r="A1050" s="2">
        <v>42285</v>
      </c>
      <c r="B1050" s="93" t="s">
        <v>105</v>
      </c>
      <c r="C1050" t="s">
        <v>104</v>
      </c>
      <c r="D1050" t="s">
        <v>64</v>
      </c>
      <c r="E1050" t="s">
        <v>78</v>
      </c>
      <c r="F1050" s="12" t="s">
        <v>105</v>
      </c>
      <c r="G1050">
        <v>1040</v>
      </c>
    </row>
    <row r="1051" spans="1:7" x14ac:dyDescent="0.35">
      <c r="A1051" s="2">
        <v>42285</v>
      </c>
      <c r="B1051" s="93" t="s">
        <v>105</v>
      </c>
      <c r="C1051" t="s">
        <v>104</v>
      </c>
      <c r="D1051" t="s">
        <v>64</v>
      </c>
      <c r="E1051" t="s">
        <v>78</v>
      </c>
      <c r="F1051" s="12" t="s">
        <v>105</v>
      </c>
      <c r="G1051">
        <v>1041</v>
      </c>
    </row>
    <row r="1052" spans="1:7" x14ac:dyDescent="0.35">
      <c r="A1052" s="2">
        <v>42291</v>
      </c>
      <c r="B1052" s="93" t="s">
        <v>105</v>
      </c>
      <c r="C1052" t="s">
        <v>104</v>
      </c>
      <c r="D1052" t="s">
        <v>9</v>
      </c>
      <c r="E1052" t="s">
        <v>10</v>
      </c>
      <c r="F1052" s="12" t="s">
        <v>105</v>
      </c>
      <c r="G1052">
        <v>1052</v>
      </c>
    </row>
    <row r="1053" spans="1:7" x14ac:dyDescent="0.35">
      <c r="A1053" s="2">
        <v>42291</v>
      </c>
      <c r="B1053" s="93" t="s">
        <v>105</v>
      </c>
      <c r="C1053" t="s">
        <v>104</v>
      </c>
      <c r="D1053" t="s">
        <v>9</v>
      </c>
      <c r="E1053" t="s">
        <v>10</v>
      </c>
      <c r="F1053" s="12" t="s">
        <v>105</v>
      </c>
      <c r="G1053">
        <v>1053</v>
      </c>
    </row>
    <row r="1054" spans="1:7" x14ac:dyDescent="0.35">
      <c r="A1054" s="2">
        <v>42291</v>
      </c>
      <c r="B1054" s="93" t="s">
        <v>105</v>
      </c>
      <c r="C1054" t="s">
        <v>104</v>
      </c>
      <c r="D1054" t="s">
        <v>9</v>
      </c>
      <c r="E1054" t="s">
        <v>10</v>
      </c>
      <c r="F1054" s="12" t="s">
        <v>105</v>
      </c>
      <c r="G1054">
        <v>1054</v>
      </c>
    </row>
    <row r="1055" spans="1:7" x14ac:dyDescent="0.35">
      <c r="A1055" s="2">
        <v>42291</v>
      </c>
      <c r="B1055" s="93" t="s">
        <v>105</v>
      </c>
      <c r="C1055" t="s">
        <v>104</v>
      </c>
      <c r="D1055" t="s">
        <v>14</v>
      </c>
      <c r="E1055" t="s">
        <v>10</v>
      </c>
      <c r="F1055" s="12" t="s">
        <v>105</v>
      </c>
      <c r="G1055">
        <v>1060</v>
      </c>
    </row>
    <row r="1056" spans="1:7" x14ac:dyDescent="0.35">
      <c r="A1056" s="2">
        <v>42291</v>
      </c>
      <c r="B1056" s="93" t="s">
        <v>105</v>
      </c>
      <c r="C1056" t="s">
        <v>104</v>
      </c>
      <c r="D1056" t="s">
        <v>14</v>
      </c>
      <c r="E1056" t="s">
        <v>10</v>
      </c>
      <c r="F1056" s="12" t="s">
        <v>105</v>
      </c>
      <c r="G1056">
        <v>1061</v>
      </c>
    </row>
    <row r="1057" spans="1:7" x14ac:dyDescent="0.35">
      <c r="A1057" s="2">
        <v>42291</v>
      </c>
      <c r="B1057" s="93" t="s">
        <v>105</v>
      </c>
      <c r="C1057" t="s">
        <v>104</v>
      </c>
      <c r="D1057" t="s">
        <v>14</v>
      </c>
      <c r="E1057" t="s">
        <v>10</v>
      </c>
      <c r="F1057" s="12" t="s">
        <v>105</v>
      </c>
      <c r="G1057">
        <v>1062</v>
      </c>
    </row>
    <row r="1058" spans="1:7" x14ac:dyDescent="0.35">
      <c r="A1058" s="2">
        <v>42291</v>
      </c>
      <c r="B1058" s="93" t="s">
        <v>105</v>
      </c>
      <c r="C1058" t="s">
        <v>104</v>
      </c>
      <c r="D1058" t="s">
        <v>18</v>
      </c>
      <c r="E1058" t="s">
        <v>10</v>
      </c>
      <c r="F1058" s="12" t="s">
        <v>105</v>
      </c>
      <c r="G1058">
        <v>1065</v>
      </c>
    </row>
    <row r="1059" spans="1:7" x14ac:dyDescent="0.35">
      <c r="A1059" s="2">
        <v>42291</v>
      </c>
      <c r="B1059" s="93" t="s">
        <v>105</v>
      </c>
      <c r="C1059" t="s">
        <v>104</v>
      </c>
      <c r="D1059" t="s">
        <v>18</v>
      </c>
      <c r="E1059" t="s">
        <v>10</v>
      </c>
      <c r="F1059" s="12" t="s">
        <v>105</v>
      </c>
      <c r="G1059">
        <v>1066</v>
      </c>
    </row>
    <row r="1060" spans="1:7" x14ac:dyDescent="0.35">
      <c r="A1060" s="2">
        <v>42291</v>
      </c>
      <c r="B1060" s="93" t="s">
        <v>105</v>
      </c>
      <c r="C1060" t="s">
        <v>104</v>
      </c>
      <c r="D1060" t="s">
        <v>18</v>
      </c>
      <c r="E1060" t="s">
        <v>10</v>
      </c>
      <c r="F1060" s="12" t="s">
        <v>105</v>
      </c>
      <c r="G1060">
        <v>1067</v>
      </c>
    </row>
    <row r="1061" spans="1:7" x14ac:dyDescent="0.35">
      <c r="A1061" s="2">
        <v>42291</v>
      </c>
      <c r="B1061" s="93" t="s">
        <v>105</v>
      </c>
      <c r="C1061" t="s">
        <v>104</v>
      </c>
      <c r="D1061" t="s">
        <v>25</v>
      </c>
      <c r="E1061" t="s">
        <v>10</v>
      </c>
      <c r="F1061" s="12" t="s">
        <v>105</v>
      </c>
      <c r="G1061">
        <v>1070</v>
      </c>
    </row>
    <row r="1062" spans="1:7" x14ac:dyDescent="0.35">
      <c r="A1062" s="2">
        <v>42291</v>
      </c>
      <c r="B1062" s="93" t="s">
        <v>105</v>
      </c>
      <c r="C1062" t="s">
        <v>104</v>
      </c>
      <c r="D1062" t="s">
        <v>25</v>
      </c>
      <c r="E1062" t="s">
        <v>10</v>
      </c>
      <c r="F1062" s="12" t="s">
        <v>105</v>
      </c>
      <c r="G1062">
        <v>1071</v>
      </c>
    </row>
    <row r="1063" spans="1:7" x14ac:dyDescent="0.35">
      <c r="A1063" s="2">
        <v>42291</v>
      </c>
      <c r="B1063" s="93" t="s">
        <v>105</v>
      </c>
      <c r="C1063" t="s">
        <v>104</v>
      </c>
      <c r="D1063" t="s">
        <v>25</v>
      </c>
      <c r="E1063" t="s">
        <v>10</v>
      </c>
      <c r="F1063" s="12" t="s">
        <v>105</v>
      </c>
      <c r="G1063">
        <v>1072</v>
      </c>
    </row>
    <row r="1064" spans="1:7" x14ac:dyDescent="0.35">
      <c r="A1064" s="2">
        <v>42291</v>
      </c>
      <c r="B1064" s="93" t="s">
        <v>105</v>
      </c>
      <c r="C1064" t="s">
        <v>104</v>
      </c>
      <c r="D1064" t="s">
        <v>26</v>
      </c>
      <c r="E1064" t="s">
        <v>10</v>
      </c>
      <c r="F1064" s="12" t="s">
        <v>105</v>
      </c>
      <c r="G1064">
        <v>1078</v>
      </c>
    </row>
    <row r="1065" spans="1:7" x14ac:dyDescent="0.35">
      <c r="A1065" s="2">
        <v>42291</v>
      </c>
      <c r="B1065" s="93" t="s">
        <v>105</v>
      </c>
      <c r="C1065" t="s">
        <v>104</v>
      </c>
      <c r="D1065" t="s">
        <v>26</v>
      </c>
      <c r="E1065" t="s">
        <v>10</v>
      </c>
      <c r="F1065" s="12" t="s">
        <v>105</v>
      </c>
      <c r="G1065">
        <v>1079</v>
      </c>
    </row>
    <row r="1066" spans="1:7" x14ac:dyDescent="0.35">
      <c r="A1066" s="2">
        <v>42291</v>
      </c>
      <c r="B1066" s="93" t="s">
        <v>105</v>
      </c>
      <c r="C1066" t="s">
        <v>104</v>
      </c>
      <c r="D1066" t="s">
        <v>26</v>
      </c>
      <c r="E1066" t="s">
        <v>10</v>
      </c>
      <c r="F1066" s="12" t="s">
        <v>105</v>
      </c>
      <c r="G1066">
        <v>1080</v>
      </c>
    </row>
    <row r="1067" spans="1:7" x14ac:dyDescent="0.35">
      <c r="A1067" s="2">
        <v>42291</v>
      </c>
      <c r="B1067" s="93" t="s">
        <v>105</v>
      </c>
      <c r="C1067" t="s">
        <v>104</v>
      </c>
      <c r="D1067" t="s">
        <v>167</v>
      </c>
      <c r="E1067" t="s">
        <v>10</v>
      </c>
      <c r="F1067" s="12" t="s">
        <v>105</v>
      </c>
      <c r="G1067">
        <v>1083</v>
      </c>
    </row>
    <row r="1068" spans="1:7" x14ac:dyDescent="0.35">
      <c r="A1068" s="2">
        <v>42291</v>
      </c>
      <c r="B1068" s="93" t="s">
        <v>105</v>
      </c>
      <c r="C1068" t="s">
        <v>104</v>
      </c>
      <c r="D1068" t="s">
        <v>167</v>
      </c>
      <c r="E1068" t="s">
        <v>10</v>
      </c>
      <c r="F1068" s="12" t="s">
        <v>105</v>
      </c>
      <c r="G1068">
        <v>1084</v>
      </c>
    </row>
    <row r="1069" spans="1:7" x14ac:dyDescent="0.35">
      <c r="A1069" s="2">
        <v>42291</v>
      </c>
      <c r="B1069" s="93" t="s">
        <v>105</v>
      </c>
      <c r="C1069" t="s">
        <v>104</v>
      </c>
      <c r="D1069" t="s">
        <v>167</v>
      </c>
      <c r="E1069" t="s">
        <v>10</v>
      </c>
      <c r="F1069" s="12" t="s">
        <v>105</v>
      </c>
      <c r="G1069">
        <v>1085</v>
      </c>
    </row>
    <row r="1070" spans="1:7" x14ac:dyDescent="0.35">
      <c r="A1070" s="2">
        <v>42291</v>
      </c>
      <c r="B1070" s="93" t="s">
        <v>105</v>
      </c>
      <c r="C1070" t="s">
        <v>104</v>
      </c>
      <c r="D1070" t="s">
        <v>9</v>
      </c>
      <c r="E1070" t="s">
        <v>74</v>
      </c>
      <c r="F1070" s="12" t="s">
        <v>82</v>
      </c>
      <c r="G1070">
        <v>1055</v>
      </c>
    </row>
    <row r="1071" spans="1:7" x14ac:dyDescent="0.35">
      <c r="A1071" s="2">
        <v>42291</v>
      </c>
      <c r="B1071" s="93" t="s">
        <v>105</v>
      </c>
      <c r="C1071" t="s">
        <v>104</v>
      </c>
      <c r="D1071" t="s">
        <v>9</v>
      </c>
      <c r="E1071" t="s">
        <v>74</v>
      </c>
      <c r="F1071" s="12" t="s">
        <v>82</v>
      </c>
      <c r="G1071">
        <v>1056</v>
      </c>
    </row>
    <row r="1072" spans="1:7" x14ac:dyDescent="0.35">
      <c r="A1072" s="2">
        <v>42291</v>
      </c>
      <c r="B1072" s="93" t="s">
        <v>105</v>
      </c>
      <c r="C1072" t="s">
        <v>104</v>
      </c>
      <c r="D1072" t="s">
        <v>14</v>
      </c>
      <c r="E1072" t="s">
        <v>74</v>
      </c>
      <c r="F1072" s="12" t="s">
        <v>82</v>
      </c>
      <c r="G1072">
        <v>1063</v>
      </c>
    </row>
    <row r="1073" spans="1:7" x14ac:dyDescent="0.35">
      <c r="A1073" s="2">
        <v>42291</v>
      </c>
      <c r="B1073" s="93" t="s">
        <v>105</v>
      </c>
      <c r="C1073" t="s">
        <v>104</v>
      </c>
      <c r="D1073" t="s">
        <v>14</v>
      </c>
      <c r="E1073" t="s">
        <v>74</v>
      </c>
      <c r="F1073" s="12" t="s">
        <v>82</v>
      </c>
      <c r="G1073">
        <v>1064</v>
      </c>
    </row>
    <row r="1074" spans="1:7" x14ac:dyDescent="0.35">
      <c r="A1074" s="2">
        <v>42291</v>
      </c>
      <c r="B1074" s="93" t="s">
        <v>105</v>
      </c>
      <c r="C1074" t="s">
        <v>104</v>
      </c>
      <c r="D1074" t="s">
        <v>18</v>
      </c>
      <c r="E1074" t="s">
        <v>74</v>
      </c>
      <c r="F1074" s="12" t="s">
        <v>82</v>
      </c>
      <c r="G1074">
        <v>1068</v>
      </c>
    </row>
    <row r="1075" spans="1:7" x14ac:dyDescent="0.35">
      <c r="A1075" s="2">
        <v>42291</v>
      </c>
      <c r="B1075" s="93" t="s">
        <v>105</v>
      </c>
      <c r="C1075" t="s">
        <v>104</v>
      </c>
      <c r="D1075" t="s">
        <v>18</v>
      </c>
      <c r="E1075" t="s">
        <v>74</v>
      </c>
      <c r="F1075" s="12" t="s">
        <v>82</v>
      </c>
      <c r="G1075">
        <v>1069</v>
      </c>
    </row>
    <row r="1076" spans="1:7" x14ac:dyDescent="0.35">
      <c r="A1076" s="2">
        <v>42291</v>
      </c>
      <c r="B1076" s="93" t="s">
        <v>105</v>
      </c>
      <c r="C1076" t="s">
        <v>104</v>
      </c>
      <c r="D1076" t="s">
        <v>25</v>
      </c>
      <c r="E1076" t="s">
        <v>74</v>
      </c>
      <c r="F1076" s="12" t="s">
        <v>82</v>
      </c>
      <c r="G1076">
        <v>1073</v>
      </c>
    </row>
    <row r="1077" spans="1:7" x14ac:dyDescent="0.35">
      <c r="A1077" s="2">
        <v>42291</v>
      </c>
      <c r="B1077" s="93" t="s">
        <v>105</v>
      </c>
      <c r="C1077" t="s">
        <v>104</v>
      </c>
      <c r="D1077" t="s">
        <v>25</v>
      </c>
      <c r="E1077" t="s">
        <v>74</v>
      </c>
      <c r="F1077" s="12" t="s">
        <v>82</v>
      </c>
      <c r="G1077">
        <v>1074</v>
      </c>
    </row>
    <row r="1078" spans="1:7" x14ac:dyDescent="0.35">
      <c r="A1078" s="2">
        <v>42291</v>
      </c>
      <c r="B1078" s="93" t="s">
        <v>105</v>
      </c>
      <c r="C1078" t="s">
        <v>104</v>
      </c>
      <c r="D1078" t="s">
        <v>26</v>
      </c>
      <c r="E1078" t="s">
        <v>74</v>
      </c>
      <c r="F1078" s="12" t="s">
        <v>82</v>
      </c>
      <c r="G1078">
        <v>1081</v>
      </c>
    </row>
    <row r="1079" spans="1:7" x14ac:dyDescent="0.35">
      <c r="A1079" s="2">
        <v>42291</v>
      </c>
      <c r="B1079" s="93" t="s">
        <v>105</v>
      </c>
      <c r="C1079" t="s">
        <v>104</v>
      </c>
      <c r="D1079" t="s">
        <v>26</v>
      </c>
      <c r="E1079" t="s">
        <v>74</v>
      </c>
      <c r="F1079" s="12" t="s">
        <v>82</v>
      </c>
      <c r="G1079">
        <v>1082</v>
      </c>
    </row>
    <row r="1080" spans="1:7" x14ac:dyDescent="0.35">
      <c r="A1080" s="2">
        <v>42291</v>
      </c>
      <c r="B1080" s="93" t="s">
        <v>105</v>
      </c>
      <c r="C1080" t="s">
        <v>104</v>
      </c>
      <c r="D1080" t="s">
        <v>167</v>
      </c>
      <c r="E1080" t="s">
        <v>74</v>
      </c>
      <c r="F1080" s="12" t="s">
        <v>82</v>
      </c>
      <c r="G1080">
        <v>1086</v>
      </c>
    </row>
    <row r="1081" spans="1:7" x14ac:dyDescent="0.35">
      <c r="A1081" s="2">
        <v>42291</v>
      </c>
      <c r="B1081" s="93" t="s">
        <v>105</v>
      </c>
      <c r="C1081" t="s">
        <v>104</v>
      </c>
      <c r="D1081" t="s">
        <v>167</v>
      </c>
      <c r="E1081" t="s">
        <v>74</v>
      </c>
      <c r="F1081" s="12" t="s">
        <v>82</v>
      </c>
      <c r="G1081">
        <v>1087</v>
      </c>
    </row>
    <row r="1082" spans="1:7" x14ac:dyDescent="0.35">
      <c r="A1082" s="2">
        <v>42291</v>
      </c>
      <c r="B1082" s="93" t="s">
        <v>105</v>
      </c>
      <c r="C1082" t="s">
        <v>104</v>
      </c>
      <c r="D1082" t="s">
        <v>9</v>
      </c>
      <c r="E1082" t="s">
        <v>78</v>
      </c>
      <c r="F1082" s="12" t="s">
        <v>105</v>
      </c>
      <c r="G1082">
        <v>1057</v>
      </c>
    </row>
    <row r="1083" spans="1:7" x14ac:dyDescent="0.35">
      <c r="A1083" s="2">
        <v>42291</v>
      </c>
      <c r="B1083" s="93" t="s">
        <v>105</v>
      </c>
      <c r="C1083" t="s">
        <v>104</v>
      </c>
      <c r="D1083" t="s">
        <v>9</v>
      </c>
      <c r="E1083" t="s">
        <v>78</v>
      </c>
      <c r="F1083" s="12" t="s">
        <v>105</v>
      </c>
      <c r="G1083">
        <v>1059</v>
      </c>
    </row>
    <row r="1084" spans="1:7" x14ac:dyDescent="0.35">
      <c r="A1084" s="2">
        <v>42291</v>
      </c>
      <c r="B1084" s="93" t="s">
        <v>105</v>
      </c>
      <c r="C1084" t="s">
        <v>104</v>
      </c>
      <c r="D1084" t="s">
        <v>9</v>
      </c>
      <c r="E1084" t="s">
        <v>78</v>
      </c>
      <c r="F1084" s="12" t="s">
        <v>105</v>
      </c>
      <c r="G1084">
        <v>1058</v>
      </c>
    </row>
    <row r="1085" spans="1:7" x14ac:dyDescent="0.35">
      <c r="A1085" s="2">
        <v>42291</v>
      </c>
      <c r="B1085" s="93" t="s">
        <v>105</v>
      </c>
      <c r="C1085" t="s">
        <v>104</v>
      </c>
      <c r="D1085" t="s">
        <v>25</v>
      </c>
      <c r="E1085" t="s">
        <v>78</v>
      </c>
      <c r="F1085" s="12" t="s">
        <v>105</v>
      </c>
      <c r="G1085">
        <v>1075</v>
      </c>
    </row>
    <row r="1086" spans="1:7" x14ac:dyDescent="0.35">
      <c r="A1086" s="2">
        <v>42291</v>
      </c>
      <c r="B1086" s="93" t="s">
        <v>105</v>
      </c>
      <c r="C1086" t="s">
        <v>104</v>
      </c>
      <c r="D1086" t="s">
        <v>25</v>
      </c>
      <c r="E1086" t="s">
        <v>78</v>
      </c>
      <c r="F1086" s="12" t="s">
        <v>105</v>
      </c>
      <c r="G1086">
        <v>1076</v>
      </c>
    </row>
    <row r="1087" spans="1:7" x14ac:dyDescent="0.35">
      <c r="A1087" s="2">
        <v>42291</v>
      </c>
      <c r="B1087" s="93" t="s">
        <v>105</v>
      </c>
      <c r="C1087" t="s">
        <v>104</v>
      </c>
      <c r="D1087" t="s">
        <v>25</v>
      </c>
      <c r="E1087" t="s">
        <v>78</v>
      </c>
      <c r="F1087" s="12" t="s">
        <v>105</v>
      </c>
      <c r="G1087">
        <v>1077</v>
      </c>
    </row>
    <row r="1088" spans="1:7" x14ac:dyDescent="0.35">
      <c r="A1088" s="2">
        <v>42293</v>
      </c>
      <c r="B1088" s="93" t="s">
        <v>105</v>
      </c>
      <c r="C1088" t="s">
        <v>104</v>
      </c>
      <c r="D1088" t="s">
        <v>64</v>
      </c>
      <c r="E1088" t="s">
        <v>10</v>
      </c>
      <c r="F1088" s="12" t="s">
        <v>105</v>
      </c>
      <c r="G1088">
        <v>1088</v>
      </c>
    </row>
    <row r="1089" spans="1:7" x14ac:dyDescent="0.35">
      <c r="A1089" s="2">
        <v>42293</v>
      </c>
      <c r="B1089" s="93" t="s">
        <v>105</v>
      </c>
      <c r="C1089" t="s">
        <v>104</v>
      </c>
      <c r="D1089" t="s">
        <v>64</v>
      </c>
      <c r="E1089" t="s">
        <v>10</v>
      </c>
      <c r="F1089" s="12" t="s">
        <v>105</v>
      </c>
      <c r="G1089">
        <v>1089</v>
      </c>
    </row>
    <row r="1090" spans="1:7" x14ac:dyDescent="0.35">
      <c r="A1090" s="2">
        <v>42293</v>
      </c>
      <c r="B1090" s="93" t="s">
        <v>105</v>
      </c>
      <c r="C1090" t="s">
        <v>104</v>
      </c>
      <c r="D1090" t="s">
        <v>64</v>
      </c>
      <c r="E1090" t="s">
        <v>10</v>
      </c>
      <c r="F1090" s="12" t="s">
        <v>105</v>
      </c>
      <c r="G1090">
        <v>1090</v>
      </c>
    </row>
    <row r="1091" spans="1:7" x14ac:dyDescent="0.35">
      <c r="A1091" s="2">
        <v>42293</v>
      </c>
      <c r="B1091" s="93" t="s">
        <v>105</v>
      </c>
      <c r="C1091" t="s">
        <v>104</v>
      </c>
      <c r="D1091" t="s">
        <v>69</v>
      </c>
      <c r="E1091" t="s">
        <v>10</v>
      </c>
      <c r="F1091" s="12" t="s">
        <v>105</v>
      </c>
      <c r="G1091">
        <v>1096</v>
      </c>
    </row>
    <row r="1092" spans="1:7" x14ac:dyDescent="0.35">
      <c r="A1092" s="2">
        <v>42293</v>
      </c>
      <c r="B1092" s="93" t="s">
        <v>105</v>
      </c>
      <c r="C1092" t="s">
        <v>104</v>
      </c>
      <c r="D1092" t="s">
        <v>69</v>
      </c>
      <c r="E1092" t="s">
        <v>10</v>
      </c>
      <c r="F1092" s="12" t="s">
        <v>105</v>
      </c>
      <c r="G1092">
        <v>1097</v>
      </c>
    </row>
    <row r="1093" spans="1:7" x14ac:dyDescent="0.35">
      <c r="A1093" s="2">
        <v>42293</v>
      </c>
      <c r="B1093" s="93" t="s">
        <v>105</v>
      </c>
      <c r="C1093" t="s">
        <v>104</v>
      </c>
      <c r="D1093" t="s">
        <v>69</v>
      </c>
      <c r="E1093" t="s">
        <v>10</v>
      </c>
      <c r="F1093" s="12" t="s">
        <v>105</v>
      </c>
      <c r="G1093">
        <v>1098</v>
      </c>
    </row>
    <row r="1094" spans="1:7" x14ac:dyDescent="0.35">
      <c r="A1094" s="2">
        <v>42293</v>
      </c>
      <c r="B1094" s="93" t="s">
        <v>105</v>
      </c>
      <c r="C1094" t="s">
        <v>104</v>
      </c>
      <c r="D1094" t="s">
        <v>60</v>
      </c>
      <c r="E1094" t="s">
        <v>10</v>
      </c>
      <c r="F1094" s="12" t="s">
        <v>105</v>
      </c>
      <c r="G1094">
        <v>1143</v>
      </c>
    </row>
    <row r="1095" spans="1:7" x14ac:dyDescent="0.35">
      <c r="A1095" s="2">
        <v>42293</v>
      </c>
      <c r="B1095" s="93" t="s">
        <v>105</v>
      </c>
      <c r="C1095" t="s">
        <v>104</v>
      </c>
      <c r="D1095" t="s">
        <v>60</v>
      </c>
      <c r="E1095" t="s">
        <v>10</v>
      </c>
      <c r="F1095" s="12" t="s">
        <v>105</v>
      </c>
      <c r="G1095">
        <v>1144</v>
      </c>
    </row>
    <row r="1096" spans="1:7" x14ac:dyDescent="0.35">
      <c r="A1096" s="2">
        <v>42293</v>
      </c>
      <c r="B1096" s="93" t="s">
        <v>105</v>
      </c>
      <c r="C1096" t="s">
        <v>104</v>
      </c>
      <c r="D1096" t="s">
        <v>60</v>
      </c>
      <c r="E1096" t="s">
        <v>10</v>
      </c>
      <c r="F1096" s="12" t="s">
        <v>105</v>
      </c>
      <c r="G1096">
        <v>1145</v>
      </c>
    </row>
    <row r="1097" spans="1:7" x14ac:dyDescent="0.35">
      <c r="A1097" s="2">
        <v>42293</v>
      </c>
      <c r="B1097" s="93" t="s">
        <v>105</v>
      </c>
      <c r="C1097" t="s">
        <v>104</v>
      </c>
      <c r="D1097" t="s">
        <v>64</v>
      </c>
      <c r="E1097" t="s">
        <v>74</v>
      </c>
      <c r="F1097" s="12" t="s">
        <v>82</v>
      </c>
      <c r="G1097">
        <v>1091</v>
      </c>
    </row>
    <row r="1098" spans="1:7" x14ac:dyDescent="0.35">
      <c r="A1098" s="2">
        <v>42293</v>
      </c>
      <c r="B1098" s="93" t="s">
        <v>105</v>
      </c>
      <c r="C1098" t="s">
        <v>104</v>
      </c>
      <c r="D1098" t="s">
        <v>64</v>
      </c>
      <c r="E1098" t="s">
        <v>74</v>
      </c>
      <c r="F1098" s="12" t="s">
        <v>82</v>
      </c>
      <c r="G1098">
        <v>1092</v>
      </c>
    </row>
    <row r="1099" spans="1:7" x14ac:dyDescent="0.35">
      <c r="A1099" s="2">
        <v>42293</v>
      </c>
      <c r="B1099" s="93" t="s">
        <v>105</v>
      </c>
      <c r="C1099" t="s">
        <v>104</v>
      </c>
      <c r="D1099" t="s">
        <v>69</v>
      </c>
      <c r="E1099" t="s">
        <v>74</v>
      </c>
      <c r="F1099" s="12" t="s">
        <v>82</v>
      </c>
      <c r="G1099">
        <v>1099</v>
      </c>
    </row>
    <row r="1100" spans="1:7" x14ac:dyDescent="0.35">
      <c r="A1100" s="2">
        <v>42293</v>
      </c>
      <c r="B1100" s="93" t="s">
        <v>105</v>
      </c>
      <c r="C1100" t="s">
        <v>104</v>
      </c>
      <c r="D1100" t="s">
        <v>69</v>
      </c>
      <c r="E1100" t="s">
        <v>74</v>
      </c>
      <c r="F1100" s="12" t="s">
        <v>82</v>
      </c>
      <c r="G1100">
        <v>1100</v>
      </c>
    </row>
    <row r="1101" spans="1:7" x14ac:dyDescent="0.35">
      <c r="A1101" s="2">
        <v>42293</v>
      </c>
      <c r="B1101" s="93" t="s">
        <v>105</v>
      </c>
      <c r="C1101" t="s">
        <v>104</v>
      </c>
      <c r="D1101" t="s">
        <v>60</v>
      </c>
      <c r="E1101" t="s">
        <v>74</v>
      </c>
      <c r="F1101" s="12" t="s">
        <v>82</v>
      </c>
      <c r="G1101">
        <v>1146</v>
      </c>
    </row>
    <row r="1102" spans="1:7" x14ac:dyDescent="0.35">
      <c r="A1102" s="2">
        <v>42293</v>
      </c>
      <c r="B1102" s="93" t="s">
        <v>105</v>
      </c>
      <c r="C1102" t="s">
        <v>104</v>
      </c>
      <c r="D1102" t="s">
        <v>60</v>
      </c>
      <c r="E1102" t="s">
        <v>74</v>
      </c>
      <c r="F1102" s="12" t="s">
        <v>82</v>
      </c>
      <c r="G1102">
        <v>1147</v>
      </c>
    </row>
    <row r="1103" spans="1:7" x14ac:dyDescent="0.35">
      <c r="A1103" s="2">
        <v>42293</v>
      </c>
      <c r="B1103" s="93" t="s">
        <v>105</v>
      </c>
      <c r="C1103" t="s">
        <v>104</v>
      </c>
      <c r="D1103" t="s">
        <v>64</v>
      </c>
      <c r="E1103" t="s">
        <v>78</v>
      </c>
      <c r="F1103" s="12" t="s">
        <v>105</v>
      </c>
      <c r="G1103">
        <v>1093</v>
      </c>
    </row>
    <row r="1104" spans="1:7" x14ac:dyDescent="0.35">
      <c r="A1104" s="2">
        <v>42293</v>
      </c>
      <c r="B1104" s="93" t="s">
        <v>105</v>
      </c>
      <c r="C1104" t="s">
        <v>104</v>
      </c>
      <c r="D1104" t="s">
        <v>64</v>
      </c>
      <c r="E1104" t="s">
        <v>78</v>
      </c>
      <c r="F1104" s="12" t="s">
        <v>105</v>
      </c>
      <c r="G1104">
        <v>1094</v>
      </c>
    </row>
    <row r="1105" spans="1:7" x14ac:dyDescent="0.35">
      <c r="A1105" s="2">
        <v>42293</v>
      </c>
      <c r="B1105" s="93" t="s">
        <v>105</v>
      </c>
      <c r="C1105" t="s">
        <v>104</v>
      </c>
      <c r="D1105" t="s">
        <v>64</v>
      </c>
      <c r="E1105" t="s">
        <v>78</v>
      </c>
      <c r="F1105" s="12" t="s">
        <v>105</v>
      </c>
      <c r="G1105">
        <v>1095</v>
      </c>
    </row>
    <row r="1106" spans="1:7" x14ac:dyDescent="0.35">
      <c r="A1106" s="2">
        <v>42296</v>
      </c>
      <c r="B1106" s="93" t="s">
        <v>105</v>
      </c>
      <c r="C1106" t="s">
        <v>104</v>
      </c>
      <c r="D1106" t="s">
        <v>9</v>
      </c>
      <c r="E1106" t="s">
        <v>10</v>
      </c>
      <c r="F1106" s="12" t="s">
        <v>105</v>
      </c>
      <c r="G1106">
        <v>1107</v>
      </c>
    </row>
    <row r="1107" spans="1:7" x14ac:dyDescent="0.35">
      <c r="A1107" s="2">
        <v>42296</v>
      </c>
      <c r="B1107" s="93" t="s">
        <v>105</v>
      </c>
      <c r="C1107" t="s">
        <v>104</v>
      </c>
      <c r="D1107" t="s">
        <v>9</v>
      </c>
      <c r="E1107" t="s">
        <v>10</v>
      </c>
      <c r="F1107" s="12" t="s">
        <v>105</v>
      </c>
      <c r="G1107">
        <v>1108</v>
      </c>
    </row>
    <row r="1108" spans="1:7" x14ac:dyDescent="0.35">
      <c r="A1108" s="2">
        <v>42296</v>
      </c>
      <c r="B1108" s="93" t="s">
        <v>105</v>
      </c>
      <c r="C1108" t="s">
        <v>104</v>
      </c>
      <c r="D1108" t="s">
        <v>9</v>
      </c>
      <c r="E1108" t="s">
        <v>10</v>
      </c>
      <c r="F1108" s="12" t="s">
        <v>105</v>
      </c>
      <c r="G1108">
        <v>1109</v>
      </c>
    </row>
    <row r="1109" spans="1:7" x14ac:dyDescent="0.35">
      <c r="A1109" s="2">
        <v>42296</v>
      </c>
      <c r="B1109" s="93" t="s">
        <v>105</v>
      </c>
      <c r="C1109" t="s">
        <v>104</v>
      </c>
      <c r="D1109" t="s">
        <v>14</v>
      </c>
      <c r="E1109" t="s">
        <v>10</v>
      </c>
      <c r="F1109" s="12" t="s">
        <v>105</v>
      </c>
      <c r="G1109">
        <v>1115</v>
      </c>
    </row>
    <row r="1110" spans="1:7" x14ac:dyDescent="0.35">
      <c r="A1110" s="2">
        <v>42296</v>
      </c>
      <c r="B1110" s="93" t="s">
        <v>105</v>
      </c>
      <c r="C1110" t="s">
        <v>104</v>
      </c>
      <c r="D1110" t="s">
        <v>14</v>
      </c>
      <c r="E1110" t="s">
        <v>10</v>
      </c>
      <c r="F1110" s="12" t="s">
        <v>105</v>
      </c>
      <c r="G1110">
        <v>1116</v>
      </c>
    </row>
    <row r="1111" spans="1:7" x14ac:dyDescent="0.35">
      <c r="A1111" s="2">
        <v>42296</v>
      </c>
      <c r="B1111" s="93" t="s">
        <v>105</v>
      </c>
      <c r="C1111" t="s">
        <v>104</v>
      </c>
      <c r="D1111" t="s">
        <v>14</v>
      </c>
      <c r="E1111" t="s">
        <v>10</v>
      </c>
      <c r="F1111" s="12" t="s">
        <v>105</v>
      </c>
      <c r="G1111">
        <v>1117</v>
      </c>
    </row>
    <row r="1112" spans="1:7" x14ac:dyDescent="0.35">
      <c r="A1112" s="2">
        <v>42296</v>
      </c>
      <c r="B1112" s="93" t="s">
        <v>105</v>
      </c>
      <c r="C1112" t="s">
        <v>104</v>
      </c>
      <c r="D1112" t="s">
        <v>18</v>
      </c>
      <c r="E1112" t="s">
        <v>10</v>
      </c>
      <c r="F1112" s="12" t="s">
        <v>105</v>
      </c>
      <c r="G1112">
        <v>1120</v>
      </c>
    </row>
    <row r="1113" spans="1:7" x14ac:dyDescent="0.35">
      <c r="A1113" s="2">
        <v>42296</v>
      </c>
      <c r="B1113" s="93" t="s">
        <v>105</v>
      </c>
      <c r="C1113" t="s">
        <v>104</v>
      </c>
      <c r="D1113" t="s">
        <v>18</v>
      </c>
      <c r="E1113" t="s">
        <v>10</v>
      </c>
      <c r="F1113" s="12" t="s">
        <v>105</v>
      </c>
      <c r="G1113">
        <v>1121</v>
      </c>
    </row>
    <row r="1114" spans="1:7" x14ac:dyDescent="0.35">
      <c r="A1114" s="2">
        <v>42296</v>
      </c>
      <c r="B1114" s="93" t="s">
        <v>105</v>
      </c>
      <c r="C1114" t="s">
        <v>104</v>
      </c>
      <c r="D1114" t="s">
        <v>18</v>
      </c>
      <c r="E1114" t="s">
        <v>10</v>
      </c>
      <c r="F1114" s="12" t="s">
        <v>105</v>
      </c>
      <c r="G1114">
        <v>1122</v>
      </c>
    </row>
    <row r="1115" spans="1:7" x14ac:dyDescent="0.35">
      <c r="A1115" s="2">
        <v>42296</v>
      </c>
      <c r="B1115" s="93" t="s">
        <v>105</v>
      </c>
      <c r="C1115" t="s">
        <v>104</v>
      </c>
      <c r="D1115" t="s">
        <v>25</v>
      </c>
      <c r="E1115" t="s">
        <v>10</v>
      </c>
      <c r="F1115" s="12" t="s">
        <v>105</v>
      </c>
      <c r="G1115">
        <v>1125</v>
      </c>
    </row>
    <row r="1116" spans="1:7" x14ac:dyDescent="0.35">
      <c r="A1116" s="2">
        <v>42296</v>
      </c>
      <c r="B1116" s="93" t="s">
        <v>105</v>
      </c>
      <c r="C1116" t="s">
        <v>104</v>
      </c>
      <c r="D1116" t="s">
        <v>25</v>
      </c>
      <c r="E1116" t="s">
        <v>10</v>
      </c>
      <c r="F1116" s="12" t="s">
        <v>105</v>
      </c>
      <c r="G1116">
        <v>1126</v>
      </c>
    </row>
    <row r="1117" spans="1:7" x14ac:dyDescent="0.35">
      <c r="A1117" s="2">
        <v>42296</v>
      </c>
      <c r="B1117" s="93" t="s">
        <v>105</v>
      </c>
      <c r="C1117" t="s">
        <v>104</v>
      </c>
      <c r="D1117" t="s">
        <v>25</v>
      </c>
      <c r="E1117" t="s">
        <v>10</v>
      </c>
      <c r="F1117" s="12" t="s">
        <v>105</v>
      </c>
      <c r="G1117">
        <v>1127</v>
      </c>
    </row>
    <row r="1118" spans="1:7" x14ac:dyDescent="0.35">
      <c r="A1118" s="2">
        <v>42296</v>
      </c>
      <c r="B1118" s="93" t="s">
        <v>105</v>
      </c>
      <c r="C1118" t="s">
        <v>104</v>
      </c>
      <c r="D1118" t="s">
        <v>26</v>
      </c>
      <c r="E1118" t="s">
        <v>10</v>
      </c>
      <c r="F1118" s="12" t="s">
        <v>105</v>
      </c>
      <c r="G1118">
        <v>1130</v>
      </c>
    </row>
    <row r="1119" spans="1:7" x14ac:dyDescent="0.35">
      <c r="A1119" s="2">
        <v>42296</v>
      </c>
      <c r="B1119" s="93" t="s">
        <v>105</v>
      </c>
      <c r="C1119" t="s">
        <v>104</v>
      </c>
      <c r="D1119" t="s">
        <v>26</v>
      </c>
      <c r="E1119" t="s">
        <v>10</v>
      </c>
      <c r="F1119" s="12" t="s">
        <v>105</v>
      </c>
      <c r="G1119">
        <v>1131</v>
      </c>
    </row>
    <row r="1120" spans="1:7" x14ac:dyDescent="0.35">
      <c r="A1120" s="2">
        <v>42296</v>
      </c>
      <c r="B1120" s="93" t="s">
        <v>105</v>
      </c>
      <c r="C1120" t="s">
        <v>104</v>
      </c>
      <c r="D1120" t="s">
        <v>26</v>
      </c>
      <c r="E1120" t="s">
        <v>10</v>
      </c>
      <c r="F1120" s="12" t="s">
        <v>105</v>
      </c>
      <c r="G1120">
        <v>1132</v>
      </c>
    </row>
    <row r="1121" spans="1:7" x14ac:dyDescent="0.35">
      <c r="A1121" s="2">
        <v>42296</v>
      </c>
      <c r="B1121" s="93" t="s">
        <v>105</v>
      </c>
      <c r="C1121" t="s">
        <v>104</v>
      </c>
      <c r="D1121" t="s">
        <v>167</v>
      </c>
      <c r="E1121" t="s">
        <v>10</v>
      </c>
      <c r="F1121" s="12" t="s">
        <v>105</v>
      </c>
      <c r="G1121">
        <v>1138</v>
      </c>
    </row>
    <row r="1122" spans="1:7" x14ac:dyDescent="0.35">
      <c r="A1122" s="2">
        <v>42296</v>
      </c>
      <c r="B1122" s="93" t="s">
        <v>105</v>
      </c>
      <c r="C1122" t="s">
        <v>104</v>
      </c>
      <c r="D1122" t="s">
        <v>167</v>
      </c>
      <c r="E1122" t="s">
        <v>10</v>
      </c>
      <c r="F1122" s="12" t="s">
        <v>105</v>
      </c>
      <c r="G1122">
        <v>1139</v>
      </c>
    </row>
    <row r="1123" spans="1:7" x14ac:dyDescent="0.35">
      <c r="A1123" s="2">
        <v>42296</v>
      </c>
      <c r="B1123" s="93" t="s">
        <v>105</v>
      </c>
      <c r="C1123" t="s">
        <v>104</v>
      </c>
      <c r="D1123" t="s">
        <v>167</v>
      </c>
      <c r="E1123" t="s">
        <v>10</v>
      </c>
      <c r="F1123" s="12" t="s">
        <v>105</v>
      </c>
      <c r="G1123">
        <v>1140</v>
      </c>
    </row>
    <row r="1124" spans="1:7" x14ac:dyDescent="0.35">
      <c r="A1124" s="2">
        <v>42296</v>
      </c>
      <c r="B1124" s="93" t="s">
        <v>105</v>
      </c>
      <c r="C1124" t="s">
        <v>104</v>
      </c>
      <c r="D1124" t="s">
        <v>9</v>
      </c>
      <c r="E1124" t="s">
        <v>74</v>
      </c>
      <c r="F1124" s="12" t="s">
        <v>82</v>
      </c>
      <c r="G1124">
        <v>1110</v>
      </c>
    </row>
    <row r="1125" spans="1:7" x14ac:dyDescent="0.35">
      <c r="A1125" s="2">
        <v>42296</v>
      </c>
      <c r="B1125" s="93" t="s">
        <v>105</v>
      </c>
      <c r="C1125" t="s">
        <v>104</v>
      </c>
      <c r="D1125" t="s">
        <v>9</v>
      </c>
      <c r="E1125" t="s">
        <v>74</v>
      </c>
      <c r="F1125" s="12" t="s">
        <v>82</v>
      </c>
      <c r="G1125">
        <v>1111</v>
      </c>
    </row>
    <row r="1126" spans="1:7" x14ac:dyDescent="0.35">
      <c r="A1126" s="2">
        <v>42296</v>
      </c>
      <c r="B1126" s="93" t="s">
        <v>105</v>
      </c>
      <c r="C1126" t="s">
        <v>104</v>
      </c>
      <c r="D1126" t="s">
        <v>14</v>
      </c>
      <c r="E1126" t="s">
        <v>74</v>
      </c>
      <c r="F1126" s="12" t="s">
        <v>82</v>
      </c>
      <c r="G1126">
        <v>1118</v>
      </c>
    </row>
    <row r="1127" spans="1:7" x14ac:dyDescent="0.35">
      <c r="A1127" s="2">
        <v>42296</v>
      </c>
      <c r="B1127" s="93" t="s">
        <v>105</v>
      </c>
      <c r="C1127" t="s">
        <v>104</v>
      </c>
      <c r="D1127" t="s">
        <v>14</v>
      </c>
      <c r="E1127" t="s">
        <v>74</v>
      </c>
      <c r="F1127" s="12" t="s">
        <v>82</v>
      </c>
      <c r="G1127">
        <v>1119</v>
      </c>
    </row>
    <row r="1128" spans="1:7" x14ac:dyDescent="0.35">
      <c r="A1128" s="2">
        <v>42296</v>
      </c>
      <c r="B1128" s="93" t="s">
        <v>105</v>
      </c>
      <c r="C1128" t="s">
        <v>104</v>
      </c>
      <c r="D1128" t="s">
        <v>18</v>
      </c>
      <c r="E1128" t="s">
        <v>74</v>
      </c>
      <c r="F1128" s="12" t="s">
        <v>82</v>
      </c>
      <c r="G1128">
        <v>1123</v>
      </c>
    </row>
    <row r="1129" spans="1:7" x14ac:dyDescent="0.35">
      <c r="A1129" s="2">
        <v>42296</v>
      </c>
      <c r="B1129" s="93" t="s">
        <v>105</v>
      </c>
      <c r="C1129" t="s">
        <v>104</v>
      </c>
      <c r="D1129" t="s">
        <v>18</v>
      </c>
      <c r="E1129" t="s">
        <v>74</v>
      </c>
      <c r="F1129" s="12" t="s">
        <v>82</v>
      </c>
      <c r="G1129">
        <v>1124</v>
      </c>
    </row>
    <row r="1130" spans="1:7" x14ac:dyDescent="0.35">
      <c r="A1130" s="2">
        <v>42296</v>
      </c>
      <c r="B1130" s="93" t="s">
        <v>105</v>
      </c>
      <c r="C1130" t="s">
        <v>104</v>
      </c>
      <c r="D1130" t="s">
        <v>25</v>
      </c>
      <c r="E1130" t="s">
        <v>74</v>
      </c>
      <c r="F1130" s="12" t="s">
        <v>82</v>
      </c>
      <c r="G1130">
        <v>1128</v>
      </c>
    </row>
    <row r="1131" spans="1:7" x14ac:dyDescent="0.35">
      <c r="A1131" s="2">
        <v>42296</v>
      </c>
      <c r="B1131" s="93" t="s">
        <v>105</v>
      </c>
      <c r="C1131" t="s">
        <v>104</v>
      </c>
      <c r="D1131" t="s">
        <v>25</v>
      </c>
      <c r="E1131" t="s">
        <v>74</v>
      </c>
      <c r="F1131" s="12" t="s">
        <v>82</v>
      </c>
      <c r="G1131">
        <v>1129</v>
      </c>
    </row>
    <row r="1132" spans="1:7" x14ac:dyDescent="0.35">
      <c r="A1132" s="2">
        <v>42296</v>
      </c>
      <c r="B1132" s="93" t="s">
        <v>105</v>
      </c>
      <c r="C1132" t="s">
        <v>104</v>
      </c>
      <c r="D1132" t="s">
        <v>26</v>
      </c>
      <c r="E1132" t="s">
        <v>74</v>
      </c>
      <c r="F1132" s="12" t="s">
        <v>82</v>
      </c>
      <c r="G1132">
        <v>1133</v>
      </c>
    </row>
    <row r="1133" spans="1:7" x14ac:dyDescent="0.35">
      <c r="A1133" s="2">
        <v>42296</v>
      </c>
      <c r="B1133" s="93" t="s">
        <v>105</v>
      </c>
      <c r="C1133" t="s">
        <v>104</v>
      </c>
      <c r="D1133" t="s">
        <v>26</v>
      </c>
      <c r="E1133" t="s">
        <v>74</v>
      </c>
      <c r="F1133" s="12" t="s">
        <v>82</v>
      </c>
      <c r="G1133">
        <v>1134</v>
      </c>
    </row>
    <row r="1134" spans="1:7" x14ac:dyDescent="0.35">
      <c r="A1134" s="2">
        <v>42296</v>
      </c>
      <c r="B1134" s="93" t="s">
        <v>105</v>
      </c>
      <c r="C1134" t="s">
        <v>104</v>
      </c>
      <c r="D1134" t="s">
        <v>167</v>
      </c>
      <c r="E1134" t="s">
        <v>74</v>
      </c>
      <c r="F1134" s="12" t="s">
        <v>82</v>
      </c>
      <c r="G1134">
        <v>1141</v>
      </c>
    </row>
    <row r="1135" spans="1:7" x14ac:dyDescent="0.35">
      <c r="A1135" s="2">
        <v>42296</v>
      </c>
      <c r="B1135" s="93" t="s">
        <v>105</v>
      </c>
      <c r="C1135" t="s">
        <v>104</v>
      </c>
      <c r="D1135" t="s">
        <v>167</v>
      </c>
      <c r="E1135" t="s">
        <v>74</v>
      </c>
      <c r="F1135" s="12" t="s">
        <v>82</v>
      </c>
      <c r="G1135">
        <v>1142</v>
      </c>
    </row>
    <row r="1136" spans="1:7" x14ac:dyDescent="0.35">
      <c r="A1136" s="2">
        <v>42296</v>
      </c>
      <c r="B1136" s="93" t="s">
        <v>105</v>
      </c>
      <c r="C1136" t="s">
        <v>104</v>
      </c>
      <c r="D1136" t="s">
        <v>9</v>
      </c>
      <c r="E1136" t="s">
        <v>78</v>
      </c>
      <c r="F1136" s="12" t="s">
        <v>105</v>
      </c>
      <c r="G1136">
        <v>1113</v>
      </c>
    </row>
    <row r="1137" spans="1:7" x14ac:dyDescent="0.35">
      <c r="A1137" s="2">
        <v>42296</v>
      </c>
      <c r="B1137" s="93" t="s">
        <v>105</v>
      </c>
      <c r="C1137" t="s">
        <v>104</v>
      </c>
      <c r="D1137" t="s">
        <v>9</v>
      </c>
      <c r="E1137" t="s">
        <v>78</v>
      </c>
      <c r="F1137" s="12" t="s">
        <v>105</v>
      </c>
      <c r="G1137">
        <v>1114</v>
      </c>
    </row>
    <row r="1138" spans="1:7" x14ac:dyDescent="0.35">
      <c r="A1138" s="2">
        <v>42296</v>
      </c>
      <c r="B1138" s="93" t="s">
        <v>105</v>
      </c>
      <c r="C1138" t="s">
        <v>104</v>
      </c>
      <c r="D1138" t="s">
        <v>9</v>
      </c>
      <c r="E1138" t="s">
        <v>78</v>
      </c>
      <c r="F1138" s="12" t="s">
        <v>105</v>
      </c>
      <c r="G1138">
        <v>1112</v>
      </c>
    </row>
    <row r="1139" spans="1:7" x14ac:dyDescent="0.35">
      <c r="A1139" s="2">
        <v>42296</v>
      </c>
      <c r="B1139" s="93" t="s">
        <v>105</v>
      </c>
      <c r="C1139" t="s">
        <v>104</v>
      </c>
      <c r="D1139" t="s">
        <v>26</v>
      </c>
      <c r="E1139" t="s">
        <v>78</v>
      </c>
      <c r="F1139" s="12" t="s">
        <v>105</v>
      </c>
      <c r="G1139">
        <v>1135</v>
      </c>
    </row>
    <row r="1140" spans="1:7" x14ac:dyDescent="0.35">
      <c r="A1140" s="2">
        <v>42296</v>
      </c>
      <c r="B1140" s="93" t="s">
        <v>105</v>
      </c>
      <c r="C1140" t="s">
        <v>104</v>
      </c>
      <c r="D1140" t="s">
        <v>26</v>
      </c>
      <c r="E1140" t="s">
        <v>78</v>
      </c>
      <c r="F1140" s="12" t="s">
        <v>105</v>
      </c>
      <c r="G1140">
        <v>1136</v>
      </c>
    </row>
    <row r="1141" spans="1:7" x14ac:dyDescent="0.35">
      <c r="A1141" s="2">
        <v>42296</v>
      </c>
      <c r="B1141" s="93" t="s">
        <v>105</v>
      </c>
      <c r="C1141" t="s">
        <v>104</v>
      </c>
      <c r="D1141" t="s">
        <v>26</v>
      </c>
      <c r="E1141" t="s">
        <v>78</v>
      </c>
      <c r="F1141" s="12" t="s">
        <v>105</v>
      </c>
      <c r="G1141">
        <v>1137</v>
      </c>
    </row>
    <row r="1142" spans="1:7" x14ac:dyDescent="0.35">
      <c r="A1142" s="2">
        <v>42298</v>
      </c>
      <c r="B1142" s="93" t="s">
        <v>105</v>
      </c>
      <c r="C1142" t="s">
        <v>104</v>
      </c>
      <c r="D1142" t="s">
        <v>64</v>
      </c>
      <c r="E1142" t="s">
        <v>10</v>
      </c>
      <c r="F1142" s="12" t="s">
        <v>105</v>
      </c>
      <c r="G1142">
        <v>1148</v>
      </c>
    </row>
    <row r="1143" spans="1:7" x14ac:dyDescent="0.35">
      <c r="A1143" s="2">
        <v>42298</v>
      </c>
      <c r="B1143" s="93" t="s">
        <v>105</v>
      </c>
      <c r="C1143" t="s">
        <v>104</v>
      </c>
      <c r="D1143" t="s">
        <v>64</v>
      </c>
      <c r="E1143" t="s">
        <v>10</v>
      </c>
      <c r="F1143" s="12" t="s">
        <v>105</v>
      </c>
      <c r="G1143">
        <v>1149</v>
      </c>
    </row>
    <row r="1144" spans="1:7" x14ac:dyDescent="0.35">
      <c r="A1144" s="2">
        <v>42298</v>
      </c>
      <c r="B1144" s="93" t="s">
        <v>105</v>
      </c>
      <c r="C1144" t="s">
        <v>104</v>
      </c>
      <c r="D1144" t="s">
        <v>64</v>
      </c>
      <c r="E1144" t="s">
        <v>10</v>
      </c>
      <c r="F1144" s="12" t="s">
        <v>105</v>
      </c>
      <c r="G1144">
        <v>1150</v>
      </c>
    </row>
    <row r="1145" spans="1:7" x14ac:dyDescent="0.35">
      <c r="A1145" s="2">
        <v>42298</v>
      </c>
      <c r="B1145" s="93" t="s">
        <v>105</v>
      </c>
      <c r="C1145" t="s">
        <v>104</v>
      </c>
      <c r="D1145" t="s">
        <v>69</v>
      </c>
      <c r="E1145" t="s">
        <v>10</v>
      </c>
      <c r="F1145" s="12" t="s">
        <v>105</v>
      </c>
      <c r="G1145">
        <v>1156</v>
      </c>
    </row>
    <row r="1146" spans="1:7" x14ac:dyDescent="0.35">
      <c r="A1146" s="2">
        <v>42298</v>
      </c>
      <c r="B1146" s="93" t="s">
        <v>105</v>
      </c>
      <c r="C1146" t="s">
        <v>104</v>
      </c>
      <c r="D1146" t="s">
        <v>69</v>
      </c>
      <c r="E1146" t="s">
        <v>10</v>
      </c>
      <c r="F1146" s="12" t="s">
        <v>105</v>
      </c>
      <c r="G1146">
        <v>1157</v>
      </c>
    </row>
    <row r="1147" spans="1:7" x14ac:dyDescent="0.35">
      <c r="A1147" s="2">
        <v>42298</v>
      </c>
      <c r="B1147" s="93" t="s">
        <v>105</v>
      </c>
      <c r="C1147" t="s">
        <v>104</v>
      </c>
      <c r="D1147" t="s">
        <v>69</v>
      </c>
      <c r="E1147" t="s">
        <v>10</v>
      </c>
      <c r="F1147" s="12" t="s">
        <v>105</v>
      </c>
      <c r="G1147">
        <v>1158</v>
      </c>
    </row>
    <row r="1148" spans="1:7" x14ac:dyDescent="0.35">
      <c r="A1148" s="2">
        <v>42298</v>
      </c>
      <c r="B1148" s="93" t="s">
        <v>105</v>
      </c>
      <c r="C1148" t="s">
        <v>104</v>
      </c>
      <c r="D1148" t="s">
        <v>60</v>
      </c>
      <c r="E1148" t="s">
        <v>10</v>
      </c>
      <c r="F1148" s="12" t="s">
        <v>105</v>
      </c>
      <c r="G1148">
        <v>1161</v>
      </c>
    </row>
    <row r="1149" spans="1:7" x14ac:dyDescent="0.35">
      <c r="A1149" s="2">
        <v>42298</v>
      </c>
      <c r="B1149" s="93" t="s">
        <v>105</v>
      </c>
      <c r="C1149" t="s">
        <v>104</v>
      </c>
      <c r="D1149" t="s">
        <v>60</v>
      </c>
      <c r="E1149" t="s">
        <v>10</v>
      </c>
      <c r="F1149" s="12" t="s">
        <v>105</v>
      </c>
      <c r="G1149">
        <v>1162</v>
      </c>
    </row>
    <row r="1150" spans="1:7" x14ac:dyDescent="0.35">
      <c r="A1150" s="2">
        <v>42298</v>
      </c>
      <c r="B1150" s="93" t="s">
        <v>105</v>
      </c>
      <c r="C1150" t="s">
        <v>104</v>
      </c>
      <c r="D1150" t="s">
        <v>60</v>
      </c>
      <c r="E1150" t="s">
        <v>10</v>
      </c>
      <c r="F1150" s="12" t="s">
        <v>105</v>
      </c>
      <c r="G1150">
        <v>1163</v>
      </c>
    </row>
    <row r="1151" spans="1:7" x14ac:dyDescent="0.35">
      <c r="A1151" s="2">
        <v>42298</v>
      </c>
      <c r="B1151" s="93" t="s">
        <v>105</v>
      </c>
      <c r="C1151" t="s">
        <v>104</v>
      </c>
      <c r="D1151" t="s">
        <v>64</v>
      </c>
      <c r="E1151" t="s">
        <v>74</v>
      </c>
      <c r="F1151" s="12" t="s">
        <v>82</v>
      </c>
      <c r="G1151">
        <v>1151</v>
      </c>
    </row>
    <row r="1152" spans="1:7" x14ac:dyDescent="0.35">
      <c r="A1152" s="2">
        <v>42298</v>
      </c>
      <c r="B1152" s="93" t="s">
        <v>105</v>
      </c>
      <c r="C1152" t="s">
        <v>104</v>
      </c>
      <c r="D1152" t="s">
        <v>64</v>
      </c>
      <c r="E1152" t="s">
        <v>74</v>
      </c>
      <c r="F1152" s="12" t="s">
        <v>82</v>
      </c>
      <c r="G1152">
        <v>1152</v>
      </c>
    </row>
    <row r="1153" spans="1:7" x14ac:dyDescent="0.35">
      <c r="A1153" s="2">
        <v>42298</v>
      </c>
      <c r="B1153" s="93" t="s">
        <v>105</v>
      </c>
      <c r="C1153" t="s">
        <v>104</v>
      </c>
      <c r="D1153" t="s">
        <v>69</v>
      </c>
      <c r="E1153" t="s">
        <v>74</v>
      </c>
      <c r="F1153" s="12" t="s">
        <v>82</v>
      </c>
      <c r="G1153">
        <v>1159</v>
      </c>
    </row>
    <row r="1154" spans="1:7" x14ac:dyDescent="0.35">
      <c r="A1154" s="2">
        <v>42298</v>
      </c>
      <c r="B1154" s="93" t="s">
        <v>105</v>
      </c>
      <c r="C1154" t="s">
        <v>104</v>
      </c>
      <c r="D1154" t="s">
        <v>69</v>
      </c>
      <c r="E1154" t="s">
        <v>74</v>
      </c>
      <c r="F1154" s="12" t="s">
        <v>82</v>
      </c>
      <c r="G1154">
        <v>1160</v>
      </c>
    </row>
    <row r="1155" spans="1:7" x14ac:dyDescent="0.35">
      <c r="A1155" s="2">
        <v>42298</v>
      </c>
      <c r="B1155" s="93" t="s">
        <v>105</v>
      </c>
      <c r="C1155" t="s">
        <v>104</v>
      </c>
      <c r="D1155" t="s">
        <v>60</v>
      </c>
      <c r="E1155" t="s">
        <v>74</v>
      </c>
      <c r="F1155" s="12" t="s">
        <v>82</v>
      </c>
      <c r="G1155">
        <v>1164</v>
      </c>
    </row>
    <row r="1156" spans="1:7" x14ac:dyDescent="0.35">
      <c r="A1156" s="2">
        <v>42298</v>
      </c>
      <c r="B1156" s="93" t="s">
        <v>105</v>
      </c>
      <c r="C1156" t="s">
        <v>104</v>
      </c>
      <c r="D1156" t="s">
        <v>60</v>
      </c>
      <c r="E1156" t="s">
        <v>74</v>
      </c>
      <c r="F1156" s="12" t="s">
        <v>82</v>
      </c>
      <c r="G1156">
        <v>1165</v>
      </c>
    </row>
    <row r="1157" spans="1:7" x14ac:dyDescent="0.35">
      <c r="A1157" s="2">
        <v>42298</v>
      </c>
      <c r="B1157" s="93" t="s">
        <v>105</v>
      </c>
      <c r="C1157" t="s">
        <v>104</v>
      </c>
      <c r="D1157" t="s">
        <v>64</v>
      </c>
      <c r="E1157" t="s">
        <v>78</v>
      </c>
      <c r="F1157" s="12" t="s">
        <v>105</v>
      </c>
      <c r="G1157">
        <v>1153</v>
      </c>
    </row>
    <row r="1158" spans="1:7" x14ac:dyDescent="0.35">
      <c r="A1158" s="2">
        <v>42298</v>
      </c>
      <c r="B1158" s="93" t="s">
        <v>105</v>
      </c>
      <c r="C1158" t="s">
        <v>104</v>
      </c>
      <c r="D1158" t="s">
        <v>64</v>
      </c>
      <c r="E1158" t="s">
        <v>78</v>
      </c>
      <c r="F1158" s="12" t="s">
        <v>105</v>
      </c>
      <c r="G1158">
        <v>1154</v>
      </c>
    </row>
    <row r="1159" spans="1:7" x14ac:dyDescent="0.35">
      <c r="A1159" s="2">
        <v>42298</v>
      </c>
      <c r="B1159" s="93" t="s">
        <v>105</v>
      </c>
      <c r="C1159" t="s">
        <v>104</v>
      </c>
      <c r="D1159" t="s">
        <v>64</v>
      </c>
      <c r="E1159" t="s">
        <v>78</v>
      </c>
      <c r="F1159" s="12" t="s">
        <v>105</v>
      </c>
      <c r="G1159">
        <v>1155</v>
      </c>
    </row>
    <row r="1160" spans="1:7" x14ac:dyDescent="0.35">
      <c r="A1160" s="2">
        <v>42303</v>
      </c>
      <c r="B1160" s="93" t="s">
        <v>105</v>
      </c>
      <c r="C1160" t="s">
        <v>104</v>
      </c>
      <c r="D1160" t="s">
        <v>9</v>
      </c>
      <c r="E1160" t="s">
        <v>10</v>
      </c>
      <c r="F1160" s="12" t="s">
        <v>105</v>
      </c>
      <c r="G1160">
        <v>1178</v>
      </c>
    </row>
    <row r="1161" spans="1:7" x14ac:dyDescent="0.35">
      <c r="A1161" s="2">
        <v>42303</v>
      </c>
      <c r="B1161" s="93" t="s">
        <v>105</v>
      </c>
      <c r="C1161" t="s">
        <v>104</v>
      </c>
      <c r="D1161" t="s">
        <v>9</v>
      </c>
      <c r="E1161" t="s">
        <v>10</v>
      </c>
      <c r="F1161" s="12" t="s">
        <v>105</v>
      </c>
      <c r="G1161">
        <v>1179</v>
      </c>
    </row>
    <row r="1162" spans="1:7" x14ac:dyDescent="0.35">
      <c r="A1162" s="2">
        <v>42303</v>
      </c>
      <c r="B1162" s="93" t="s">
        <v>105</v>
      </c>
      <c r="C1162" t="s">
        <v>104</v>
      </c>
      <c r="D1162" t="s">
        <v>9</v>
      </c>
      <c r="E1162" t="s">
        <v>10</v>
      </c>
      <c r="F1162" s="12" t="s">
        <v>105</v>
      </c>
      <c r="G1162">
        <v>1180</v>
      </c>
    </row>
    <row r="1163" spans="1:7" x14ac:dyDescent="0.35">
      <c r="A1163" s="2">
        <v>42303</v>
      </c>
      <c r="B1163" s="93" t="s">
        <v>105</v>
      </c>
      <c r="C1163" t="s">
        <v>104</v>
      </c>
      <c r="D1163" t="s">
        <v>14</v>
      </c>
      <c r="E1163" t="s">
        <v>10</v>
      </c>
      <c r="F1163" s="12" t="s">
        <v>105</v>
      </c>
      <c r="G1163">
        <v>1186</v>
      </c>
    </row>
    <row r="1164" spans="1:7" x14ac:dyDescent="0.35">
      <c r="A1164" s="2">
        <v>42303</v>
      </c>
      <c r="B1164" s="93" t="s">
        <v>105</v>
      </c>
      <c r="C1164" t="s">
        <v>104</v>
      </c>
      <c r="D1164" t="s">
        <v>14</v>
      </c>
      <c r="E1164" t="s">
        <v>10</v>
      </c>
      <c r="F1164" s="12" t="s">
        <v>105</v>
      </c>
      <c r="G1164">
        <v>1187</v>
      </c>
    </row>
    <row r="1165" spans="1:7" x14ac:dyDescent="0.35">
      <c r="A1165" s="2">
        <v>42303</v>
      </c>
      <c r="B1165" s="93" t="s">
        <v>105</v>
      </c>
      <c r="C1165" t="s">
        <v>104</v>
      </c>
      <c r="D1165" t="s">
        <v>14</v>
      </c>
      <c r="E1165" t="s">
        <v>10</v>
      </c>
      <c r="F1165" s="12" t="s">
        <v>105</v>
      </c>
      <c r="G1165">
        <v>1188</v>
      </c>
    </row>
    <row r="1166" spans="1:7" x14ac:dyDescent="0.35">
      <c r="A1166" s="2">
        <v>42303</v>
      </c>
      <c r="B1166" s="93" t="s">
        <v>105</v>
      </c>
      <c r="C1166" t="s">
        <v>104</v>
      </c>
      <c r="D1166" t="s">
        <v>18</v>
      </c>
      <c r="E1166" t="s">
        <v>10</v>
      </c>
      <c r="F1166" s="12" t="s">
        <v>105</v>
      </c>
      <c r="G1166">
        <v>1193</v>
      </c>
    </row>
    <row r="1167" spans="1:7" x14ac:dyDescent="0.35">
      <c r="A1167" s="2">
        <v>42303</v>
      </c>
      <c r="B1167" s="93" t="s">
        <v>105</v>
      </c>
      <c r="C1167" t="s">
        <v>104</v>
      </c>
      <c r="D1167" t="s">
        <v>18</v>
      </c>
      <c r="E1167" t="s">
        <v>10</v>
      </c>
      <c r="F1167" s="12" t="s">
        <v>105</v>
      </c>
      <c r="G1167">
        <v>1194</v>
      </c>
    </row>
    <row r="1168" spans="1:7" x14ac:dyDescent="0.35">
      <c r="A1168" s="2">
        <v>42303</v>
      </c>
      <c r="B1168" s="93" t="s">
        <v>105</v>
      </c>
      <c r="C1168" t="s">
        <v>104</v>
      </c>
      <c r="D1168" t="s">
        <v>18</v>
      </c>
      <c r="E1168" t="s">
        <v>10</v>
      </c>
      <c r="F1168" s="12" t="s">
        <v>105</v>
      </c>
      <c r="G1168">
        <v>1195</v>
      </c>
    </row>
    <row r="1169" spans="1:7" x14ac:dyDescent="0.35">
      <c r="A1169" s="2">
        <v>42303</v>
      </c>
      <c r="B1169" s="93" t="s">
        <v>105</v>
      </c>
      <c r="C1169" t="s">
        <v>104</v>
      </c>
      <c r="D1169" t="s">
        <v>25</v>
      </c>
      <c r="E1169" t="s">
        <v>10</v>
      </c>
      <c r="F1169" s="12" t="s">
        <v>105</v>
      </c>
      <c r="G1169">
        <v>1201</v>
      </c>
    </row>
    <row r="1170" spans="1:7" x14ac:dyDescent="0.35">
      <c r="A1170" s="2">
        <v>42303</v>
      </c>
      <c r="B1170" s="93" t="s">
        <v>105</v>
      </c>
      <c r="C1170" t="s">
        <v>104</v>
      </c>
      <c r="D1170" t="s">
        <v>25</v>
      </c>
      <c r="E1170" t="s">
        <v>10</v>
      </c>
      <c r="F1170" s="12" t="s">
        <v>105</v>
      </c>
      <c r="G1170">
        <v>1202</v>
      </c>
    </row>
    <row r="1171" spans="1:7" x14ac:dyDescent="0.35">
      <c r="A1171" s="2">
        <v>42303</v>
      </c>
      <c r="B1171" s="93" t="s">
        <v>105</v>
      </c>
      <c r="C1171" t="s">
        <v>104</v>
      </c>
      <c r="D1171" t="s">
        <v>25</v>
      </c>
      <c r="E1171" t="s">
        <v>10</v>
      </c>
      <c r="F1171" s="12" t="s">
        <v>105</v>
      </c>
      <c r="G1171">
        <v>1203</v>
      </c>
    </row>
    <row r="1172" spans="1:7" x14ac:dyDescent="0.35">
      <c r="A1172" s="2">
        <v>42303</v>
      </c>
      <c r="B1172" s="93" t="s">
        <v>105</v>
      </c>
      <c r="C1172" t="s">
        <v>104</v>
      </c>
      <c r="D1172" t="s">
        <v>26</v>
      </c>
      <c r="E1172" t="s">
        <v>10</v>
      </c>
      <c r="F1172" s="12" t="s">
        <v>105</v>
      </c>
      <c r="G1172">
        <v>1204</v>
      </c>
    </row>
    <row r="1173" spans="1:7" x14ac:dyDescent="0.35">
      <c r="A1173" s="2">
        <v>42303</v>
      </c>
      <c r="B1173" s="93" t="s">
        <v>105</v>
      </c>
      <c r="C1173" t="s">
        <v>104</v>
      </c>
      <c r="D1173" t="s">
        <v>26</v>
      </c>
      <c r="E1173" t="s">
        <v>10</v>
      </c>
      <c r="F1173" s="12" t="s">
        <v>105</v>
      </c>
      <c r="G1173">
        <v>1205</v>
      </c>
    </row>
    <row r="1174" spans="1:7" x14ac:dyDescent="0.35">
      <c r="A1174" s="2">
        <v>42303</v>
      </c>
      <c r="B1174" s="93" t="s">
        <v>105</v>
      </c>
      <c r="C1174" t="s">
        <v>104</v>
      </c>
      <c r="D1174" t="s">
        <v>26</v>
      </c>
      <c r="E1174" t="s">
        <v>10</v>
      </c>
      <c r="F1174" s="12" t="s">
        <v>105</v>
      </c>
      <c r="G1174">
        <v>1206</v>
      </c>
    </row>
    <row r="1175" spans="1:7" x14ac:dyDescent="0.35">
      <c r="A1175" s="2">
        <v>42303</v>
      </c>
      <c r="B1175" s="93" t="s">
        <v>105</v>
      </c>
      <c r="C1175" t="s">
        <v>104</v>
      </c>
      <c r="D1175" t="s">
        <v>167</v>
      </c>
      <c r="E1175" t="s">
        <v>10</v>
      </c>
      <c r="F1175" s="12" t="s">
        <v>105</v>
      </c>
      <c r="G1175">
        <v>1209</v>
      </c>
    </row>
    <row r="1176" spans="1:7" x14ac:dyDescent="0.35">
      <c r="A1176" s="2">
        <v>42303</v>
      </c>
      <c r="B1176" s="93" t="s">
        <v>105</v>
      </c>
      <c r="C1176" t="s">
        <v>104</v>
      </c>
      <c r="D1176" t="s">
        <v>167</v>
      </c>
      <c r="E1176" t="s">
        <v>10</v>
      </c>
      <c r="F1176" s="12" t="s">
        <v>105</v>
      </c>
      <c r="G1176">
        <v>1210</v>
      </c>
    </row>
    <row r="1177" spans="1:7" x14ac:dyDescent="0.35">
      <c r="A1177" s="2">
        <v>42303</v>
      </c>
      <c r="B1177" s="93" t="s">
        <v>105</v>
      </c>
      <c r="C1177" t="s">
        <v>104</v>
      </c>
      <c r="D1177" t="s">
        <v>167</v>
      </c>
      <c r="E1177" t="s">
        <v>10</v>
      </c>
      <c r="F1177" s="12" t="s">
        <v>105</v>
      </c>
      <c r="G1177">
        <v>1211</v>
      </c>
    </row>
    <row r="1178" spans="1:7" x14ac:dyDescent="0.35">
      <c r="A1178" s="2">
        <v>42303</v>
      </c>
      <c r="B1178" s="93" t="s">
        <v>105</v>
      </c>
      <c r="C1178" t="s">
        <v>104</v>
      </c>
      <c r="D1178" t="s">
        <v>9</v>
      </c>
      <c r="E1178" t="s">
        <v>74</v>
      </c>
      <c r="F1178" s="12" t="s">
        <v>82</v>
      </c>
      <c r="G1178">
        <v>1181</v>
      </c>
    </row>
    <row r="1179" spans="1:7" x14ac:dyDescent="0.35">
      <c r="A1179" s="2">
        <v>42303</v>
      </c>
      <c r="B1179" s="93" t="s">
        <v>105</v>
      </c>
      <c r="C1179" t="s">
        <v>104</v>
      </c>
      <c r="D1179" t="s">
        <v>9</v>
      </c>
      <c r="E1179" t="s">
        <v>74</v>
      </c>
      <c r="F1179" s="12" t="s">
        <v>82</v>
      </c>
      <c r="G1179">
        <v>1182</v>
      </c>
    </row>
    <row r="1180" spans="1:7" x14ac:dyDescent="0.35">
      <c r="A1180" s="2">
        <v>42303</v>
      </c>
      <c r="B1180" s="93" t="s">
        <v>105</v>
      </c>
      <c r="C1180" t="s">
        <v>104</v>
      </c>
      <c r="D1180" t="s">
        <v>14</v>
      </c>
      <c r="E1180" t="s">
        <v>74</v>
      </c>
      <c r="F1180" s="12" t="s">
        <v>82</v>
      </c>
      <c r="G1180">
        <v>1189</v>
      </c>
    </row>
    <row r="1181" spans="1:7" x14ac:dyDescent="0.35">
      <c r="A1181" s="2">
        <v>42303</v>
      </c>
      <c r="B1181" s="93" t="s">
        <v>105</v>
      </c>
      <c r="C1181" t="s">
        <v>104</v>
      </c>
      <c r="D1181" t="s">
        <v>14</v>
      </c>
      <c r="E1181" t="s">
        <v>74</v>
      </c>
      <c r="F1181" s="12" t="s">
        <v>82</v>
      </c>
      <c r="G1181">
        <v>1190</v>
      </c>
    </row>
    <row r="1182" spans="1:7" x14ac:dyDescent="0.35">
      <c r="A1182" s="2">
        <v>42303</v>
      </c>
      <c r="B1182" s="93" t="s">
        <v>105</v>
      </c>
      <c r="C1182" t="s">
        <v>104</v>
      </c>
      <c r="D1182" t="s">
        <v>18</v>
      </c>
      <c r="E1182" t="s">
        <v>74</v>
      </c>
      <c r="F1182" s="12" t="s">
        <v>82</v>
      </c>
      <c r="G1182">
        <v>1191</v>
      </c>
    </row>
    <row r="1183" spans="1:7" x14ac:dyDescent="0.35">
      <c r="A1183" s="2">
        <v>42303</v>
      </c>
      <c r="B1183" s="93" t="s">
        <v>105</v>
      </c>
      <c r="C1183" t="s">
        <v>104</v>
      </c>
      <c r="D1183" t="s">
        <v>18</v>
      </c>
      <c r="E1183" t="s">
        <v>74</v>
      </c>
      <c r="F1183" s="12" t="s">
        <v>82</v>
      </c>
      <c r="G1183">
        <v>1192</v>
      </c>
    </row>
    <row r="1184" spans="1:7" x14ac:dyDescent="0.35">
      <c r="A1184" s="2">
        <v>42303</v>
      </c>
      <c r="B1184" s="93" t="s">
        <v>105</v>
      </c>
      <c r="C1184" t="s">
        <v>104</v>
      </c>
      <c r="D1184" t="s">
        <v>25</v>
      </c>
      <c r="E1184" t="s">
        <v>74</v>
      </c>
      <c r="F1184" s="12" t="s">
        <v>82</v>
      </c>
      <c r="G1184">
        <v>1199</v>
      </c>
    </row>
    <row r="1185" spans="1:7" x14ac:dyDescent="0.35">
      <c r="A1185" s="2">
        <v>42303</v>
      </c>
      <c r="B1185" s="93" t="s">
        <v>105</v>
      </c>
      <c r="C1185" t="s">
        <v>104</v>
      </c>
      <c r="D1185" t="s">
        <v>25</v>
      </c>
      <c r="E1185" t="s">
        <v>74</v>
      </c>
      <c r="F1185" s="12" t="s">
        <v>82</v>
      </c>
      <c r="G1185">
        <v>1200</v>
      </c>
    </row>
    <row r="1186" spans="1:7" x14ac:dyDescent="0.35">
      <c r="A1186" s="2">
        <v>42303</v>
      </c>
      <c r="B1186" s="93" t="s">
        <v>105</v>
      </c>
      <c r="C1186" t="s">
        <v>104</v>
      </c>
      <c r="D1186" t="s">
        <v>26</v>
      </c>
      <c r="E1186" t="s">
        <v>74</v>
      </c>
      <c r="F1186" s="12" t="s">
        <v>82</v>
      </c>
      <c r="G1186">
        <v>1207</v>
      </c>
    </row>
    <row r="1187" spans="1:7" x14ac:dyDescent="0.35">
      <c r="A1187" s="2">
        <v>42303</v>
      </c>
      <c r="B1187" s="93" t="s">
        <v>105</v>
      </c>
      <c r="C1187" t="s">
        <v>104</v>
      </c>
      <c r="D1187" t="s">
        <v>26</v>
      </c>
      <c r="E1187" t="s">
        <v>74</v>
      </c>
      <c r="F1187" s="12" t="s">
        <v>82</v>
      </c>
      <c r="G1187">
        <v>1208</v>
      </c>
    </row>
    <row r="1188" spans="1:7" x14ac:dyDescent="0.35">
      <c r="A1188" s="2">
        <v>42303</v>
      </c>
      <c r="B1188" s="93" t="s">
        <v>105</v>
      </c>
      <c r="C1188" t="s">
        <v>104</v>
      </c>
      <c r="D1188" t="s">
        <v>167</v>
      </c>
      <c r="E1188" t="s">
        <v>74</v>
      </c>
      <c r="F1188" s="12" t="s">
        <v>82</v>
      </c>
      <c r="G1188">
        <v>1212</v>
      </c>
    </row>
    <row r="1189" spans="1:7" x14ac:dyDescent="0.35">
      <c r="A1189" s="2">
        <v>42303</v>
      </c>
      <c r="B1189" s="93" t="s">
        <v>105</v>
      </c>
      <c r="C1189" t="s">
        <v>104</v>
      </c>
      <c r="D1189" t="s">
        <v>167</v>
      </c>
      <c r="E1189" t="s">
        <v>74</v>
      </c>
      <c r="F1189" s="12" t="s">
        <v>82</v>
      </c>
      <c r="G1189">
        <v>1213</v>
      </c>
    </row>
    <row r="1190" spans="1:7" x14ac:dyDescent="0.35">
      <c r="A1190" s="2">
        <v>42303</v>
      </c>
      <c r="B1190" s="93" t="s">
        <v>105</v>
      </c>
      <c r="C1190" t="s">
        <v>104</v>
      </c>
      <c r="D1190" t="s">
        <v>9</v>
      </c>
      <c r="E1190" t="s">
        <v>78</v>
      </c>
      <c r="F1190" s="12" t="s">
        <v>105</v>
      </c>
      <c r="G1190">
        <v>1183</v>
      </c>
    </row>
    <row r="1191" spans="1:7" x14ac:dyDescent="0.35">
      <c r="A1191" s="2">
        <v>42303</v>
      </c>
      <c r="B1191" s="93" t="s">
        <v>105</v>
      </c>
      <c r="C1191" t="s">
        <v>104</v>
      </c>
      <c r="D1191" t="s">
        <v>9</v>
      </c>
      <c r="E1191" t="s">
        <v>78</v>
      </c>
      <c r="F1191" s="12" t="s">
        <v>105</v>
      </c>
      <c r="G1191">
        <v>1184</v>
      </c>
    </row>
    <row r="1192" spans="1:7" x14ac:dyDescent="0.35">
      <c r="A1192" s="2">
        <v>42303</v>
      </c>
      <c r="B1192" s="93" t="s">
        <v>105</v>
      </c>
      <c r="C1192" t="s">
        <v>104</v>
      </c>
      <c r="D1192" t="s">
        <v>9</v>
      </c>
      <c r="E1192" t="s">
        <v>78</v>
      </c>
      <c r="F1192" s="12" t="s">
        <v>105</v>
      </c>
      <c r="G1192">
        <v>1185</v>
      </c>
    </row>
    <row r="1193" spans="1:7" x14ac:dyDescent="0.35">
      <c r="A1193" s="2">
        <v>42303</v>
      </c>
      <c r="B1193" s="93" t="s">
        <v>105</v>
      </c>
      <c r="C1193" t="s">
        <v>104</v>
      </c>
      <c r="D1193" t="s">
        <v>25</v>
      </c>
      <c r="E1193" t="s">
        <v>78</v>
      </c>
      <c r="F1193" s="12" t="s">
        <v>105</v>
      </c>
      <c r="G1193">
        <v>1196</v>
      </c>
    </row>
    <row r="1194" spans="1:7" x14ac:dyDescent="0.35">
      <c r="A1194" s="2">
        <v>42303</v>
      </c>
      <c r="B1194" s="93" t="s">
        <v>105</v>
      </c>
      <c r="C1194" t="s">
        <v>104</v>
      </c>
      <c r="D1194" t="s">
        <v>25</v>
      </c>
      <c r="E1194" t="s">
        <v>78</v>
      </c>
      <c r="F1194" s="12" t="s">
        <v>105</v>
      </c>
      <c r="G1194">
        <v>1197</v>
      </c>
    </row>
    <row r="1195" spans="1:7" x14ac:dyDescent="0.35">
      <c r="A1195" s="2">
        <v>42303</v>
      </c>
      <c r="B1195" s="93" t="s">
        <v>105</v>
      </c>
      <c r="C1195" t="s">
        <v>104</v>
      </c>
      <c r="D1195" t="s">
        <v>25</v>
      </c>
      <c r="E1195" t="s">
        <v>78</v>
      </c>
      <c r="F1195" s="12" t="s">
        <v>105</v>
      </c>
      <c r="G1195">
        <v>1198</v>
      </c>
    </row>
    <row r="1196" spans="1:7" x14ac:dyDescent="0.35">
      <c r="A1196" s="2">
        <v>42307</v>
      </c>
      <c r="B1196" s="93" t="s">
        <v>105</v>
      </c>
      <c r="C1196" t="s">
        <v>104</v>
      </c>
      <c r="D1196" t="s">
        <v>64</v>
      </c>
      <c r="E1196" t="s">
        <v>10</v>
      </c>
      <c r="F1196" s="12" t="s">
        <v>105</v>
      </c>
      <c r="G1196">
        <v>1214</v>
      </c>
    </row>
    <row r="1197" spans="1:7" x14ac:dyDescent="0.35">
      <c r="A1197" s="2">
        <v>42307</v>
      </c>
      <c r="B1197" s="93" t="s">
        <v>105</v>
      </c>
      <c r="C1197" t="s">
        <v>104</v>
      </c>
      <c r="D1197" t="s">
        <v>64</v>
      </c>
      <c r="E1197" t="s">
        <v>10</v>
      </c>
      <c r="F1197" s="12" t="s">
        <v>105</v>
      </c>
      <c r="G1197">
        <v>1215</v>
      </c>
    </row>
    <row r="1198" spans="1:7" x14ac:dyDescent="0.35">
      <c r="A1198" s="2">
        <v>42307</v>
      </c>
      <c r="B1198" s="93" t="s">
        <v>105</v>
      </c>
      <c r="C1198" t="s">
        <v>104</v>
      </c>
      <c r="D1198" t="s">
        <v>64</v>
      </c>
      <c r="E1198" t="s">
        <v>10</v>
      </c>
      <c r="F1198" s="12" t="s">
        <v>105</v>
      </c>
      <c r="G1198">
        <v>1216</v>
      </c>
    </row>
    <row r="1199" spans="1:7" x14ac:dyDescent="0.35">
      <c r="A1199" s="2">
        <v>42307</v>
      </c>
      <c r="B1199" s="93" t="s">
        <v>105</v>
      </c>
      <c r="C1199" t="s">
        <v>104</v>
      </c>
      <c r="D1199" t="s">
        <v>69</v>
      </c>
      <c r="E1199" t="s">
        <v>10</v>
      </c>
      <c r="F1199" s="12" t="s">
        <v>105</v>
      </c>
      <c r="G1199">
        <v>1222</v>
      </c>
    </row>
    <row r="1200" spans="1:7" x14ac:dyDescent="0.35">
      <c r="A1200" s="2">
        <v>42307</v>
      </c>
      <c r="B1200" s="93" t="s">
        <v>105</v>
      </c>
      <c r="C1200" t="s">
        <v>104</v>
      </c>
      <c r="D1200" t="s">
        <v>69</v>
      </c>
      <c r="E1200" t="s">
        <v>10</v>
      </c>
      <c r="F1200" s="12" t="s">
        <v>105</v>
      </c>
      <c r="G1200">
        <v>1223</v>
      </c>
    </row>
    <row r="1201" spans="1:7" x14ac:dyDescent="0.35">
      <c r="A1201" s="2">
        <v>42307</v>
      </c>
      <c r="B1201" s="93" t="s">
        <v>105</v>
      </c>
      <c r="C1201" t="s">
        <v>104</v>
      </c>
      <c r="D1201" t="s">
        <v>69</v>
      </c>
      <c r="E1201" t="s">
        <v>10</v>
      </c>
      <c r="F1201" s="12" t="s">
        <v>105</v>
      </c>
      <c r="G1201">
        <v>1224</v>
      </c>
    </row>
    <row r="1202" spans="1:7" x14ac:dyDescent="0.35">
      <c r="A1202" s="2">
        <v>42307</v>
      </c>
      <c r="B1202" s="93" t="s">
        <v>105</v>
      </c>
      <c r="C1202" t="s">
        <v>104</v>
      </c>
      <c r="D1202" t="s">
        <v>60</v>
      </c>
      <c r="E1202" t="s">
        <v>10</v>
      </c>
      <c r="F1202" s="12" t="s">
        <v>105</v>
      </c>
      <c r="G1202">
        <v>1227</v>
      </c>
    </row>
    <row r="1203" spans="1:7" x14ac:dyDescent="0.35">
      <c r="A1203" s="2">
        <v>42307</v>
      </c>
      <c r="B1203" s="93" t="s">
        <v>105</v>
      </c>
      <c r="C1203" t="s">
        <v>104</v>
      </c>
      <c r="D1203" t="s">
        <v>60</v>
      </c>
      <c r="E1203" t="s">
        <v>10</v>
      </c>
      <c r="F1203" s="12" t="s">
        <v>105</v>
      </c>
      <c r="G1203">
        <v>1228</v>
      </c>
    </row>
    <row r="1204" spans="1:7" x14ac:dyDescent="0.35">
      <c r="A1204" s="2">
        <v>42307</v>
      </c>
      <c r="B1204" s="93" t="s">
        <v>105</v>
      </c>
      <c r="C1204" t="s">
        <v>104</v>
      </c>
      <c r="D1204" t="s">
        <v>60</v>
      </c>
      <c r="E1204" t="s">
        <v>10</v>
      </c>
      <c r="F1204" s="12" t="s">
        <v>105</v>
      </c>
      <c r="G1204">
        <v>1229</v>
      </c>
    </row>
    <row r="1205" spans="1:7" x14ac:dyDescent="0.35">
      <c r="A1205" s="2">
        <v>42307</v>
      </c>
      <c r="B1205" s="93" t="s">
        <v>105</v>
      </c>
      <c r="C1205" t="s">
        <v>104</v>
      </c>
      <c r="D1205" t="s">
        <v>64</v>
      </c>
      <c r="E1205" t="s">
        <v>74</v>
      </c>
      <c r="F1205" s="12" t="s">
        <v>82</v>
      </c>
      <c r="G1205">
        <v>1217</v>
      </c>
    </row>
    <row r="1206" spans="1:7" x14ac:dyDescent="0.35">
      <c r="A1206" s="2">
        <v>42307</v>
      </c>
      <c r="B1206" s="93" t="s">
        <v>105</v>
      </c>
      <c r="C1206" t="s">
        <v>104</v>
      </c>
      <c r="D1206" t="s">
        <v>64</v>
      </c>
      <c r="E1206" t="s">
        <v>74</v>
      </c>
      <c r="F1206" s="12" t="s">
        <v>82</v>
      </c>
      <c r="G1206">
        <v>1218</v>
      </c>
    </row>
    <row r="1207" spans="1:7" x14ac:dyDescent="0.35">
      <c r="A1207" s="2">
        <v>42307</v>
      </c>
      <c r="B1207" s="93" t="s">
        <v>105</v>
      </c>
      <c r="C1207" t="s">
        <v>104</v>
      </c>
      <c r="D1207" t="s">
        <v>69</v>
      </c>
      <c r="E1207" t="s">
        <v>74</v>
      </c>
      <c r="F1207" s="12" t="s">
        <v>82</v>
      </c>
      <c r="G1207">
        <v>1225</v>
      </c>
    </row>
    <row r="1208" spans="1:7" x14ac:dyDescent="0.35">
      <c r="A1208" s="2">
        <v>42307</v>
      </c>
      <c r="B1208" s="93" t="s">
        <v>105</v>
      </c>
      <c r="C1208" t="s">
        <v>104</v>
      </c>
      <c r="D1208" t="s">
        <v>69</v>
      </c>
      <c r="E1208" t="s">
        <v>74</v>
      </c>
      <c r="F1208" t="s">
        <v>82</v>
      </c>
      <c r="G1208">
        <v>1226</v>
      </c>
    </row>
    <row r="1209" spans="1:7" x14ac:dyDescent="0.35">
      <c r="A1209" s="2">
        <v>42307</v>
      </c>
      <c r="B1209" s="93" t="s">
        <v>105</v>
      </c>
      <c r="C1209" t="s">
        <v>104</v>
      </c>
      <c r="D1209" t="s">
        <v>60</v>
      </c>
      <c r="E1209" t="s">
        <v>74</v>
      </c>
      <c r="F1209" t="s">
        <v>82</v>
      </c>
      <c r="G1209">
        <v>1230</v>
      </c>
    </row>
    <row r="1210" spans="1:7" x14ac:dyDescent="0.35">
      <c r="A1210" s="2">
        <v>42307</v>
      </c>
      <c r="B1210" s="93" t="s">
        <v>105</v>
      </c>
      <c r="C1210" t="s">
        <v>104</v>
      </c>
      <c r="D1210" t="s">
        <v>60</v>
      </c>
      <c r="E1210" t="s">
        <v>74</v>
      </c>
      <c r="F1210" t="s">
        <v>82</v>
      </c>
      <c r="G1210">
        <v>1231</v>
      </c>
    </row>
    <row r="1211" spans="1:7" x14ac:dyDescent="0.35">
      <c r="A1211" s="2">
        <v>42307</v>
      </c>
      <c r="B1211" s="93" t="s">
        <v>105</v>
      </c>
      <c r="C1211" t="s">
        <v>104</v>
      </c>
      <c r="D1211" t="s">
        <v>64</v>
      </c>
      <c r="E1211" t="s">
        <v>78</v>
      </c>
      <c r="F1211" t="s">
        <v>105</v>
      </c>
      <c r="G1211">
        <v>1219</v>
      </c>
    </row>
    <row r="1212" spans="1:7" x14ac:dyDescent="0.35">
      <c r="A1212" s="2">
        <v>42307</v>
      </c>
      <c r="B1212" s="93" t="s">
        <v>105</v>
      </c>
      <c r="C1212" t="s">
        <v>104</v>
      </c>
      <c r="D1212" t="s">
        <v>64</v>
      </c>
      <c r="E1212" t="s">
        <v>78</v>
      </c>
      <c r="F1212" t="s">
        <v>105</v>
      </c>
      <c r="G1212">
        <v>1220</v>
      </c>
    </row>
    <row r="1213" spans="1:7" x14ac:dyDescent="0.35">
      <c r="A1213" s="2">
        <v>42307</v>
      </c>
      <c r="B1213" s="93" t="s">
        <v>105</v>
      </c>
      <c r="C1213" t="s">
        <v>104</v>
      </c>
      <c r="D1213" t="s">
        <v>64</v>
      </c>
      <c r="E1213" t="s">
        <v>78</v>
      </c>
      <c r="F1213" t="s">
        <v>105</v>
      </c>
      <c r="G1213">
        <v>1221</v>
      </c>
    </row>
    <row r="1214" spans="1:7" x14ac:dyDescent="0.35">
      <c r="A1214" s="2">
        <v>42312</v>
      </c>
      <c r="B1214" s="93" t="s">
        <v>105</v>
      </c>
      <c r="C1214" t="s">
        <v>104</v>
      </c>
      <c r="D1214" t="s">
        <v>9</v>
      </c>
      <c r="E1214" t="s">
        <v>10</v>
      </c>
      <c r="F1214" t="s">
        <v>105</v>
      </c>
      <c r="G1214">
        <v>1280</v>
      </c>
    </row>
    <row r="1215" spans="1:7" x14ac:dyDescent="0.35">
      <c r="A1215" s="2">
        <v>42312</v>
      </c>
      <c r="B1215" s="93" t="s">
        <v>105</v>
      </c>
      <c r="C1215" t="s">
        <v>104</v>
      </c>
      <c r="D1215" t="s">
        <v>9</v>
      </c>
      <c r="E1215" t="s">
        <v>10</v>
      </c>
      <c r="F1215" t="s">
        <v>105</v>
      </c>
      <c r="G1215">
        <v>1281</v>
      </c>
    </row>
    <row r="1216" spans="1:7" x14ac:dyDescent="0.35">
      <c r="A1216" s="2">
        <v>42312</v>
      </c>
      <c r="B1216" s="93" t="s">
        <v>105</v>
      </c>
      <c r="C1216" t="s">
        <v>104</v>
      </c>
      <c r="D1216" t="s">
        <v>9</v>
      </c>
      <c r="E1216" t="s">
        <v>10</v>
      </c>
      <c r="F1216" t="s">
        <v>105</v>
      </c>
      <c r="G1216">
        <v>1282</v>
      </c>
    </row>
    <row r="1217" spans="1:7" x14ac:dyDescent="0.35">
      <c r="A1217" s="2">
        <v>42312</v>
      </c>
      <c r="B1217" s="93" t="s">
        <v>105</v>
      </c>
      <c r="C1217" t="s">
        <v>104</v>
      </c>
      <c r="D1217" t="s">
        <v>14</v>
      </c>
      <c r="E1217" t="s">
        <v>10</v>
      </c>
      <c r="F1217" t="s">
        <v>105</v>
      </c>
      <c r="G1217">
        <v>1288</v>
      </c>
    </row>
    <row r="1218" spans="1:7" x14ac:dyDescent="0.35">
      <c r="A1218" s="2">
        <v>42312</v>
      </c>
      <c r="B1218" s="93" t="s">
        <v>105</v>
      </c>
      <c r="C1218" t="s">
        <v>104</v>
      </c>
      <c r="D1218" t="s">
        <v>14</v>
      </c>
      <c r="E1218" t="s">
        <v>10</v>
      </c>
      <c r="F1218" t="s">
        <v>105</v>
      </c>
      <c r="G1218">
        <v>1289</v>
      </c>
    </row>
    <row r="1219" spans="1:7" x14ac:dyDescent="0.35">
      <c r="A1219" s="2">
        <v>42312</v>
      </c>
      <c r="B1219" s="93" t="s">
        <v>105</v>
      </c>
      <c r="C1219" t="s">
        <v>104</v>
      </c>
      <c r="D1219" t="s">
        <v>14</v>
      </c>
      <c r="E1219" t="s">
        <v>10</v>
      </c>
      <c r="F1219" t="s">
        <v>105</v>
      </c>
      <c r="G1219">
        <v>1290</v>
      </c>
    </row>
    <row r="1220" spans="1:7" x14ac:dyDescent="0.35">
      <c r="A1220" s="2">
        <v>42312</v>
      </c>
      <c r="B1220" s="93" t="s">
        <v>105</v>
      </c>
      <c r="C1220" t="s">
        <v>104</v>
      </c>
      <c r="D1220" t="s">
        <v>18</v>
      </c>
      <c r="E1220" t="s">
        <v>10</v>
      </c>
      <c r="F1220" t="s">
        <v>105</v>
      </c>
      <c r="G1220">
        <v>1293</v>
      </c>
    </row>
    <row r="1221" spans="1:7" x14ac:dyDescent="0.35">
      <c r="A1221" s="2">
        <v>42312</v>
      </c>
      <c r="B1221" s="93" t="s">
        <v>105</v>
      </c>
      <c r="C1221" t="s">
        <v>104</v>
      </c>
      <c r="D1221" t="s">
        <v>18</v>
      </c>
      <c r="E1221" t="s">
        <v>10</v>
      </c>
      <c r="F1221" t="s">
        <v>105</v>
      </c>
      <c r="G1221">
        <v>1294</v>
      </c>
    </row>
    <row r="1222" spans="1:7" x14ac:dyDescent="0.35">
      <c r="A1222" s="2">
        <v>42312</v>
      </c>
      <c r="B1222" s="93" t="s">
        <v>105</v>
      </c>
      <c r="C1222" t="s">
        <v>104</v>
      </c>
      <c r="D1222" t="s">
        <v>18</v>
      </c>
      <c r="E1222" t="s">
        <v>10</v>
      </c>
      <c r="F1222" t="s">
        <v>105</v>
      </c>
      <c r="G1222">
        <v>1295</v>
      </c>
    </row>
    <row r="1223" spans="1:7" x14ac:dyDescent="0.35">
      <c r="A1223" s="2">
        <v>42312</v>
      </c>
      <c r="B1223" s="93" t="s">
        <v>105</v>
      </c>
      <c r="C1223" t="s">
        <v>104</v>
      </c>
      <c r="D1223" t="s">
        <v>26</v>
      </c>
      <c r="E1223" t="s">
        <v>10</v>
      </c>
      <c r="F1223" t="s">
        <v>105</v>
      </c>
      <c r="G1223">
        <v>1298</v>
      </c>
    </row>
    <row r="1224" spans="1:7" x14ac:dyDescent="0.35">
      <c r="A1224" s="2">
        <v>42312</v>
      </c>
      <c r="B1224" s="93" t="s">
        <v>105</v>
      </c>
      <c r="C1224" t="s">
        <v>104</v>
      </c>
      <c r="D1224" t="s">
        <v>26</v>
      </c>
      <c r="E1224" t="s">
        <v>10</v>
      </c>
      <c r="F1224" t="s">
        <v>105</v>
      </c>
      <c r="G1224">
        <v>1299</v>
      </c>
    </row>
    <row r="1225" spans="1:7" x14ac:dyDescent="0.35">
      <c r="A1225" s="2">
        <v>42312</v>
      </c>
      <c r="B1225" s="93" t="s">
        <v>105</v>
      </c>
      <c r="C1225" t="s">
        <v>104</v>
      </c>
      <c r="D1225" t="s">
        <v>26</v>
      </c>
      <c r="E1225" t="s">
        <v>10</v>
      </c>
      <c r="F1225" t="s">
        <v>105</v>
      </c>
      <c r="G1225">
        <v>1300</v>
      </c>
    </row>
    <row r="1226" spans="1:7" x14ac:dyDescent="0.35">
      <c r="A1226" s="2">
        <v>42312</v>
      </c>
      <c r="B1226" s="93" t="s">
        <v>105</v>
      </c>
      <c r="C1226" t="s">
        <v>104</v>
      </c>
      <c r="D1226" t="s">
        <v>25</v>
      </c>
      <c r="E1226" t="s">
        <v>10</v>
      </c>
      <c r="F1226" t="s">
        <v>105</v>
      </c>
      <c r="G1226">
        <v>1306</v>
      </c>
    </row>
    <row r="1227" spans="1:7" x14ac:dyDescent="0.35">
      <c r="A1227" s="2">
        <v>42312</v>
      </c>
      <c r="B1227" s="93" t="s">
        <v>105</v>
      </c>
      <c r="C1227" t="s">
        <v>104</v>
      </c>
      <c r="D1227" t="s">
        <v>25</v>
      </c>
      <c r="E1227" t="s">
        <v>10</v>
      </c>
      <c r="F1227" t="s">
        <v>105</v>
      </c>
      <c r="G1227">
        <v>1307</v>
      </c>
    </row>
    <row r="1228" spans="1:7" x14ac:dyDescent="0.35">
      <c r="A1228" s="2">
        <v>42312</v>
      </c>
      <c r="B1228" s="93" t="s">
        <v>105</v>
      </c>
      <c r="C1228" t="s">
        <v>104</v>
      </c>
      <c r="D1228" t="s">
        <v>167</v>
      </c>
      <c r="E1228" t="s">
        <v>10</v>
      </c>
      <c r="F1228" t="s">
        <v>105</v>
      </c>
      <c r="G1228">
        <v>1245</v>
      </c>
    </row>
    <row r="1229" spans="1:7" x14ac:dyDescent="0.35">
      <c r="A1229" s="2">
        <v>42312</v>
      </c>
      <c r="B1229" s="93" t="s">
        <v>105</v>
      </c>
      <c r="C1229" t="s">
        <v>104</v>
      </c>
      <c r="D1229" t="s">
        <v>167</v>
      </c>
      <c r="E1229" t="s">
        <v>10</v>
      </c>
      <c r="F1229" t="s">
        <v>105</v>
      </c>
      <c r="G1229">
        <v>1246</v>
      </c>
    </row>
    <row r="1230" spans="1:7" x14ac:dyDescent="0.35">
      <c r="A1230" s="2">
        <v>42312</v>
      </c>
      <c r="B1230" s="93" t="s">
        <v>105</v>
      </c>
      <c r="C1230" t="s">
        <v>104</v>
      </c>
      <c r="D1230" t="s">
        <v>167</v>
      </c>
      <c r="E1230" t="s">
        <v>10</v>
      </c>
      <c r="F1230" t="s">
        <v>105</v>
      </c>
      <c r="G1230">
        <v>1247</v>
      </c>
    </row>
    <row r="1231" spans="1:7" x14ac:dyDescent="0.35">
      <c r="A1231" s="2">
        <v>42312</v>
      </c>
      <c r="B1231" s="93" t="s">
        <v>105</v>
      </c>
      <c r="C1231" t="s">
        <v>104</v>
      </c>
      <c r="D1231" t="s">
        <v>9</v>
      </c>
      <c r="E1231" t="s">
        <v>74</v>
      </c>
      <c r="F1231" s="12" t="s">
        <v>82</v>
      </c>
      <c r="G1231">
        <v>1283</v>
      </c>
    </row>
    <row r="1232" spans="1:7" x14ac:dyDescent="0.35">
      <c r="A1232" s="2">
        <v>42312</v>
      </c>
      <c r="B1232" s="93" t="s">
        <v>105</v>
      </c>
      <c r="C1232" t="s">
        <v>104</v>
      </c>
      <c r="D1232" t="s">
        <v>9</v>
      </c>
      <c r="E1232" t="s">
        <v>74</v>
      </c>
      <c r="F1232" s="12" t="s">
        <v>82</v>
      </c>
      <c r="G1232">
        <v>1284</v>
      </c>
    </row>
    <row r="1233" spans="1:7" x14ac:dyDescent="0.35">
      <c r="A1233" s="2">
        <v>42312</v>
      </c>
      <c r="B1233" s="93" t="s">
        <v>105</v>
      </c>
      <c r="C1233" t="s">
        <v>104</v>
      </c>
      <c r="D1233" t="s">
        <v>14</v>
      </c>
      <c r="E1233" t="s">
        <v>74</v>
      </c>
      <c r="F1233" s="12" t="s">
        <v>82</v>
      </c>
      <c r="G1233">
        <v>1291</v>
      </c>
    </row>
    <row r="1234" spans="1:7" x14ac:dyDescent="0.35">
      <c r="A1234" s="2">
        <v>42312</v>
      </c>
      <c r="B1234" s="93" t="s">
        <v>105</v>
      </c>
      <c r="C1234" t="s">
        <v>104</v>
      </c>
      <c r="D1234" t="s">
        <v>14</v>
      </c>
      <c r="E1234" t="s">
        <v>74</v>
      </c>
      <c r="F1234" t="s">
        <v>82</v>
      </c>
      <c r="G1234">
        <v>1292</v>
      </c>
    </row>
    <row r="1235" spans="1:7" x14ac:dyDescent="0.35">
      <c r="A1235" s="2">
        <v>42312</v>
      </c>
      <c r="B1235" s="93" t="s">
        <v>105</v>
      </c>
      <c r="C1235" t="s">
        <v>104</v>
      </c>
      <c r="D1235" t="s">
        <v>18</v>
      </c>
      <c r="E1235" t="s">
        <v>74</v>
      </c>
      <c r="F1235" t="s">
        <v>82</v>
      </c>
      <c r="G1235">
        <v>1296</v>
      </c>
    </row>
    <row r="1236" spans="1:7" x14ac:dyDescent="0.35">
      <c r="A1236" s="2">
        <v>42312</v>
      </c>
      <c r="B1236" s="93" t="s">
        <v>105</v>
      </c>
      <c r="C1236" t="s">
        <v>104</v>
      </c>
      <c r="D1236" t="s">
        <v>18</v>
      </c>
      <c r="E1236" t="s">
        <v>74</v>
      </c>
      <c r="F1236" t="s">
        <v>82</v>
      </c>
      <c r="G1236">
        <v>1297</v>
      </c>
    </row>
    <row r="1237" spans="1:7" x14ac:dyDescent="0.35">
      <c r="A1237" s="2">
        <v>42312</v>
      </c>
      <c r="B1237" s="93" t="s">
        <v>105</v>
      </c>
      <c r="C1237" t="s">
        <v>104</v>
      </c>
      <c r="D1237" t="s">
        <v>26</v>
      </c>
      <c r="E1237" t="s">
        <v>74</v>
      </c>
      <c r="F1237" t="s">
        <v>82</v>
      </c>
      <c r="G1237">
        <v>1301</v>
      </c>
    </row>
    <row r="1238" spans="1:7" x14ac:dyDescent="0.35">
      <c r="A1238" s="2">
        <v>42312</v>
      </c>
      <c r="B1238" s="93" t="s">
        <v>105</v>
      </c>
      <c r="C1238" t="s">
        <v>104</v>
      </c>
      <c r="D1238" t="s">
        <v>26</v>
      </c>
      <c r="E1238" t="s">
        <v>74</v>
      </c>
      <c r="F1238" t="s">
        <v>82</v>
      </c>
      <c r="G1238">
        <v>1302</v>
      </c>
    </row>
    <row r="1239" spans="1:7" x14ac:dyDescent="0.35">
      <c r="A1239" s="2">
        <v>42312</v>
      </c>
      <c r="B1239" s="93" t="s">
        <v>105</v>
      </c>
      <c r="C1239" t="s">
        <v>104</v>
      </c>
      <c r="D1239" t="s">
        <v>25</v>
      </c>
      <c r="E1239" t="s">
        <v>74</v>
      </c>
      <c r="F1239" t="s">
        <v>82</v>
      </c>
      <c r="G1239">
        <v>1309</v>
      </c>
    </row>
    <row r="1240" spans="1:7" x14ac:dyDescent="0.35">
      <c r="A1240" s="2">
        <v>42312</v>
      </c>
      <c r="B1240" s="93" t="s">
        <v>105</v>
      </c>
      <c r="C1240" t="s">
        <v>104</v>
      </c>
      <c r="D1240" t="s">
        <v>25</v>
      </c>
      <c r="E1240" t="s">
        <v>74</v>
      </c>
      <c r="F1240" t="s">
        <v>82</v>
      </c>
      <c r="G1240">
        <v>1244</v>
      </c>
    </row>
    <row r="1241" spans="1:7" x14ac:dyDescent="0.35">
      <c r="A1241" s="2">
        <v>42312</v>
      </c>
      <c r="B1241" s="93" t="s">
        <v>105</v>
      </c>
      <c r="C1241" t="s">
        <v>104</v>
      </c>
      <c r="D1241" t="s">
        <v>167</v>
      </c>
      <c r="E1241" t="s">
        <v>74</v>
      </c>
      <c r="F1241" t="s">
        <v>82</v>
      </c>
      <c r="G1241">
        <v>1248</v>
      </c>
    </row>
    <row r="1242" spans="1:7" x14ac:dyDescent="0.35">
      <c r="A1242" s="2">
        <v>42312</v>
      </c>
      <c r="B1242" s="93" t="s">
        <v>105</v>
      </c>
      <c r="C1242" t="s">
        <v>104</v>
      </c>
      <c r="D1242" t="s">
        <v>167</v>
      </c>
      <c r="E1242" t="s">
        <v>74</v>
      </c>
      <c r="F1242" t="s">
        <v>82</v>
      </c>
      <c r="G1242">
        <v>1249</v>
      </c>
    </row>
    <row r="1243" spans="1:7" x14ac:dyDescent="0.35">
      <c r="A1243" s="2">
        <v>42312</v>
      </c>
      <c r="B1243" s="93" t="s">
        <v>105</v>
      </c>
      <c r="C1243" t="s">
        <v>104</v>
      </c>
      <c r="D1243" t="s">
        <v>9</v>
      </c>
      <c r="E1243" t="s">
        <v>78</v>
      </c>
      <c r="F1243" t="s">
        <v>105</v>
      </c>
      <c r="G1243">
        <v>1285</v>
      </c>
    </row>
    <row r="1244" spans="1:7" x14ac:dyDescent="0.35">
      <c r="A1244" s="2">
        <v>42312</v>
      </c>
      <c r="B1244" s="93" t="s">
        <v>105</v>
      </c>
      <c r="C1244" t="s">
        <v>104</v>
      </c>
      <c r="D1244" t="s">
        <v>9</v>
      </c>
      <c r="E1244" t="s">
        <v>78</v>
      </c>
      <c r="F1244" t="s">
        <v>105</v>
      </c>
      <c r="G1244">
        <v>1286</v>
      </c>
    </row>
    <row r="1245" spans="1:7" x14ac:dyDescent="0.35">
      <c r="A1245" s="2">
        <v>42312</v>
      </c>
      <c r="B1245" s="93" t="s">
        <v>105</v>
      </c>
      <c r="C1245" t="s">
        <v>104</v>
      </c>
      <c r="D1245" t="s">
        <v>9</v>
      </c>
      <c r="E1245" t="s">
        <v>78</v>
      </c>
      <c r="F1245" t="s">
        <v>105</v>
      </c>
      <c r="G1245">
        <v>1287</v>
      </c>
    </row>
    <row r="1246" spans="1:7" x14ac:dyDescent="0.35">
      <c r="A1246" s="2">
        <v>42312</v>
      </c>
      <c r="B1246" s="93" t="s">
        <v>105</v>
      </c>
      <c r="C1246" t="s">
        <v>104</v>
      </c>
      <c r="D1246" t="s">
        <v>26</v>
      </c>
      <c r="E1246" t="s">
        <v>78</v>
      </c>
      <c r="F1246" t="s">
        <v>105</v>
      </c>
      <c r="G1246">
        <v>1303</v>
      </c>
    </row>
    <row r="1247" spans="1:7" x14ac:dyDescent="0.35">
      <c r="A1247" s="2">
        <v>42312</v>
      </c>
      <c r="B1247" s="93" t="s">
        <v>105</v>
      </c>
      <c r="C1247" t="s">
        <v>104</v>
      </c>
      <c r="D1247" t="s">
        <v>26</v>
      </c>
      <c r="E1247" t="s">
        <v>78</v>
      </c>
      <c r="F1247" t="s">
        <v>105</v>
      </c>
      <c r="G1247">
        <v>1304</v>
      </c>
    </row>
    <row r="1248" spans="1:7" x14ac:dyDescent="0.35">
      <c r="A1248" s="2">
        <v>42312</v>
      </c>
      <c r="B1248" s="93" t="s">
        <v>105</v>
      </c>
      <c r="C1248" t="s">
        <v>104</v>
      </c>
      <c r="D1248" t="s">
        <v>26</v>
      </c>
      <c r="E1248" t="s">
        <v>78</v>
      </c>
      <c r="F1248" t="s">
        <v>105</v>
      </c>
      <c r="G1248">
        <v>1305</v>
      </c>
    </row>
    <row r="1249" spans="1:7" x14ac:dyDescent="0.35">
      <c r="A1249" s="2">
        <v>42313</v>
      </c>
      <c r="B1249" s="93" t="s">
        <v>105</v>
      </c>
      <c r="C1249" t="s">
        <v>104</v>
      </c>
      <c r="D1249" t="s">
        <v>64</v>
      </c>
      <c r="E1249" t="s">
        <v>10</v>
      </c>
      <c r="F1249" t="s">
        <v>105</v>
      </c>
      <c r="G1249">
        <v>1250</v>
      </c>
    </row>
    <row r="1250" spans="1:7" x14ac:dyDescent="0.35">
      <c r="A1250" s="2">
        <v>42313</v>
      </c>
      <c r="B1250" s="93" t="s">
        <v>105</v>
      </c>
      <c r="C1250" t="s">
        <v>104</v>
      </c>
      <c r="D1250" t="s">
        <v>64</v>
      </c>
      <c r="E1250" t="s">
        <v>10</v>
      </c>
      <c r="F1250" t="s">
        <v>105</v>
      </c>
      <c r="G1250">
        <v>1251</v>
      </c>
    </row>
    <row r="1251" spans="1:7" x14ac:dyDescent="0.35">
      <c r="A1251" s="2">
        <v>42313</v>
      </c>
      <c r="B1251" s="93" t="s">
        <v>105</v>
      </c>
      <c r="C1251" t="s">
        <v>104</v>
      </c>
      <c r="D1251" t="s">
        <v>64</v>
      </c>
      <c r="E1251" t="s">
        <v>10</v>
      </c>
      <c r="F1251" t="s">
        <v>105</v>
      </c>
      <c r="G1251">
        <v>1252</v>
      </c>
    </row>
    <row r="1252" spans="1:7" x14ac:dyDescent="0.35">
      <c r="A1252" s="2">
        <v>42313</v>
      </c>
      <c r="B1252" s="93" t="s">
        <v>105</v>
      </c>
      <c r="C1252" t="s">
        <v>104</v>
      </c>
      <c r="D1252" t="s">
        <v>69</v>
      </c>
      <c r="E1252" t="s">
        <v>10</v>
      </c>
      <c r="F1252" t="s">
        <v>105</v>
      </c>
      <c r="G1252">
        <v>1258</v>
      </c>
    </row>
    <row r="1253" spans="1:7" x14ac:dyDescent="0.35">
      <c r="A1253" s="2">
        <v>42313</v>
      </c>
      <c r="B1253" s="93" t="s">
        <v>105</v>
      </c>
      <c r="C1253" t="s">
        <v>104</v>
      </c>
      <c r="D1253" t="s">
        <v>69</v>
      </c>
      <c r="E1253" t="s">
        <v>10</v>
      </c>
      <c r="F1253" t="s">
        <v>105</v>
      </c>
      <c r="G1253">
        <v>1259</v>
      </c>
    </row>
    <row r="1254" spans="1:7" x14ac:dyDescent="0.35">
      <c r="A1254" s="2">
        <v>42313</v>
      </c>
      <c r="B1254" s="93" t="s">
        <v>105</v>
      </c>
      <c r="C1254" t="s">
        <v>104</v>
      </c>
      <c r="D1254" t="s">
        <v>69</v>
      </c>
      <c r="E1254" t="s">
        <v>10</v>
      </c>
      <c r="F1254" t="s">
        <v>105</v>
      </c>
      <c r="G1254">
        <v>1260</v>
      </c>
    </row>
    <row r="1255" spans="1:7" x14ac:dyDescent="0.35">
      <c r="A1255" s="2">
        <v>42313</v>
      </c>
      <c r="B1255" s="93" t="s">
        <v>105</v>
      </c>
      <c r="C1255" t="s">
        <v>104</v>
      </c>
      <c r="D1255" t="s">
        <v>60</v>
      </c>
      <c r="E1255" t="s">
        <v>10</v>
      </c>
      <c r="F1255" t="s">
        <v>105</v>
      </c>
      <c r="G1255">
        <v>1263</v>
      </c>
    </row>
    <row r="1256" spans="1:7" x14ac:dyDescent="0.35">
      <c r="A1256" s="2">
        <v>42313</v>
      </c>
      <c r="B1256" s="93" t="s">
        <v>105</v>
      </c>
      <c r="C1256" t="s">
        <v>104</v>
      </c>
      <c r="D1256" t="s">
        <v>60</v>
      </c>
      <c r="E1256" t="s">
        <v>10</v>
      </c>
      <c r="F1256" t="s">
        <v>105</v>
      </c>
      <c r="G1256">
        <v>1264</v>
      </c>
    </row>
    <row r="1257" spans="1:7" x14ac:dyDescent="0.35">
      <c r="A1257" s="2">
        <v>42313</v>
      </c>
      <c r="B1257" s="93" t="s">
        <v>105</v>
      </c>
      <c r="C1257" t="s">
        <v>104</v>
      </c>
      <c r="D1257" t="s">
        <v>60</v>
      </c>
      <c r="E1257" t="s">
        <v>10</v>
      </c>
      <c r="F1257" t="s">
        <v>105</v>
      </c>
      <c r="G1257">
        <v>1265</v>
      </c>
    </row>
    <row r="1258" spans="1:7" x14ac:dyDescent="0.35">
      <c r="A1258" s="2">
        <v>42313</v>
      </c>
      <c r="B1258" s="93" t="s">
        <v>105</v>
      </c>
      <c r="C1258" t="s">
        <v>104</v>
      </c>
      <c r="D1258" t="s">
        <v>64</v>
      </c>
      <c r="E1258" t="s">
        <v>74</v>
      </c>
      <c r="F1258" s="12" t="s">
        <v>82</v>
      </c>
      <c r="G1258">
        <v>1253</v>
      </c>
    </row>
    <row r="1259" spans="1:7" x14ac:dyDescent="0.35">
      <c r="A1259" s="2">
        <v>42313</v>
      </c>
      <c r="B1259" s="93" t="s">
        <v>105</v>
      </c>
      <c r="C1259" t="s">
        <v>104</v>
      </c>
      <c r="D1259" t="s">
        <v>64</v>
      </c>
      <c r="E1259" t="s">
        <v>74</v>
      </c>
      <c r="F1259" s="12" t="s">
        <v>82</v>
      </c>
      <c r="G1259">
        <v>1254</v>
      </c>
    </row>
    <row r="1260" spans="1:7" x14ac:dyDescent="0.35">
      <c r="A1260" s="2">
        <v>42313</v>
      </c>
      <c r="B1260" s="93" t="s">
        <v>105</v>
      </c>
      <c r="C1260" t="s">
        <v>104</v>
      </c>
      <c r="D1260" t="s">
        <v>69</v>
      </c>
      <c r="E1260" t="s">
        <v>74</v>
      </c>
      <c r="F1260" s="12" t="s">
        <v>82</v>
      </c>
      <c r="G1260">
        <v>1261</v>
      </c>
    </row>
    <row r="1261" spans="1:7" x14ac:dyDescent="0.35">
      <c r="A1261" s="2">
        <v>42313</v>
      </c>
      <c r="B1261" s="93" t="s">
        <v>105</v>
      </c>
      <c r="C1261" t="s">
        <v>104</v>
      </c>
      <c r="D1261" t="s">
        <v>60</v>
      </c>
      <c r="E1261" t="s">
        <v>74</v>
      </c>
      <c r="F1261" s="12" t="s">
        <v>82</v>
      </c>
      <c r="G1261">
        <v>1266</v>
      </c>
    </row>
    <row r="1262" spans="1:7" x14ac:dyDescent="0.35">
      <c r="A1262" s="2">
        <v>42313</v>
      </c>
      <c r="B1262" s="93" t="s">
        <v>105</v>
      </c>
      <c r="C1262" t="s">
        <v>104</v>
      </c>
      <c r="D1262" t="s">
        <v>60</v>
      </c>
      <c r="E1262" t="s">
        <v>74</v>
      </c>
      <c r="F1262" s="12" t="s">
        <v>82</v>
      </c>
      <c r="G1262">
        <v>1267</v>
      </c>
    </row>
    <row r="1263" spans="1:7" x14ac:dyDescent="0.35">
      <c r="A1263" s="2">
        <v>42313</v>
      </c>
      <c r="B1263" s="93" t="s">
        <v>105</v>
      </c>
      <c r="C1263" t="s">
        <v>104</v>
      </c>
      <c r="D1263" t="s">
        <v>64</v>
      </c>
      <c r="E1263" t="s">
        <v>78</v>
      </c>
      <c r="F1263" t="s">
        <v>105</v>
      </c>
      <c r="G1263">
        <v>1255</v>
      </c>
    </row>
    <row r="1264" spans="1:7" x14ac:dyDescent="0.35">
      <c r="A1264" s="2">
        <v>42313</v>
      </c>
      <c r="B1264" s="93" t="s">
        <v>105</v>
      </c>
      <c r="C1264" t="s">
        <v>104</v>
      </c>
      <c r="D1264" t="s">
        <v>64</v>
      </c>
      <c r="E1264" t="s">
        <v>78</v>
      </c>
      <c r="F1264" t="s">
        <v>105</v>
      </c>
      <c r="G1264">
        <v>1256</v>
      </c>
    </row>
    <row r="1265" spans="1:7" x14ac:dyDescent="0.35">
      <c r="A1265" s="2">
        <v>42313</v>
      </c>
      <c r="B1265" s="93" t="s">
        <v>105</v>
      </c>
      <c r="C1265" t="s">
        <v>104</v>
      </c>
      <c r="D1265" t="s">
        <v>64</v>
      </c>
      <c r="E1265" t="s">
        <v>78</v>
      </c>
      <c r="F1265" t="s">
        <v>105</v>
      </c>
      <c r="G1265">
        <v>1257</v>
      </c>
    </row>
    <row r="1266" spans="1:7" x14ac:dyDescent="0.35">
      <c r="A1266" s="2">
        <v>42320</v>
      </c>
      <c r="B1266" s="93" t="s">
        <v>105</v>
      </c>
      <c r="C1266" t="s">
        <v>104</v>
      </c>
      <c r="D1266" t="s">
        <v>9</v>
      </c>
      <c r="E1266" t="s">
        <v>10</v>
      </c>
      <c r="F1266" t="s">
        <v>105</v>
      </c>
      <c r="G1266">
        <v>1310</v>
      </c>
    </row>
    <row r="1267" spans="1:7" x14ac:dyDescent="0.35">
      <c r="A1267" s="2">
        <v>42320</v>
      </c>
      <c r="B1267" s="93" t="s">
        <v>105</v>
      </c>
      <c r="C1267" t="s">
        <v>104</v>
      </c>
      <c r="D1267" t="s">
        <v>9</v>
      </c>
      <c r="E1267" t="s">
        <v>10</v>
      </c>
      <c r="F1267" t="s">
        <v>105</v>
      </c>
      <c r="G1267">
        <v>1311</v>
      </c>
    </row>
    <row r="1268" spans="1:7" x14ac:dyDescent="0.35">
      <c r="A1268" s="2">
        <v>42320</v>
      </c>
      <c r="B1268" s="93" t="s">
        <v>105</v>
      </c>
      <c r="C1268" t="s">
        <v>104</v>
      </c>
      <c r="D1268" t="s">
        <v>9</v>
      </c>
      <c r="E1268" t="s">
        <v>10</v>
      </c>
      <c r="F1268" t="s">
        <v>105</v>
      </c>
      <c r="G1268">
        <v>1312</v>
      </c>
    </row>
    <row r="1269" spans="1:7" x14ac:dyDescent="0.35">
      <c r="A1269" s="2">
        <v>42320</v>
      </c>
      <c r="B1269" s="93" t="s">
        <v>105</v>
      </c>
      <c r="C1269" t="s">
        <v>104</v>
      </c>
      <c r="D1269" t="s">
        <v>14</v>
      </c>
      <c r="E1269" t="s">
        <v>10</v>
      </c>
      <c r="F1269" t="s">
        <v>105</v>
      </c>
      <c r="G1269">
        <v>1313</v>
      </c>
    </row>
    <row r="1270" spans="1:7" x14ac:dyDescent="0.35">
      <c r="A1270" s="2">
        <v>42320</v>
      </c>
      <c r="B1270" s="93" t="s">
        <v>105</v>
      </c>
      <c r="C1270" t="s">
        <v>104</v>
      </c>
      <c r="D1270" t="s">
        <v>14</v>
      </c>
      <c r="E1270" t="s">
        <v>10</v>
      </c>
      <c r="F1270" t="s">
        <v>105</v>
      </c>
      <c r="G1270">
        <v>1314</v>
      </c>
    </row>
    <row r="1271" spans="1:7" x14ac:dyDescent="0.35">
      <c r="A1271" s="2">
        <v>42320</v>
      </c>
      <c r="B1271" s="93" t="s">
        <v>105</v>
      </c>
      <c r="C1271" t="s">
        <v>104</v>
      </c>
      <c r="D1271" t="s">
        <v>14</v>
      </c>
      <c r="E1271" t="s">
        <v>10</v>
      </c>
      <c r="F1271" t="s">
        <v>105</v>
      </c>
      <c r="G1271">
        <v>1315</v>
      </c>
    </row>
    <row r="1272" spans="1:7" x14ac:dyDescent="0.35">
      <c r="A1272" s="2">
        <v>42320</v>
      </c>
      <c r="B1272" s="93" t="s">
        <v>105</v>
      </c>
      <c r="C1272" t="s">
        <v>104</v>
      </c>
      <c r="D1272" t="s">
        <v>18</v>
      </c>
      <c r="E1272" t="s">
        <v>10</v>
      </c>
      <c r="F1272" t="s">
        <v>105</v>
      </c>
      <c r="G1272">
        <v>1316</v>
      </c>
    </row>
    <row r="1273" spans="1:7" x14ac:dyDescent="0.35">
      <c r="A1273" s="2">
        <v>42320</v>
      </c>
      <c r="B1273" s="93" t="s">
        <v>105</v>
      </c>
      <c r="C1273" t="s">
        <v>104</v>
      </c>
      <c r="D1273" t="s">
        <v>18</v>
      </c>
      <c r="E1273" t="s">
        <v>10</v>
      </c>
      <c r="F1273" t="s">
        <v>105</v>
      </c>
      <c r="G1273">
        <v>1317</v>
      </c>
    </row>
    <row r="1274" spans="1:7" x14ac:dyDescent="0.35">
      <c r="A1274" s="2">
        <v>42320</v>
      </c>
      <c r="B1274" s="93" t="s">
        <v>105</v>
      </c>
      <c r="C1274" t="s">
        <v>104</v>
      </c>
      <c r="D1274" t="s">
        <v>18</v>
      </c>
      <c r="E1274" t="s">
        <v>10</v>
      </c>
      <c r="F1274" t="s">
        <v>105</v>
      </c>
      <c r="G1274">
        <v>1318</v>
      </c>
    </row>
    <row r="1275" spans="1:7" x14ac:dyDescent="0.35">
      <c r="A1275" s="2">
        <v>42320</v>
      </c>
      <c r="B1275" s="93" t="s">
        <v>105</v>
      </c>
      <c r="C1275" t="s">
        <v>104</v>
      </c>
      <c r="D1275" t="s">
        <v>167</v>
      </c>
      <c r="E1275" t="s">
        <v>10</v>
      </c>
      <c r="F1275" t="s">
        <v>105</v>
      </c>
      <c r="G1275">
        <v>1319</v>
      </c>
    </row>
    <row r="1276" spans="1:7" x14ac:dyDescent="0.35">
      <c r="A1276" s="2">
        <v>42320</v>
      </c>
      <c r="B1276" s="93" t="s">
        <v>105</v>
      </c>
      <c r="C1276" t="s">
        <v>104</v>
      </c>
      <c r="D1276" t="s">
        <v>167</v>
      </c>
      <c r="E1276" t="s">
        <v>10</v>
      </c>
      <c r="F1276" t="s">
        <v>105</v>
      </c>
      <c r="G1276">
        <v>1320</v>
      </c>
    </row>
    <row r="1277" spans="1:7" x14ac:dyDescent="0.35">
      <c r="A1277" s="2">
        <v>42320</v>
      </c>
      <c r="B1277" s="93" t="s">
        <v>105</v>
      </c>
      <c r="C1277" t="s">
        <v>104</v>
      </c>
      <c r="D1277" t="s">
        <v>167</v>
      </c>
      <c r="E1277" t="s">
        <v>10</v>
      </c>
      <c r="F1277" t="s">
        <v>105</v>
      </c>
      <c r="G1277">
        <v>1321</v>
      </c>
    </row>
    <row r="1278" spans="1:7" x14ac:dyDescent="0.35">
      <c r="A1278" s="2">
        <v>42320</v>
      </c>
      <c r="B1278" s="93" t="s">
        <v>105</v>
      </c>
      <c r="C1278" t="s">
        <v>104</v>
      </c>
      <c r="D1278" t="s">
        <v>25</v>
      </c>
      <c r="E1278" t="s">
        <v>10</v>
      </c>
      <c r="F1278" t="s">
        <v>105</v>
      </c>
      <c r="G1278">
        <v>1322</v>
      </c>
    </row>
    <row r="1279" spans="1:7" x14ac:dyDescent="0.35">
      <c r="A1279" s="2">
        <v>42320</v>
      </c>
      <c r="B1279" s="93" t="s">
        <v>105</v>
      </c>
      <c r="C1279" t="s">
        <v>104</v>
      </c>
      <c r="D1279" t="s">
        <v>25</v>
      </c>
      <c r="E1279" t="s">
        <v>10</v>
      </c>
      <c r="F1279" t="s">
        <v>105</v>
      </c>
      <c r="G1279">
        <v>1323</v>
      </c>
    </row>
    <row r="1280" spans="1:7" x14ac:dyDescent="0.35">
      <c r="A1280" s="2">
        <v>42320</v>
      </c>
      <c r="B1280" s="93" t="s">
        <v>105</v>
      </c>
      <c r="C1280" t="s">
        <v>104</v>
      </c>
      <c r="D1280" t="s">
        <v>26</v>
      </c>
      <c r="E1280" t="s">
        <v>10</v>
      </c>
      <c r="F1280" t="s">
        <v>105</v>
      </c>
      <c r="G1280">
        <v>1324</v>
      </c>
    </row>
    <row r="1281" spans="1:7" x14ac:dyDescent="0.35">
      <c r="A1281" s="2">
        <v>42320</v>
      </c>
      <c r="B1281" s="93" t="s">
        <v>105</v>
      </c>
      <c r="C1281" t="s">
        <v>104</v>
      </c>
      <c r="D1281" t="s">
        <v>26</v>
      </c>
      <c r="E1281" t="s">
        <v>10</v>
      </c>
      <c r="F1281" t="s">
        <v>105</v>
      </c>
      <c r="G1281">
        <v>1325</v>
      </c>
    </row>
    <row r="1282" spans="1:7" x14ac:dyDescent="0.35">
      <c r="A1282" s="2">
        <v>42320</v>
      </c>
      <c r="B1282" s="93" t="s">
        <v>105</v>
      </c>
      <c r="C1282" t="s">
        <v>104</v>
      </c>
      <c r="D1282" t="s">
        <v>26</v>
      </c>
      <c r="E1282" t="s">
        <v>10</v>
      </c>
      <c r="F1282" t="s">
        <v>105</v>
      </c>
      <c r="G1282">
        <v>1326</v>
      </c>
    </row>
    <row r="1283" spans="1:7" x14ac:dyDescent="0.35">
      <c r="A1283" s="2">
        <v>42320</v>
      </c>
      <c r="B1283" s="93" t="s">
        <v>105</v>
      </c>
      <c r="C1283" t="s">
        <v>104</v>
      </c>
      <c r="D1283" t="s">
        <v>69</v>
      </c>
      <c r="E1283" t="s">
        <v>10</v>
      </c>
      <c r="F1283" t="s">
        <v>105</v>
      </c>
      <c r="G1283">
        <v>1327</v>
      </c>
    </row>
    <row r="1284" spans="1:7" x14ac:dyDescent="0.35">
      <c r="A1284" s="2">
        <v>42320</v>
      </c>
      <c r="B1284" s="93" t="s">
        <v>105</v>
      </c>
      <c r="C1284" t="s">
        <v>104</v>
      </c>
      <c r="D1284" t="s">
        <v>69</v>
      </c>
      <c r="E1284" t="s">
        <v>10</v>
      </c>
      <c r="F1284" t="s">
        <v>105</v>
      </c>
      <c r="G1284">
        <v>1328</v>
      </c>
    </row>
    <row r="1285" spans="1:7" x14ac:dyDescent="0.35">
      <c r="A1285" s="2">
        <v>42320</v>
      </c>
      <c r="B1285" s="93" t="s">
        <v>105</v>
      </c>
      <c r="C1285" t="s">
        <v>104</v>
      </c>
      <c r="D1285" t="s">
        <v>69</v>
      </c>
      <c r="E1285" t="s">
        <v>10</v>
      </c>
      <c r="F1285" t="s">
        <v>105</v>
      </c>
      <c r="G1285">
        <v>1329</v>
      </c>
    </row>
    <row r="1286" spans="1:7" x14ac:dyDescent="0.35">
      <c r="A1286" s="2">
        <v>42320</v>
      </c>
      <c r="B1286" s="93" t="s">
        <v>105</v>
      </c>
      <c r="C1286" t="s">
        <v>104</v>
      </c>
      <c r="D1286" t="s">
        <v>64</v>
      </c>
      <c r="E1286" t="s">
        <v>10</v>
      </c>
      <c r="F1286" t="s">
        <v>105</v>
      </c>
      <c r="G1286">
        <v>1330</v>
      </c>
    </row>
    <row r="1287" spans="1:7" x14ac:dyDescent="0.35">
      <c r="A1287" s="2">
        <v>42320</v>
      </c>
      <c r="B1287" s="93" t="s">
        <v>105</v>
      </c>
      <c r="C1287" t="s">
        <v>104</v>
      </c>
      <c r="D1287" t="s">
        <v>64</v>
      </c>
      <c r="E1287" t="s">
        <v>10</v>
      </c>
      <c r="F1287" t="s">
        <v>105</v>
      </c>
      <c r="G1287">
        <v>1331</v>
      </c>
    </row>
    <row r="1288" spans="1:7" x14ac:dyDescent="0.35">
      <c r="A1288" s="2">
        <v>42320</v>
      </c>
      <c r="B1288" s="93" t="s">
        <v>105</v>
      </c>
      <c r="C1288" t="s">
        <v>104</v>
      </c>
      <c r="D1288" t="s">
        <v>64</v>
      </c>
      <c r="E1288" t="s">
        <v>10</v>
      </c>
      <c r="F1288" t="s">
        <v>105</v>
      </c>
      <c r="G1288">
        <v>1332</v>
      </c>
    </row>
    <row r="1289" spans="1:7" x14ac:dyDescent="0.35">
      <c r="A1289" s="2">
        <v>42320</v>
      </c>
      <c r="B1289" s="93" t="s">
        <v>105</v>
      </c>
      <c r="C1289" t="s">
        <v>104</v>
      </c>
      <c r="D1289" t="s">
        <v>60</v>
      </c>
      <c r="E1289" t="s">
        <v>10</v>
      </c>
      <c r="F1289" t="s">
        <v>105</v>
      </c>
      <c r="G1289">
        <v>1333</v>
      </c>
    </row>
    <row r="1290" spans="1:7" x14ac:dyDescent="0.35">
      <c r="A1290" s="2">
        <v>42320</v>
      </c>
      <c r="B1290" s="93" t="s">
        <v>105</v>
      </c>
      <c r="C1290" t="s">
        <v>104</v>
      </c>
      <c r="D1290" t="s">
        <v>60</v>
      </c>
      <c r="E1290" t="s">
        <v>10</v>
      </c>
      <c r="F1290" t="s">
        <v>105</v>
      </c>
      <c r="G1290">
        <v>1334</v>
      </c>
    </row>
    <row r="1291" spans="1:7" x14ac:dyDescent="0.35">
      <c r="A1291" s="2">
        <v>42320</v>
      </c>
      <c r="B1291" s="93" t="s">
        <v>105</v>
      </c>
      <c r="C1291" t="s">
        <v>104</v>
      </c>
      <c r="D1291" t="s">
        <v>60</v>
      </c>
      <c r="E1291" t="s">
        <v>10</v>
      </c>
      <c r="F1291" t="s">
        <v>105</v>
      </c>
      <c r="G1291">
        <v>1335</v>
      </c>
    </row>
    <row r="1292" spans="1:7" x14ac:dyDescent="0.35">
      <c r="A1292" s="2">
        <v>42327</v>
      </c>
      <c r="B1292" s="93" t="s">
        <v>105</v>
      </c>
      <c r="C1292" t="s">
        <v>104</v>
      </c>
      <c r="D1292" t="s">
        <v>9</v>
      </c>
      <c r="E1292" t="s">
        <v>10</v>
      </c>
      <c r="F1292" t="s">
        <v>105</v>
      </c>
      <c r="G1292">
        <v>1342</v>
      </c>
    </row>
    <row r="1293" spans="1:7" x14ac:dyDescent="0.35">
      <c r="A1293" s="2">
        <v>42327</v>
      </c>
      <c r="B1293" s="93" t="s">
        <v>105</v>
      </c>
      <c r="C1293" t="s">
        <v>104</v>
      </c>
      <c r="D1293" t="s">
        <v>9</v>
      </c>
      <c r="E1293" t="s">
        <v>10</v>
      </c>
      <c r="F1293" t="s">
        <v>105</v>
      </c>
      <c r="G1293">
        <v>1343</v>
      </c>
    </row>
    <row r="1294" spans="1:7" x14ac:dyDescent="0.35">
      <c r="A1294" s="2">
        <v>42327</v>
      </c>
      <c r="B1294" s="93" t="s">
        <v>105</v>
      </c>
      <c r="C1294" t="s">
        <v>104</v>
      </c>
      <c r="D1294" t="s">
        <v>9</v>
      </c>
      <c r="E1294" t="s">
        <v>10</v>
      </c>
      <c r="F1294" t="s">
        <v>105</v>
      </c>
      <c r="G1294">
        <v>1344</v>
      </c>
    </row>
    <row r="1295" spans="1:7" x14ac:dyDescent="0.35">
      <c r="A1295" s="2">
        <v>42327</v>
      </c>
      <c r="B1295" s="93" t="s">
        <v>105</v>
      </c>
      <c r="C1295" t="s">
        <v>104</v>
      </c>
      <c r="D1295" t="s">
        <v>14</v>
      </c>
      <c r="E1295" t="s">
        <v>10</v>
      </c>
      <c r="F1295" t="s">
        <v>105</v>
      </c>
      <c r="G1295">
        <v>1350</v>
      </c>
    </row>
    <row r="1296" spans="1:7" x14ac:dyDescent="0.35">
      <c r="A1296" s="2">
        <v>42327</v>
      </c>
      <c r="B1296" s="93" t="s">
        <v>105</v>
      </c>
      <c r="C1296" t="s">
        <v>104</v>
      </c>
      <c r="D1296" t="s">
        <v>14</v>
      </c>
      <c r="E1296" t="s">
        <v>10</v>
      </c>
      <c r="F1296" t="s">
        <v>105</v>
      </c>
      <c r="G1296">
        <v>1351</v>
      </c>
    </row>
    <row r="1297" spans="1:7" x14ac:dyDescent="0.35">
      <c r="A1297" s="2">
        <v>42327</v>
      </c>
      <c r="B1297" s="93" t="s">
        <v>105</v>
      </c>
      <c r="C1297" t="s">
        <v>104</v>
      </c>
      <c r="D1297" t="s">
        <v>18</v>
      </c>
      <c r="E1297" t="s">
        <v>10</v>
      </c>
      <c r="F1297" t="s">
        <v>105</v>
      </c>
      <c r="G1297">
        <v>1355</v>
      </c>
    </row>
    <row r="1298" spans="1:7" x14ac:dyDescent="0.35">
      <c r="A1298" s="2">
        <v>42327</v>
      </c>
      <c r="B1298" s="93" t="s">
        <v>105</v>
      </c>
      <c r="C1298" t="s">
        <v>104</v>
      </c>
      <c r="D1298" t="s">
        <v>18</v>
      </c>
      <c r="E1298" t="s">
        <v>10</v>
      </c>
      <c r="F1298" t="s">
        <v>105</v>
      </c>
      <c r="G1298">
        <v>1356</v>
      </c>
    </row>
    <row r="1299" spans="1:7" x14ac:dyDescent="0.35">
      <c r="A1299" s="2">
        <v>42327</v>
      </c>
      <c r="B1299" s="93" t="s">
        <v>105</v>
      </c>
      <c r="C1299" t="s">
        <v>104</v>
      </c>
      <c r="D1299" t="s">
        <v>18</v>
      </c>
      <c r="E1299" t="s">
        <v>10</v>
      </c>
      <c r="F1299" t="s">
        <v>105</v>
      </c>
      <c r="G1299">
        <v>1357</v>
      </c>
    </row>
    <row r="1300" spans="1:7" x14ac:dyDescent="0.35">
      <c r="A1300" s="2">
        <v>42327</v>
      </c>
      <c r="B1300" s="93" t="s">
        <v>105</v>
      </c>
      <c r="C1300" t="s">
        <v>104</v>
      </c>
      <c r="D1300" t="s">
        <v>26</v>
      </c>
      <c r="E1300" t="s">
        <v>10</v>
      </c>
      <c r="F1300" t="s">
        <v>105</v>
      </c>
      <c r="G1300">
        <v>1362</v>
      </c>
    </row>
    <row r="1301" spans="1:7" x14ac:dyDescent="0.35">
      <c r="A1301" s="2">
        <v>42327</v>
      </c>
      <c r="B1301" s="93" t="s">
        <v>105</v>
      </c>
      <c r="C1301" t="s">
        <v>104</v>
      </c>
      <c r="D1301" t="s">
        <v>26</v>
      </c>
      <c r="E1301" t="s">
        <v>10</v>
      </c>
      <c r="F1301" t="s">
        <v>105</v>
      </c>
      <c r="G1301">
        <v>1363</v>
      </c>
    </row>
    <row r="1302" spans="1:7" x14ac:dyDescent="0.35">
      <c r="A1302" s="2">
        <v>42327</v>
      </c>
      <c r="B1302" s="93" t="s">
        <v>105</v>
      </c>
      <c r="C1302" t="s">
        <v>104</v>
      </c>
      <c r="D1302" t="s">
        <v>26</v>
      </c>
      <c r="E1302" t="s">
        <v>10</v>
      </c>
      <c r="F1302" t="s">
        <v>105</v>
      </c>
      <c r="G1302">
        <v>1364</v>
      </c>
    </row>
    <row r="1303" spans="1:7" x14ac:dyDescent="0.35">
      <c r="A1303" s="2">
        <v>42327</v>
      </c>
      <c r="B1303" s="93" t="s">
        <v>105</v>
      </c>
      <c r="C1303" t="s">
        <v>104</v>
      </c>
      <c r="D1303" t="s">
        <v>167</v>
      </c>
      <c r="E1303" t="s">
        <v>10</v>
      </c>
      <c r="F1303" t="s">
        <v>105</v>
      </c>
      <c r="G1303">
        <v>1367</v>
      </c>
    </row>
    <row r="1304" spans="1:7" x14ac:dyDescent="0.35">
      <c r="A1304" s="2">
        <v>42327</v>
      </c>
      <c r="B1304" s="93" t="s">
        <v>105</v>
      </c>
      <c r="C1304" t="s">
        <v>104</v>
      </c>
      <c r="D1304" t="s">
        <v>9</v>
      </c>
      <c r="E1304" t="s">
        <v>74</v>
      </c>
      <c r="F1304" t="s">
        <v>82</v>
      </c>
      <c r="G1304">
        <v>1348</v>
      </c>
    </row>
    <row r="1305" spans="1:7" x14ac:dyDescent="0.35">
      <c r="A1305" s="2">
        <v>42327</v>
      </c>
      <c r="B1305" s="93" t="s">
        <v>105</v>
      </c>
      <c r="C1305" t="s">
        <v>104</v>
      </c>
      <c r="D1305" t="s">
        <v>9</v>
      </c>
      <c r="E1305" t="s">
        <v>74</v>
      </c>
      <c r="F1305" t="s">
        <v>82</v>
      </c>
      <c r="G1305">
        <v>1349</v>
      </c>
    </row>
    <row r="1306" spans="1:7" x14ac:dyDescent="0.35">
      <c r="A1306" s="2">
        <v>42327</v>
      </c>
      <c r="B1306" s="93" t="s">
        <v>105</v>
      </c>
      <c r="C1306" t="s">
        <v>104</v>
      </c>
      <c r="D1306" t="s">
        <v>14</v>
      </c>
      <c r="E1306" t="s">
        <v>74</v>
      </c>
      <c r="F1306" t="s">
        <v>82</v>
      </c>
      <c r="G1306">
        <v>1353</v>
      </c>
    </row>
    <row r="1307" spans="1:7" x14ac:dyDescent="0.35">
      <c r="A1307" s="2">
        <v>42327</v>
      </c>
      <c r="B1307" s="93" t="s">
        <v>105</v>
      </c>
      <c r="C1307" t="s">
        <v>104</v>
      </c>
      <c r="D1307" t="s">
        <v>14</v>
      </c>
      <c r="E1307" t="s">
        <v>74</v>
      </c>
      <c r="F1307" t="s">
        <v>82</v>
      </c>
      <c r="G1307">
        <v>1354</v>
      </c>
    </row>
    <row r="1308" spans="1:7" x14ac:dyDescent="0.35">
      <c r="A1308" s="2">
        <v>42327</v>
      </c>
      <c r="B1308" s="93" t="s">
        <v>105</v>
      </c>
      <c r="C1308" t="s">
        <v>104</v>
      </c>
      <c r="D1308" t="s">
        <v>18</v>
      </c>
      <c r="E1308" t="s">
        <v>74</v>
      </c>
      <c r="F1308" t="s">
        <v>82</v>
      </c>
      <c r="G1308">
        <v>1358</v>
      </c>
    </row>
    <row r="1309" spans="1:7" x14ac:dyDescent="0.35">
      <c r="A1309" s="2">
        <v>42327</v>
      </c>
      <c r="B1309" s="93" t="s">
        <v>105</v>
      </c>
      <c r="C1309" t="s">
        <v>104</v>
      </c>
      <c r="D1309" t="s">
        <v>18</v>
      </c>
      <c r="E1309" t="s">
        <v>74</v>
      </c>
      <c r="F1309" t="s">
        <v>82</v>
      </c>
      <c r="G1309">
        <v>1359</v>
      </c>
    </row>
    <row r="1310" spans="1:7" x14ac:dyDescent="0.35">
      <c r="A1310" s="2">
        <v>42327</v>
      </c>
      <c r="B1310" s="93" t="s">
        <v>105</v>
      </c>
      <c r="C1310" t="s">
        <v>104</v>
      </c>
      <c r="D1310" t="s">
        <v>25</v>
      </c>
      <c r="E1310" t="s">
        <v>74</v>
      </c>
      <c r="F1310" t="s">
        <v>82</v>
      </c>
      <c r="G1310">
        <v>1360</v>
      </c>
    </row>
    <row r="1311" spans="1:7" x14ac:dyDescent="0.35">
      <c r="A1311" s="2">
        <v>42327</v>
      </c>
      <c r="B1311" s="93" t="s">
        <v>105</v>
      </c>
      <c r="C1311" t="s">
        <v>104</v>
      </c>
      <c r="D1311" t="s">
        <v>25</v>
      </c>
      <c r="E1311" t="s">
        <v>74</v>
      </c>
      <c r="F1311" t="s">
        <v>82</v>
      </c>
      <c r="G1311">
        <v>1361</v>
      </c>
    </row>
    <row r="1312" spans="1:7" x14ac:dyDescent="0.35">
      <c r="A1312" s="2">
        <v>42327</v>
      </c>
      <c r="B1312" s="93" t="s">
        <v>105</v>
      </c>
      <c r="C1312" t="s">
        <v>104</v>
      </c>
      <c r="D1312" t="s">
        <v>26</v>
      </c>
      <c r="E1312" t="s">
        <v>74</v>
      </c>
      <c r="F1312" t="s">
        <v>82</v>
      </c>
      <c r="G1312">
        <v>1365</v>
      </c>
    </row>
    <row r="1313" spans="1:7" x14ac:dyDescent="0.35">
      <c r="A1313" s="2">
        <v>42327</v>
      </c>
      <c r="B1313" s="93" t="s">
        <v>105</v>
      </c>
      <c r="C1313" t="s">
        <v>104</v>
      </c>
      <c r="D1313" t="s">
        <v>26</v>
      </c>
      <c r="E1313" t="s">
        <v>74</v>
      </c>
      <c r="F1313" t="s">
        <v>82</v>
      </c>
      <c r="G1313">
        <v>1366</v>
      </c>
    </row>
    <row r="1314" spans="1:7" x14ac:dyDescent="0.35">
      <c r="A1314" s="2">
        <v>42327</v>
      </c>
      <c r="B1314" s="93" t="s">
        <v>105</v>
      </c>
      <c r="C1314" t="s">
        <v>104</v>
      </c>
      <c r="D1314" t="s">
        <v>167</v>
      </c>
      <c r="E1314" t="s">
        <v>74</v>
      </c>
      <c r="F1314" t="s">
        <v>82</v>
      </c>
      <c r="G1314">
        <v>1371</v>
      </c>
    </row>
    <row r="1315" spans="1:7" x14ac:dyDescent="0.35">
      <c r="A1315" s="2">
        <v>42327</v>
      </c>
      <c r="B1315" s="93" t="s">
        <v>105</v>
      </c>
      <c r="C1315" t="s">
        <v>104</v>
      </c>
      <c r="D1315" t="s">
        <v>167</v>
      </c>
      <c r="E1315" t="s">
        <v>74</v>
      </c>
      <c r="F1315" t="s">
        <v>82</v>
      </c>
      <c r="G1315">
        <v>1372</v>
      </c>
    </row>
    <row r="1316" spans="1:7" x14ac:dyDescent="0.35">
      <c r="A1316" s="2">
        <v>42327</v>
      </c>
      <c r="B1316" s="93" t="s">
        <v>105</v>
      </c>
      <c r="C1316" t="s">
        <v>104</v>
      </c>
      <c r="D1316" t="s">
        <v>9</v>
      </c>
      <c r="E1316" t="s">
        <v>78</v>
      </c>
      <c r="F1316" t="s">
        <v>105</v>
      </c>
      <c r="G1316">
        <v>1345</v>
      </c>
    </row>
    <row r="1317" spans="1:7" x14ac:dyDescent="0.35">
      <c r="A1317" s="2">
        <v>42327</v>
      </c>
      <c r="B1317" s="93" t="s">
        <v>105</v>
      </c>
      <c r="C1317" t="s">
        <v>104</v>
      </c>
      <c r="D1317" t="s">
        <v>9</v>
      </c>
      <c r="E1317" t="s">
        <v>78</v>
      </c>
      <c r="F1317" t="s">
        <v>105</v>
      </c>
      <c r="G1317">
        <v>1346</v>
      </c>
    </row>
    <row r="1318" spans="1:7" x14ac:dyDescent="0.35">
      <c r="A1318" s="2">
        <v>42327</v>
      </c>
      <c r="B1318" s="93" t="s">
        <v>105</v>
      </c>
      <c r="C1318" t="s">
        <v>104</v>
      </c>
      <c r="D1318" t="s">
        <v>9</v>
      </c>
      <c r="E1318" t="s">
        <v>78</v>
      </c>
      <c r="F1318" t="s">
        <v>105</v>
      </c>
      <c r="G1318">
        <v>1347</v>
      </c>
    </row>
    <row r="1319" spans="1:7" x14ac:dyDescent="0.35">
      <c r="A1319" s="2">
        <v>42328</v>
      </c>
      <c r="B1319" s="93" t="s">
        <v>105</v>
      </c>
      <c r="C1319" t="s">
        <v>104</v>
      </c>
      <c r="D1319" t="s">
        <v>64</v>
      </c>
      <c r="E1319" t="s">
        <v>10</v>
      </c>
      <c r="F1319" t="s">
        <v>105</v>
      </c>
      <c r="G1319">
        <v>1373</v>
      </c>
    </row>
    <row r="1320" spans="1:7" x14ac:dyDescent="0.35">
      <c r="A1320" s="2">
        <v>42328</v>
      </c>
      <c r="B1320" s="93" t="s">
        <v>105</v>
      </c>
      <c r="C1320" t="s">
        <v>104</v>
      </c>
      <c r="D1320" t="s">
        <v>64</v>
      </c>
      <c r="E1320" t="s">
        <v>10</v>
      </c>
      <c r="F1320" t="s">
        <v>105</v>
      </c>
      <c r="G1320">
        <v>1374</v>
      </c>
    </row>
    <row r="1321" spans="1:7" x14ac:dyDescent="0.35">
      <c r="A1321" s="2">
        <v>42328</v>
      </c>
      <c r="B1321" s="93" t="s">
        <v>105</v>
      </c>
      <c r="C1321" t="s">
        <v>104</v>
      </c>
      <c r="D1321" t="s">
        <v>64</v>
      </c>
      <c r="E1321" t="s">
        <v>10</v>
      </c>
      <c r="F1321" t="s">
        <v>105</v>
      </c>
      <c r="G1321">
        <v>1375</v>
      </c>
    </row>
    <row r="1322" spans="1:7" x14ac:dyDescent="0.35">
      <c r="A1322" s="2">
        <v>42328</v>
      </c>
      <c r="B1322" s="93" t="s">
        <v>105</v>
      </c>
      <c r="C1322" t="s">
        <v>104</v>
      </c>
      <c r="D1322" t="s">
        <v>69</v>
      </c>
      <c r="E1322" t="s">
        <v>10</v>
      </c>
      <c r="F1322" t="s">
        <v>105</v>
      </c>
      <c r="G1322">
        <v>1381</v>
      </c>
    </row>
    <row r="1323" spans="1:7" x14ac:dyDescent="0.35">
      <c r="A1323" s="2">
        <v>42328</v>
      </c>
      <c r="B1323" s="93" t="s">
        <v>105</v>
      </c>
      <c r="C1323" t="s">
        <v>104</v>
      </c>
      <c r="D1323" t="s">
        <v>69</v>
      </c>
      <c r="E1323" t="s">
        <v>10</v>
      </c>
      <c r="F1323" t="s">
        <v>105</v>
      </c>
      <c r="G1323">
        <v>1382</v>
      </c>
    </row>
    <row r="1324" spans="1:7" x14ac:dyDescent="0.35">
      <c r="A1324" s="2">
        <v>42328</v>
      </c>
      <c r="B1324" s="93" t="s">
        <v>105</v>
      </c>
      <c r="C1324" t="s">
        <v>104</v>
      </c>
      <c r="D1324" t="s">
        <v>69</v>
      </c>
      <c r="E1324" t="s">
        <v>10</v>
      </c>
      <c r="F1324" t="s">
        <v>105</v>
      </c>
      <c r="G1324">
        <v>1383</v>
      </c>
    </row>
    <row r="1325" spans="1:7" x14ac:dyDescent="0.35">
      <c r="A1325" s="2">
        <v>42328</v>
      </c>
      <c r="B1325" s="93" t="s">
        <v>105</v>
      </c>
      <c r="C1325" t="s">
        <v>104</v>
      </c>
      <c r="D1325" t="s">
        <v>60</v>
      </c>
      <c r="E1325" t="s">
        <v>10</v>
      </c>
      <c r="F1325" t="s">
        <v>105</v>
      </c>
      <c r="G1325">
        <v>1386</v>
      </c>
    </row>
    <row r="1326" spans="1:7" x14ac:dyDescent="0.35">
      <c r="A1326" s="2">
        <v>42328</v>
      </c>
      <c r="B1326" s="93" t="s">
        <v>105</v>
      </c>
      <c r="C1326" t="s">
        <v>104</v>
      </c>
      <c r="D1326" t="s">
        <v>60</v>
      </c>
      <c r="E1326" t="s">
        <v>10</v>
      </c>
      <c r="F1326" t="s">
        <v>105</v>
      </c>
      <c r="G1326">
        <v>1387</v>
      </c>
    </row>
    <row r="1327" spans="1:7" x14ac:dyDescent="0.35">
      <c r="A1327" s="2">
        <v>42328</v>
      </c>
      <c r="B1327" s="93" t="s">
        <v>105</v>
      </c>
      <c r="C1327" t="s">
        <v>104</v>
      </c>
      <c r="D1327" t="s">
        <v>60</v>
      </c>
      <c r="E1327" t="s">
        <v>10</v>
      </c>
      <c r="F1327" t="s">
        <v>105</v>
      </c>
      <c r="G1327">
        <v>1388</v>
      </c>
    </row>
    <row r="1328" spans="1:7" x14ac:dyDescent="0.35">
      <c r="A1328" s="2">
        <v>42328</v>
      </c>
      <c r="B1328" s="93" t="s">
        <v>105</v>
      </c>
      <c r="C1328" t="s">
        <v>104</v>
      </c>
      <c r="D1328" t="s">
        <v>64</v>
      </c>
      <c r="E1328" t="s">
        <v>74</v>
      </c>
      <c r="F1328" t="s">
        <v>82</v>
      </c>
      <c r="G1328">
        <v>1376</v>
      </c>
    </row>
    <row r="1329" spans="1:7" x14ac:dyDescent="0.35">
      <c r="A1329" s="2">
        <v>42328</v>
      </c>
      <c r="B1329" s="93" t="s">
        <v>105</v>
      </c>
      <c r="C1329" t="s">
        <v>104</v>
      </c>
      <c r="D1329" t="s">
        <v>64</v>
      </c>
      <c r="E1329" t="s">
        <v>74</v>
      </c>
      <c r="F1329" t="s">
        <v>82</v>
      </c>
      <c r="G1329">
        <v>1377</v>
      </c>
    </row>
    <row r="1330" spans="1:7" x14ac:dyDescent="0.35">
      <c r="A1330" s="2">
        <v>42328</v>
      </c>
      <c r="B1330" s="93" t="s">
        <v>105</v>
      </c>
      <c r="C1330" t="s">
        <v>104</v>
      </c>
      <c r="D1330" t="s">
        <v>69</v>
      </c>
      <c r="E1330" t="s">
        <v>74</v>
      </c>
      <c r="F1330" t="s">
        <v>82</v>
      </c>
      <c r="G1330">
        <v>1384</v>
      </c>
    </row>
    <row r="1331" spans="1:7" x14ac:dyDescent="0.35">
      <c r="A1331" s="2">
        <v>42328</v>
      </c>
      <c r="B1331" s="93" t="s">
        <v>105</v>
      </c>
      <c r="C1331" t="s">
        <v>104</v>
      </c>
      <c r="D1331" t="s">
        <v>69</v>
      </c>
      <c r="E1331" t="s">
        <v>74</v>
      </c>
      <c r="F1331" t="s">
        <v>82</v>
      </c>
      <c r="G1331">
        <v>1385</v>
      </c>
    </row>
    <row r="1332" spans="1:7" x14ac:dyDescent="0.35">
      <c r="A1332" s="2">
        <v>42328</v>
      </c>
      <c r="B1332" s="93" t="s">
        <v>105</v>
      </c>
      <c r="C1332" t="s">
        <v>104</v>
      </c>
      <c r="D1332" t="s">
        <v>60</v>
      </c>
      <c r="E1332" t="s">
        <v>74</v>
      </c>
      <c r="F1332" t="s">
        <v>82</v>
      </c>
      <c r="G1332">
        <v>1389</v>
      </c>
    </row>
    <row r="1333" spans="1:7" x14ac:dyDescent="0.35">
      <c r="A1333" s="2">
        <v>42328</v>
      </c>
      <c r="B1333" s="93" t="s">
        <v>105</v>
      </c>
      <c r="C1333" t="s">
        <v>104</v>
      </c>
      <c r="D1333" t="s">
        <v>60</v>
      </c>
      <c r="E1333" t="s">
        <v>74</v>
      </c>
      <c r="F1333" t="s">
        <v>82</v>
      </c>
      <c r="G1333">
        <v>1390</v>
      </c>
    </row>
    <row r="1334" spans="1:7" x14ac:dyDescent="0.35">
      <c r="A1334" s="2">
        <v>42328</v>
      </c>
      <c r="B1334" s="93" t="s">
        <v>105</v>
      </c>
      <c r="C1334" t="s">
        <v>104</v>
      </c>
      <c r="D1334" t="s">
        <v>64</v>
      </c>
      <c r="E1334" t="s">
        <v>78</v>
      </c>
      <c r="F1334" t="s">
        <v>105</v>
      </c>
      <c r="G1334">
        <v>1378</v>
      </c>
    </row>
    <row r="1335" spans="1:7" x14ac:dyDescent="0.35">
      <c r="A1335" s="2">
        <v>42328</v>
      </c>
      <c r="B1335" s="93" t="s">
        <v>105</v>
      </c>
      <c r="C1335" t="s">
        <v>104</v>
      </c>
      <c r="D1335" t="s">
        <v>64</v>
      </c>
      <c r="E1335" t="s">
        <v>78</v>
      </c>
      <c r="F1335" t="s">
        <v>105</v>
      </c>
      <c r="G1335">
        <v>1379</v>
      </c>
    </row>
    <row r="1336" spans="1:7" x14ac:dyDescent="0.35">
      <c r="A1336" s="2">
        <v>42328</v>
      </c>
      <c r="B1336" s="93" t="s">
        <v>105</v>
      </c>
      <c r="C1336" t="s">
        <v>104</v>
      </c>
      <c r="D1336" t="s">
        <v>64</v>
      </c>
      <c r="E1336" t="s">
        <v>78</v>
      </c>
      <c r="F1336" t="s">
        <v>105</v>
      </c>
      <c r="G1336">
        <v>1380</v>
      </c>
    </row>
    <row r="1337" spans="1:7" x14ac:dyDescent="0.35">
      <c r="A1337" s="2">
        <v>42333</v>
      </c>
      <c r="B1337" s="93" t="s">
        <v>105</v>
      </c>
      <c r="C1337" t="s">
        <v>104</v>
      </c>
      <c r="D1337" t="s">
        <v>9</v>
      </c>
      <c r="E1337" t="s">
        <v>10</v>
      </c>
      <c r="F1337" t="s">
        <v>105</v>
      </c>
      <c r="G1337">
        <v>1400</v>
      </c>
    </row>
    <row r="1338" spans="1:7" x14ac:dyDescent="0.35">
      <c r="A1338" s="2">
        <v>42333</v>
      </c>
      <c r="B1338" s="93" t="s">
        <v>105</v>
      </c>
      <c r="C1338" t="s">
        <v>104</v>
      </c>
      <c r="D1338" t="s">
        <v>9</v>
      </c>
      <c r="E1338" t="s">
        <v>10</v>
      </c>
      <c r="F1338" t="s">
        <v>105</v>
      </c>
      <c r="G1338">
        <v>1401</v>
      </c>
    </row>
    <row r="1339" spans="1:7" x14ac:dyDescent="0.35">
      <c r="A1339" s="2">
        <v>42333</v>
      </c>
      <c r="B1339" s="93" t="s">
        <v>105</v>
      </c>
      <c r="C1339" t="s">
        <v>104</v>
      </c>
      <c r="D1339" t="s">
        <v>9</v>
      </c>
      <c r="E1339" t="s">
        <v>10</v>
      </c>
      <c r="F1339" t="s">
        <v>105</v>
      </c>
      <c r="G1339">
        <v>1402</v>
      </c>
    </row>
    <row r="1340" spans="1:7" x14ac:dyDescent="0.35">
      <c r="A1340" s="2">
        <v>42333</v>
      </c>
      <c r="B1340" s="93" t="s">
        <v>105</v>
      </c>
      <c r="C1340" t="s">
        <v>104</v>
      </c>
      <c r="D1340" t="s">
        <v>14</v>
      </c>
      <c r="E1340" t="s">
        <v>10</v>
      </c>
      <c r="F1340" t="s">
        <v>105</v>
      </c>
      <c r="G1340">
        <v>1408</v>
      </c>
    </row>
    <row r="1341" spans="1:7" x14ac:dyDescent="0.35">
      <c r="A1341" s="2">
        <v>42333</v>
      </c>
      <c r="B1341" s="93" t="s">
        <v>105</v>
      </c>
      <c r="C1341" t="s">
        <v>104</v>
      </c>
      <c r="D1341" t="s">
        <v>14</v>
      </c>
      <c r="E1341" t="s">
        <v>10</v>
      </c>
      <c r="F1341" t="s">
        <v>105</v>
      </c>
      <c r="G1341">
        <v>1409</v>
      </c>
    </row>
    <row r="1342" spans="1:7" x14ac:dyDescent="0.35">
      <c r="A1342" s="2">
        <v>42333</v>
      </c>
      <c r="B1342" s="93" t="s">
        <v>105</v>
      </c>
      <c r="C1342" t="s">
        <v>104</v>
      </c>
      <c r="D1342" t="s">
        <v>14</v>
      </c>
      <c r="E1342" t="s">
        <v>10</v>
      </c>
      <c r="F1342" t="s">
        <v>105</v>
      </c>
      <c r="G1342">
        <v>1410</v>
      </c>
    </row>
    <row r="1343" spans="1:7" x14ac:dyDescent="0.35">
      <c r="A1343" s="2">
        <v>42333</v>
      </c>
      <c r="B1343" s="93" t="s">
        <v>105</v>
      </c>
      <c r="C1343" t="s">
        <v>104</v>
      </c>
      <c r="D1343" t="s">
        <v>18</v>
      </c>
      <c r="E1343" t="s">
        <v>10</v>
      </c>
      <c r="F1343" t="s">
        <v>105</v>
      </c>
      <c r="G1343">
        <v>1413</v>
      </c>
    </row>
    <row r="1344" spans="1:7" x14ac:dyDescent="0.35">
      <c r="A1344" s="2">
        <v>42333</v>
      </c>
      <c r="B1344" s="93" t="s">
        <v>105</v>
      </c>
      <c r="C1344" t="s">
        <v>104</v>
      </c>
      <c r="D1344" t="s">
        <v>18</v>
      </c>
      <c r="E1344" t="s">
        <v>10</v>
      </c>
      <c r="F1344" t="s">
        <v>105</v>
      </c>
      <c r="G1344">
        <v>1414</v>
      </c>
    </row>
    <row r="1345" spans="1:7" x14ac:dyDescent="0.35">
      <c r="A1345" s="2">
        <v>42333</v>
      </c>
      <c r="B1345" s="93" t="s">
        <v>105</v>
      </c>
      <c r="C1345" t="s">
        <v>104</v>
      </c>
      <c r="D1345" t="s">
        <v>18</v>
      </c>
      <c r="E1345" t="s">
        <v>10</v>
      </c>
      <c r="F1345" t="s">
        <v>105</v>
      </c>
      <c r="G1345">
        <v>1415</v>
      </c>
    </row>
    <row r="1346" spans="1:7" x14ac:dyDescent="0.35">
      <c r="A1346" s="2">
        <v>42333</v>
      </c>
      <c r="B1346" s="93" t="s">
        <v>105</v>
      </c>
      <c r="C1346" t="s">
        <v>104</v>
      </c>
      <c r="D1346" t="s">
        <v>26</v>
      </c>
      <c r="E1346" t="s">
        <v>10</v>
      </c>
      <c r="F1346" t="s">
        <v>105</v>
      </c>
      <c r="G1346">
        <v>1425</v>
      </c>
    </row>
    <row r="1347" spans="1:7" x14ac:dyDescent="0.35">
      <c r="A1347" s="2">
        <v>42333</v>
      </c>
      <c r="B1347" s="93" t="s">
        <v>105</v>
      </c>
      <c r="C1347" t="s">
        <v>104</v>
      </c>
      <c r="D1347" t="s">
        <v>26</v>
      </c>
      <c r="E1347" t="s">
        <v>10</v>
      </c>
      <c r="F1347" t="s">
        <v>105</v>
      </c>
      <c r="G1347">
        <v>1426</v>
      </c>
    </row>
    <row r="1348" spans="1:7" x14ac:dyDescent="0.35">
      <c r="A1348" s="2">
        <v>42333</v>
      </c>
      <c r="B1348" s="93" t="s">
        <v>105</v>
      </c>
      <c r="C1348" t="s">
        <v>104</v>
      </c>
      <c r="D1348" t="s">
        <v>26</v>
      </c>
      <c r="E1348" t="s">
        <v>10</v>
      </c>
      <c r="F1348" t="s">
        <v>105</v>
      </c>
      <c r="G1348">
        <v>1427</v>
      </c>
    </row>
    <row r="1349" spans="1:7" x14ac:dyDescent="0.35">
      <c r="A1349" s="2">
        <v>42333</v>
      </c>
      <c r="B1349" s="93" t="s">
        <v>105</v>
      </c>
      <c r="C1349" t="s">
        <v>104</v>
      </c>
      <c r="D1349" t="s">
        <v>69</v>
      </c>
      <c r="E1349" t="s">
        <v>10</v>
      </c>
      <c r="F1349" t="s">
        <v>105</v>
      </c>
      <c r="G1349">
        <v>1430</v>
      </c>
    </row>
    <row r="1350" spans="1:7" x14ac:dyDescent="0.35">
      <c r="A1350" s="2">
        <v>42333</v>
      </c>
      <c r="B1350" s="93" t="s">
        <v>105</v>
      </c>
      <c r="C1350" t="s">
        <v>104</v>
      </c>
      <c r="D1350" t="s">
        <v>69</v>
      </c>
      <c r="E1350" t="s">
        <v>10</v>
      </c>
      <c r="F1350" t="s">
        <v>105</v>
      </c>
      <c r="G1350">
        <v>1431</v>
      </c>
    </row>
    <row r="1351" spans="1:7" x14ac:dyDescent="0.35">
      <c r="A1351" s="2">
        <v>42333</v>
      </c>
      <c r="B1351" s="93" t="s">
        <v>105</v>
      </c>
      <c r="C1351" t="s">
        <v>104</v>
      </c>
      <c r="D1351" t="s">
        <v>69</v>
      </c>
      <c r="E1351" t="s">
        <v>10</v>
      </c>
      <c r="F1351" t="s">
        <v>105</v>
      </c>
      <c r="G1351">
        <v>1432</v>
      </c>
    </row>
    <row r="1352" spans="1:7" x14ac:dyDescent="0.35">
      <c r="A1352" s="2">
        <v>42333</v>
      </c>
      <c r="B1352" s="93" t="s">
        <v>105</v>
      </c>
      <c r="C1352" t="s">
        <v>104</v>
      </c>
      <c r="D1352" t="s">
        <v>64</v>
      </c>
      <c r="E1352" t="s">
        <v>10</v>
      </c>
      <c r="F1352" t="s">
        <v>105</v>
      </c>
      <c r="G1352">
        <v>1435</v>
      </c>
    </row>
    <row r="1353" spans="1:7" x14ac:dyDescent="0.35">
      <c r="A1353" s="2">
        <v>42333</v>
      </c>
      <c r="B1353" s="93" t="s">
        <v>105</v>
      </c>
      <c r="C1353" t="s">
        <v>104</v>
      </c>
      <c r="D1353" t="s">
        <v>64</v>
      </c>
      <c r="E1353" t="s">
        <v>10</v>
      </c>
      <c r="F1353" t="s">
        <v>105</v>
      </c>
      <c r="G1353">
        <v>1436</v>
      </c>
    </row>
    <row r="1354" spans="1:7" x14ac:dyDescent="0.35">
      <c r="A1354" s="2">
        <v>42333</v>
      </c>
      <c r="B1354" s="93" t="s">
        <v>105</v>
      </c>
      <c r="C1354" t="s">
        <v>104</v>
      </c>
      <c r="D1354" t="s">
        <v>64</v>
      </c>
      <c r="E1354" t="s">
        <v>10</v>
      </c>
      <c r="F1354" t="s">
        <v>105</v>
      </c>
      <c r="G1354">
        <v>1437</v>
      </c>
    </row>
    <row r="1355" spans="1:7" x14ac:dyDescent="0.35">
      <c r="A1355" s="2">
        <v>42333</v>
      </c>
      <c r="B1355" s="93" t="s">
        <v>105</v>
      </c>
      <c r="C1355" t="s">
        <v>104</v>
      </c>
      <c r="D1355" t="s">
        <v>60</v>
      </c>
      <c r="E1355" t="s">
        <v>10</v>
      </c>
      <c r="F1355" t="s">
        <v>105</v>
      </c>
      <c r="G1355">
        <v>1440</v>
      </c>
    </row>
    <row r="1356" spans="1:7" x14ac:dyDescent="0.35">
      <c r="A1356" s="2">
        <v>42333</v>
      </c>
      <c r="B1356" s="93" t="s">
        <v>105</v>
      </c>
      <c r="C1356" t="s">
        <v>104</v>
      </c>
      <c r="D1356" t="s">
        <v>9</v>
      </c>
      <c r="E1356" t="s">
        <v>74</v>
      </c>
      <c r="F1356" t="s">
        <v>82</v>
      </c>
      <c r="G1356">
        <v>1403</v>
      </c>
    </row>
    <row r="1357" spans="1:7" x14ac:dyDescent="0.35">
      <c r="A1357" s="2">
        <v>42333</v>
      </c>
      <c r="B1357" s="93" t="s">
        <v>105</v>
      </c>
      <c r="C1357" t="s">
        <v>104</v>
      </c>
      <c r="D1357" t="s">
        <v>9</v>
      </c>
      <c r="E1357" t="s">
        <v>74</v>
      </c>
      <c r="F1357" t="s">
        <v>82</v>
      </c>
      <c r="G1357">
        <v>1404</v>
      </c>
    </row>
    <row r="1358" spans="1:7" x14ac:dyDescent="0.35">
      <c r="A1358" s="2">
        <v>42333</v>
      </c>
      <c r="B1358" s="93" t="s">
        <v>105</v>
      </c>
      <c r="C1358" t="s">
        <v>104</v>
      </c>
      <c r="D1358" t="s">
        <v>14</v>
      </c>
      <c r="E1358" t="s">
        <v>74</v>
      </c>
      <c r="F1358" t="s">
        <v>82</v>
      </c>
      <c r="G1358">
        <v>1411</v>
      </c>
    </row>
    <row r="1359" spans="1:7" x14ac:dyDescent="0.35">
      <c r="A1359" s="2">
        <v>42333</v>
      </c>
      <c r="B1359" s="93" t="s">
        <v>105</v>
      </c>
      <c r="C1359" t="s">
        <v>104</v>
      </c>
      <c r="D1359" t="s">
        <v>14</v>
      </c>
      <c r="E1359" t="s">
        <v>74</v>
      </c>
      <c r="F1359" t="s">
        <v>82</v>
      </c>
      <c r="G1359">
        <v>1412</v>
      </c>
    </row>
    <row r="1360" spans="1:7" x14ac:dyDescent="0.35">
      <c r="A1360" s="2">
        <v>42333</v>
      </c>
      <c r="B1360" s="93" t="s">
        <v>105</v>
      </c>
      <c r="C1360" t="s">
        <v>104</v>
      </c>
      <c r="D1360" t="s">
        <v>18</v>
      </c>
      <c r="E1360" t="s">
        <v>74</v>
      </c>
      <c r="F1360" t="s">
        <v>82</v>
      </c>
      <c r="G1360">
        <v>1416</v>
      </c>
    </row>
    <row r="1361" spans="1:7" x14ac:dyDescent="0.35">
      <c r="A1361" s="2">
        <v>42333</v>
      </c>
      <c r="B1361" s="93" t="s">
        <v>105</v>
      </c>
      <c r="C1361" t="s">
        <v>104</v>
      </c>
      <c r="D1361" t="s">
        <v>18</v>
      </c>
      <c r="E1361" t="s">
        <v>74</v>
      </c>
      <c r="F1361" t="s">
        <v>82</v>
      </c>
      <c r="G1361">
        <v>1417</v>
      </c>
    </row>
    <row r="1362" spans="1:7" x14ac:dyDescent="0.35">
      <c r="A1362" s="2">
        <v>42333</v>
      </c>
      <c r="B1362" s="93" t="s">
        <v>105</v>
      </c>
      <c r="C1362" t="s">
        <v>104</v>
      </c>
      <c r="D1362" t="s">
        <v>167</v>
      </c>
      <c r="E1362" t="s">
        <v>74</v>
      </c>
      <c r="F1362" t="s">
        <v>82</v>
      </c>
      <c r="G1362">
        <v>1418</v>
      </c>
    </row>
    <row r="1363" spans="1:7" x14ac:dyDescent="0.35">
      <c r="A1363" s="2">
        <v>42333</v>
      </c>
      <c r="B1363" s="93" t="s">
        <v>105</v>
      </c>
      <c r="C1363" t="s">
        <v>104</v>
      </c>
      <c r="D1363" t="s">
        <v>167</v>
      </c>
      <c r="E1363" t="s">
        <v>74</v>
      </c>
      <c r="F1363" t="s">
        <v>82</v>
      </c>
      <c r="G1363">
        <v>1419</v>
      </c>
    </row>
    <row r="1364" spans="1:7" x14ac:dyDescent="0.35">
      <c r="A1364" s="2">
        <v>42333</v>
      </c>
      <c r="B1364" s="93" t="s">
        <v>105</v>
      </c>
      <c r="C1364" t="s">
        <v>104</v>
      </c>
      <c r="D1364" t="s">
        <v>25</v>
      </c>
      <c r="E1364" t="s">
        <v>74</v>
      </c>
      <c r="F1364" t="s">
        <v>82</v>
      </c>
      <c r="G1364">
        <v>1423</v>
      </c>
    </row>
    <row r="1365" spans="1:7" x14ac:dyDescent="0.35">
      <c r="A1365" s="2">
        <v>42333</v>
      </c>
      <c r="B1365" s="93" t="s">
        <v>105</v>
      </c>
      <c r="C1365" t="s">
        <v>104</v>
      </c>
      <c r="D1365" t="s">
        <v>25</v>
      </c>
      <c r="E1365" t="s">
        <v>74</v>
      </c>
      <c r="F1365" t="s">
        <v>82</v>
      </c>
      <c r="G1365">
        <v>1424</v>
      </c>
    </row>
    <row r="1366" spans="1:7" x14ac:dyDescent="0.35">
      <c r="A1366" s="2">
        <v>42333</v>
      </c>
      <c r="B1366" s="93" t="s">
        <v>105</v>
      </c>
      <c r="C1366" t="s">
        <v>104</v>
      </c>
      <c r="D1366" t="s">
        <v>26</v>
      </c>
      <c r="E1366" t="s">
        <v>74</v>
      </c>
      <c r="F1366" t="s">
        <v>82</v>
      </c>
      <c r="G1366">
        <v>1428</v>
      </c>
    </row>
    <row r="1367" spans="1:7" x14ac:dyDescent="0.35">
      <c r="A1367" s="2">
        <v>42333</v>
      </c>
      <c r="B1367" s="93" t="s">
        <v>105</v>
      </c>
      <c r="C1367" t="s">
        <v>104</v>
      </c>
      <c r="D1367" t="s">
        <v>26</v>
      </c>
      <c r="E1367" t="s">
        <v>74</v>
      </c>
      <c r="F1367" t="s">
        <v>82</v>
      </c>
      <c r="G1367">
        <v>1429</v>
      </c>
    </row>
    <row r="1368" spans="1:7" x14ac:dyDescent="0.35">
      <c r="A1368" s="2">
        <v>42333</v>
      </c>
      <c r="B1368" s="93" t="s">
        <v>105</v>
      </c>
      <c r="C1368" t="s">
        <v>104</v>
      </c>
      <c r="D1368" t="s">
        <v>69</v>
      </c>
      <c r="E1368" t="s">
        <v>74</v>
      </c>
      <c r="F1368" t="s">
        <v>82</v>
      </c>
      <c r="G1368">
        <v>1433</v>
      </c>
    </row>
    <row r="1369" spans="1:7" x14ac:dyDescent="0.35">
      <c r="A1369" s="2">
        <v>42333</v>
      </c>
      <c r="B1369" s="93" t="s">
        <v>105</v>
      </c>
      <c r="C1369" t="s">
        <v>104</v>
      </c>
      <c r="D1369" t="s">
        <v>69</v>
      </c>
      <c r="E1369" t="s">
        <v>74</v>
      </c>
      <c r="F1369" t="s">
        <v>82</v>
      </c>
      <c r="G1369">
        <v>1434</v>
      </c>
    </row>
    <row r="1370" spans="1:7" x14ac:dyDescent="0.35">
      <c r="A1370" s="2">
        <v>42333</v>
      </c>
      <c r="B1370" s="93" t="s">
        <v>105</v>
      </c>
      <c r="C1370" t="s">
        <v>104</v>
      </c>
      <c r="D1370" t="s">
        <v>64</v>
      </c>
      <c r="E1370" t="s">
        <v>74</v>
      </c>
      <c r="F1370" t="s">
        <v>82</v>
      </c>
      <c r="G1370">
        <v>1438</v>
      </c>
    </row>
    <row r="1371" spans="1:7" x14ac:dyDescent="0.35">
      <c r="A1371" s="2">
        <v>42333</v>
      </c>
      <c r="B1371" s="93" t="s">
        <v>105</v>
      </c>
      <c r="C1371" t="s">
        <v>104</v>
      </c>
      <c r="D1371" t="s">
        <v>64</v>
      </c>
      <c r="E1371" t="s">
        <v>74</v>
      </c>
      <c r="F1371" t="s">
        <v>82</v>
      </c>
      <c r="G1371">
        <v>1439</v>
      </c>
    </row>
    <row r="1372" spans="1:7" x14ac:dyDescent="0.35">
      <c r="A1372" s="2">
        <v>42333</v>
      </c>
      <c r="B1372" s="93" t="s">
        <v>105</v>
      </c>
      <c r="C1372" t="s">
        <v>104</v>
      </c>
      <c r="D1372" t="s">
        <v>60</v>
      </c>
      <c r="E1372" t="s">
        <v>74</v>
      </c>
      <c r="F1372" t="s">
        <v>82</v>
      </c>
      <c r="G1372">
        <v>1441</v>
      </c>
    </row>
    <row r="1373" spans="1:7" x14ac:dyDescent="0.35">
      <c r="A1373" s="2">
        <v>42333</v>
      </c>
      <c r="B1373" s="93" t="s">
        <v>105</v>
      </c>
      <c r="C1373" t="s">
        <v>104</v>
      </c>
      <c r="D1373" t="s">
        <v>60</v>
      </c>
      <c r="E1373" t="s">
        <v>74</v>
      </c>
      <c r="F1373" t="s">
        <v>82</v>
      </c>
      <c r="G1373">
        <v>1442</v>
      </c>
    </row>
    <row r="1374" spans="1:7" x14ac:dyDescent="0.35">
      <c r="A1374" s="2">
        <v>42333</v>
      </c>
      <c r="B1374" s="93" t="s">
        <v>105</v>
      </c>
      <c r="C1374" t="s">
        <v>104</v>
      </c>
      <c r="D1374" t="s">
        <v>9</v>
      </c>
      <c r="E1374" t="s">
        <v>78</v>
      </c>
      <c r="F1374" t="s">
        <v>105</v>
      </c>
      <c r="G1374">
        <v>1405</v>
      </c>
    </row>
    <row r="1375" spans="1:7" x14ac:dyDescent="0.35">
      <c r="A1375" s="2">
        <v>42333</v>
      </c>
      <c r="B1375" s="93" t="s">
        <v>105</v>
      </c>
      <c r="C1375" t="s">
        <v>104</v>
      </c>
      <c r="D1375" t="s">
        <v>9</v>
      </c>
      <c r="E1375" t="s">
        <v>78</v>
      </c>
      <c r="F1375" t="s">
        <v>105</v>
      </c>
      <c r="G1375">
        <v>1406</v>
      </c>
    </row>
    <row r="1376" spans="1:7" x14ac:dyDescent="0.35">
      <c r="A1376" s="2">
        <v>42333</v>
      </c>
      <c r="B1376" s="93" t="s">
        <v>105</v>
      </c>
      <c r="C1376" t="s">
        <v>104</v>
      </c>
      <c r="D1376" t="s">
        <v>9</v>
      </c>
      <c r="E1376" t="s">
        <v>78</v>
      </c>
      <c r="F1376" t="s">
        <v>105</v>
      </c>
      <c r="G1376">
        <v>1407</v>
      </c>
    </row>
    <row r="1377" spans="1:7" x14ac:dyDescent="0.35">
      <c r="A1377" s="2">
        <v>42333</v>
      </c>
      <c r="B1377" s="93" t="s">
        <v>105</v>
      </c>
      <c r="C1377" t="s">
        <v>104</v>
      </c>
      <c r="D1377" t="s">
        <v>167</v>
      </c>
      <c r="E1377" t="s">
        <v>78</v>
      </c>
      <c r="F1377" t="s">
        <v>105</v>
      </c>
      <c r="G1377">
        <v>1420</v>
      </c>
    </row>
    <row r="1378" spans="1:7" x14ac:dyDescent="0.35">
      <c r="A1378" s="2">
        <v>42333</v>
      </c>
      <c r="B1378" s="93" t="s">
        <v>105</v>
      </c>
      <c r="C1378" t="s">
        <v>104</v>
      </c>
      <c r="D1378" t="s">
        <v>167</v>
      </c>
      <c r="E1378" t="s">
        <v>78</v>
      </c>
      <c r="F1378" t="s">
        <v>105</v>
      </c>
      <c r="G1378">
        <v>1421</v>
      </c>
    </row>
    <row r="1379" spans="1:7" x14ac:dyDescent="0.35">
      <c r="A1379" s="2">
        <v>42333</v>
      </c>
      <c r="B1379" s="93" t="s">
        <v>105</v>
      </c>
      <c r="C1379" t="s">
        <v>104</v>
      </c>
      <c r="D1379" t="s">
        <v>167</v>
      </c>
      <c r="E1379" t="s">
        <v>78</v>
      </c>
      <c r="F1379" t="s">
        <v>105</v>
      </c>
      <c r="G1379">
        <v>1422</v>
      </c>
    </row>
    <row r="1380" spans="1:7" x14ac:dyDescent="0.35">
      <c r="A1380" s="2">
        <v>42340</v>
      </c>
      <c r="B1380" s="93" t="s">
        <v>105</v>
      </c>
      <c r="C1380" t="s">
        <v>104</v>
      </c>
      <c r="D1380" t="s">
        <v>9</v>
      </c>
      <c r="E1380" t="s">
        <v>10</v>
      </c>
      <c r="F1380" t="s">
        <v>105</v>
      </c>
      <c r="G1380">
        <v>1449</v>
      </c>
    </row>
    <row r="1381" spans="1:7" x14ac:dyDescent="0.35">
      <c r="A1381" s="2">
        <v>42340</v>
      </c>
      <c r="B1381" s="93" t="s">
        <v>105</v>
      </c>
      <c r="C1381" t="s">
        <v>104</v>
      </c>
      <c r="D1381" t="s">
        <v>9</v>
      </c>
      <c r="E1381" t="s">
        <v>10</v>
      </c>
      <c r="F1381" t="s">
        <v>105</v>
      </c>
      <c r="G1381">
        <v>1450</v>
      </c>
    </row>
    <row r="1382" spans="1:7" x14ac:dyDescent="0.35">
      <c r="A1382" s="2">
        <v>42340</v>
      </c>
      <c r="B1382" s="93" t="s">
        <v>105</v>
      </c>
      <c r="C1382" t="s">
        <v>104</v>
      </c>
      <c r="D1382" t="s">
        <v>9</v>
      </c>
      <c r="E1382" t="s">
        <v>10</v>
      </c>
      <c r="F1382" t="s">
        <v>105</v>
      </c>
      <c r="G1382">
        <v>1451</v>
      </c>
    </row>
    <row r="1383" spans="1:7" x14ac:dyDescent="0.35">
      <c r="A1383" s="2">
        <v>42340</v>
      </c>
      <c r="B1383" s="93" t="s">
        <v>105</v>
      </c>
      <c r="C1383" t="s">
        <v>104</v>
      </c>
      <c r="D1383" t="s">
        <v>14</v>
      </c>
      <c r="E1383" t="s">
        <v>10</v>
      </c>
      <c r="F1383" t="s">
        <v>105</v>
      </c>
      <c r="G1383">
        <v>1457</v>
      </c>
    </row>
    <row r="1384" spans="1:7" x14ac:dyDescent="0.35">
      <c r="A1384" s="2">
        <v>42340</v>
      </c>
      <c r="B1384" s="93" t="s">
        <v>105</v>
      </c>
      <c r="C1384" t="s">
        <v>104</v>
      </c>
      <c r="D1384" t="s">
        <v>14</v>
      </c>
      <c r="E1384" t="s">
        <v>10</v>
      </c>
      <c r="F1384" t="s">
        <v>105</v>
      </c>
      <c r="G1384">
        <v>1458</v>
      </c>
    </row>
    <row r="1385" spans="1:7" x14ac:dyDescent="0.35">
      <c r="A1385" s="2">
        <v>42340</v>
      </c>
      <c r="B1385" s="93" t="s">
        <v>105</v>
      </c>
      <c r="C1385" t="s">
        <v>104</v>
      </c>
      <c r="D1385" t="s">
        <v>14</v>
      </c>
      <c r="E1385" t="s">
        <v>10</v>
      </c>
      <c r="F1385" t="s">
        <v>105</v>
      </c>
      <c r="G1385">
        <v>1459</v>
      </c>
    </row>
    <row r="1386" spans="1:7" x14ac:dyDescent="0.35">
      <c r="A1386" s="2">
        <v>42340</v>
      </c>
      <c r="B1386" s="93" t="s">
        <v>105</v>
      </c>
      <c r="C1386" t="s">
        <v>104</v>
      </c>
      <c r="D1386" t="s">
        <v>18</v>
      </c>
      <c r="E1386" t="s">
        <v>10</v>
      </c>
      <c r="F1386" t="s">
        <v>105</v>
      </c>
      <c r="G1386">
        <v>1462</v>
      </c>
    </row>
    <row r="1387" spans="1:7" x14ac:dyDescent="0.35">
      <c r="A1387" s="2">
        <v>42340</v>
      </c>
      <c r="B1387" s="93" t="s">
        <v>105</v>
      </c>
      <c r="C1387" t="s">
        <v>104</v>
      </c>
      <c r="D1387" t="s">
        <v>18</v>
      </c>
      <c r="E1387" t="s">
        <v>10</v>
      </c>
      <c r="F1387" t="s">
        <v>105</v>
      </c>
      <c r="G1387">
        <v>1463</v>
      </c>
    </row>
    <row r="1388" spans="1:7" x14ac:dyDescent="0.35">
      <c r="A1388" s="2">
        <v>42340</v>
      </c>
      <c r="B1388" s="93" t="s">
        <v>105</v>
      </c>
      <c r="C1388" t="s">
        <v>104</v>
      </c>
      <c r="D1388" t="s">
        <v>18</v>
      </c>
      <c r="E1388" t="s">
        <v>10</v>
      </c>
      <c r="F1388" t="s">
        <v>105</v>
      </c>
      <c r="G1388">
        <v>1464</v>
      </c>
    </row>
    <row r="1389" spans="1:7" x14ac:dyDescent="0.35">
      <c r="A1389" s="2">
        <v>42340</v>
      </c>
      <c r="B1389" s="93" t="s">
        <v>105</v>
      </c>
      <c r="C1389" t="s">
        <v>104</v>
      </c>
      <c r="D1389" t="s">
        <v>60</v>
      </c>
      <c r="E1389" t="s">
        <v>10</v>
      </c>
      <c r="F1389" t="s">
        <v>105</v>
      </c>
      <c r="G1389">
        <v>1467</v>
      </c>
    </row>
    <row r="1390" spans="1:7" x14ac:dyDescent="0.35">
      <c r="A1390" s="2">
        <v>42340</v>
      </c>
      <c r="B1390" s="93" t="s">
        <v>105</v>
      </c>
      <c r="C1390" t="s">
        <v>104</v>
      </c>
      <c r="D1390" t="s">
        <v>60</v>
      </c>
      <c r="E1390" t="s">
        <v>10</v>
      </c>
      <c r="F1390" t="s">
        <v>105</v>
      </c>
      <c r="G1390">
        <v>1468</v>
      </c>
    </row>
    <row r="1391" spans="1:7" x14ac:dyDescent="0.35">
      <c r="A1391" s="2">
        <v>42340</v>
      </c>
      <c r="B1391" s="93" t="s">
        <v>105</v>
      </c>
      <c r="C1391" t="s">
        <v>104</v>
      </c>
      <c r="D1391" t="s">
        <v>60</v>
      </c>
      <c r="E1391" t="s">
        <v>10</v>
      </c>
      <c r="F1391" t="s">
        <v>105</v>
      </c>
      <c r="G1391">
        <v>1469</v>
      </c>
    </row>
    <row r="1392" spans="1:7" x14ac:dyDescent="0.35">
      <c r="A1392" s="2">
        <v>42340</v>
      </c>
      <c r="B1392" s="93" t="s">
        <v>105</v>
      </c>
      <c r="C1392" t="s">
        <v>104</v>
      </c>
      <c r="D1392" t="s">
        <v>64</v>
      </c>
      <c r="E1392" t="s">
        <v>10</v>
      </c>
      <c r="F1392" t="s">
        <v>105</v>
      </c>
      <c r="G1392">
        <v>1484</v>
      </c>
    </row>
    <row r="1393" spans="1:7" x14ac:dyDescent="0.35">
      <c r="A1393" s="2">
        <v>42340</v>
      </c>
      <c r="B1393" s="93" t="s">
        <v>105</v>
      </c>
      <c r="C1393" t="s">
        <v>104</v>
      </c>
      <c r="D1393" t="s">
        <v>64</v>
      </c>
      <c r="E1393" t="s">
        <v>10</v>
      </c>
      <c r="F1393" t="s">
        <v>105</v>
      </c>
      <c r="G1393">
        <v>1485</v>
      </c>
    </row>
    <row r="1394" spans="1:7" x14ac:dyDescent="0.35">
      <c r="A1394" s="2">
        <v>42340</v>
      </c>
      <c r="B1394" s="93" t="s">
        <v>105</v>
      </c>
      <c r="C1394" t="s">
        <v>104</v>
      </c>
      <c r="D1394" t="s">
        <v>69</v>
      </c>
      <c r="E1394" t="s">
        <v>10</v>
      </c>
      <c r="F1394" t="s">
        <v>105</v>
      </c>
      <c r="G1394">
        <v>1487</v>
      </c>
    </row>
    <row r="1395" spans="1:7" x14ac:dyDescent="0.35">
      <c r="A1395" s="2">
        <v>42340</v>
      </c>
      <c r="B1395" s="93" t="s">
        <v>105</v>
      </c>
      <c r="C1395" t="s">
        <v>104</v>
      </c>
      <c r="D1395" t="s">
        <v>69</v>
      </c>
      <c r="E1395" t="s">
        <v>10</v>
      </c>
      <c r="F1395" t="s">
        <v>105</v>
      </c>
      <c r="G1395">
        <v>1488</v>
      </c>
    </row>
    <row r="1396" spans="1:7" x14ac:dyDescent="0.35">
      <c r="A1396" s="2">
        <v>42340</v>
      </c>
      <c r="B1396" s="93" t="s">
        <v>105</v>
      </c>
      <c r="C1396" t="s">
        <v>104</v>
      </c>
      <c r="D1396" t="s">
        <v>26</v>
      </c>
      <c r="E1396" t="s">
        <v>10</v>
      </c>
      <c r="F1396" t="s">
        <v>105</v>
      </c>
      <c r="G1396">
        <v>1489</v>
      </c>
    </row>
    <row r="1397" spans="1:7" x14ac:dyDescent="0.35">
      <c r="A1397" s="2">
        <v>42340</v>
      </c>
      <c r="B1397" s="93" t="s">
        <v>105</v>
      </c>
      <c r="C1397" t="s">
        <v>104</v>
      </c>
      <c r="D1397" t="s">
        <v>26</v>
      </c>
      <c r="E1397" t="s">
        <v>10</v>
      </c>
      <c r="F1397" t="s">
        <v>105</v>
      </c>
      <c r="G1397">
        <v>1490</v>
      </c>
    </row>
    <row r="1398" spans="1:7" x14ac:dyDescent="0.35">
      <c r="A1398" s="2">
        <v>42340</v>
      </c>
      <c r="B1398" s="93" t="s">
        <v>105</v>
      </c>
      <c r="C1398" t="s">
        <v>104</v>
      </c>
      <c r="D1398" t="s">
        <v>26</v>
      </c>
      <c r="E1398" t="s">
        <v>10</v>
      </c>
      <c r="F1398" t="s">
        <v>105</v>
      </c>
      <c r="G1398">
        <v>1491</v>
      </c>
    </row>
    <row r="1399" spans="1:7" x14ac:dyDescent="0.35">
      <c r="A1399" s="2">
        <v>42340</v>
      </c>
      <c r="B1399" s="93" t="s">
        <v>105</v>
      </c>
      <c r="C1399" t="s">
        <v>104</v>
      </c>
      <c r="D1399" t="s">
        <v>167</v>
      </c>
      <c r="E1399" t="s">
        <v>10</v>
      </c>
      <c r="F1399" t="s">
        <v>105</v>
      </c>
      <c r="G1399">
        <v>1496</v>
      </c>
    </row>
    <row r="1400" spans="1:7" x14ac:dyDescent="0.35">
      <c r="A1400" s="2">
        <v>42340</v>
      </c>
      <c r="B1400" s="93" t="s">
        <v>105</v>
      </c>
      <c r="C1400" t="s">
        <v>104</v>
      </c>
      <c r="D1400" t="s">
        <v>167</v>
      </c>
      <c r="E1400" t="s">
        <v>10</v>
      </c>
      <c r="F1400" t="s">
        <v>105</v>
      </c>
      <c r="G1400">
        <v>1497</v>
      </c>
    </row>
    <row r="1401" spans="1:7" x14ac:dyDescent="0.35">
      <c r="A1401" s="2">
        <v>42340</v>
      </c>
      <c r="B1401" s="93" t="s">
        <v>105</v>
      </c>
      <c r="C1401" t="s">
        <v>104</v>
      </c>
      <c r="D1401" t="s">
        <v>9</v>
      </c>
      <c r="E1401" t="s">
        <v>74</v>
      </c>
      <c r="F1401" t="s">
        <v>82</v>
      </c>
      <c r="G1401">
        <v>1452</v>
      </c>
    </row>
    <row r="1402" spans="1:7" x14ac:dyDescent="0.35">
      <c r="A1402" s="2">
        <v>42340</v>
      </c>
      <c r="B1402" s="93" t="s">
        <v>105</v>
      </c>
      <c r="C1402" t="s">
        <v>104</v>
      </c>
      <c r="D1402" t="s">
        <v>9</v>
      </c>
      <c r="E1402" t="s">
        <v>74</v>
      </c>
      <c r="F1402" t="s">
        <v>82</v>
      </c>
      <c r="G1402">
        <v>1453</v>
      </c>
    </row>
    <row r="1403" spans="1:7" x14ac:dyDescent="0.35">
      <c r="A1403" s="2">
        <v>42340</v>
      </c>
      <c r="B1403" s="93" t="s">
        <v>105</v>
      </c>
      <c r="C1403" t="s">
        <v>104</v>
      </c>
      <c r="D1403" t="s">
        <v>14</v>
      </c>
      <c r="E1403" t="s">
        <v>74</v>
      </c>
      <c r="F1403" t="s">
        <v>82</v>
      </c>
      <c r="G1403">
        <v>1460</v>
      </c>
    </row>
    <row r="1404" spans="1:7" x14ac:dyDescent="0.35">
      <c r="A1404" s="2">
        <v>42340</v>
      </c>
      <c r="B1404" s="93" t="s">
        <v>105</v>
      </c>
      <c r="C1404" t="s">
        <v>104</v>
      </c>
      <c r="D1404" t="s">
        <v>14</v>
      </c>
      <c r="E1404" t="s">
        <v>74</v>
      </c>
      <c r="F1404" t="s">
        <v>82</v>
      </c>
      <c r="G1404">
        <v>1461</v>
      </c>
    </row>
    <row r="1405" spans="1:7" x14ac:dyDescent="0.35">
      <c r="A1405" s="2">
        <v>42340</v>
      </c>
      <c r="B1405" s="93" t="s">
        <v>105</v>
      </c>
      <c r="C1405" t="s">
        <v>104</v>
      </c>
      <c r="D1405" t="s">
        <v>18</v>
      </c>
      <c r="E1405" t="s">
        <v>74</v>
      </c>
      <c r="F1405" t="s">
        <v>82</v>
      </c>
      <c r="G1405">
        <v>1465</v>
      </c>
    </row>
    <row r="1406" spans="1:7" x14ac:dyDescent="0.35">
      <c r="A1406" s="2">
        <v>42340</v>
      </c>
      <c r="B1406" s="93" t="s">
        <v>105</v>
      </c>
      <c r="C1406" t="s">
        <v>104</v>
      </c>
      <c r="D1406" t="s">
        <v>18</v>
      </c>
      <c r="E1406" t="s">
        <v>74</v>
      </c>
      <c r="F1406" t="s">
        <v>82</v>
      </c>
      <c r="G1406">
        <v>1466</v>
      </c>
    </row>
    <row r="1407" spans="1:7" x14ac:dyDescent="0.35">
      <c r="A1407" s="2">
        <v>42340</v>
      </c>
      <c r="B1407" s="93" t="s">
        <v>105</v>
      </c>
      <c r="C1407" t="s">
        <v>104</v>
      </c>
      <c r="D1407" t="s">
        <v>64</v>
      </c>
      <c r="E1407" t="s">
        <v>74</v>
      </c>
      <c r="F1407" t="s">
        <v>82</v>
      </c>
      <c r="G1407">
        <v>1486</v>
      </c>
    </row>
    <row r="1408" spans="1:7" x14ac:dyDescent="0.35">
      <c r="A1408" s="2">
        <v>42340</v>
      </c>
      <c r="B1408" s="93" t="s">
        <v>105</v>
      </c>
      <c r="C1408" t="s">
        <v>104</v>
      </c>
      <c r="D1408" t="s">
        <v>26</v>
      </c>
      <c r="E1408" t="s">
        <v>74</v>
      </c>
      <c r="F1408" t="s">
        <v>82</v>
      </c>
      <c r="G1408">
        <v>1492</v>
      </c>
    </row>
    <row r="1409" spans="1:9" x14ac:dyDescent="0.35">
      <c r="A1409" s="2">
        <v>42340</v>
      </c>
      <c r="B1409" s="93" t="s">
        <v>105</v>
      </c>
      <c r="C1409" t="s">
        <v>104</v>
      </c>
      <c r="D1409" t="s">
        <v>26</v>
      </c>
      <c r="E1409" t="s">
        <v>74</v>
      </c>
      <c r="F1409" t="s">
        <v>82</v>
      </c>
      <c r="G1409">
        <v>1493</v>
      </c>
    </row>
    <row r="1410" spans="1:9" x14ac:dyDescent="0.35">
      <c r="A1410" s="2">
        <v>42340</v>
      </c>
      <c r="B1410" s="93" t="s">
        <v>105</v>
      </c>
      <c r="C1410" t="s">
        <v>104</v>
      </c>
      <c r="D1410" t="s">
        <v>25</v>
      </c>
      <c r="E1410" t="s">
        <v>74</v>
      </c>
      <c r="F1410" t="s">
        <v>82</v>
      </c>
      <c r="G1410">
        <v>1494</v>
      </c>
    </row>
    <row r="1411" spans="1:9" x14ac:dyDescent="0.35">
      <c r="A1411" s="2">
        <v>42340</v>
      </c>
      <c r="B1411" s="93" t="s">
        <v>105</v>
      </c>
      <c r="C1411" t="s">
        <v>104</v>
      </c>
      <c r="D1411" t="s">
        <v>25</v>
      </c>
      <c r="E1411" t="s">
        <v>74</v>
      </c>
      <c r="F1411" t="s">
        <v>82</v>
      </c>
      <c r="G1411">
        <v>1495</v>
      </c>
    </row>
    <row r="1412" spans="1:9" x14ac:dyDescent="0.35">
      <c r="A1412" s="2">
        <v>42340</v>
      </c>
      <c r="B1412" s="93" t="s">
        <v>105</v>
      </c>
      <c r="C1412" t="s">
        <v>104</v>
      </c>
      <c r="D1412" t="s">
        <v>167</v>
      </c>
      <c r="E1412" t="s">
        <v>74</v>
      </c>
      <c r="F1412" t="s">
        <v>82</v>
      </c>
      <c r="G1412">
        <v>1498</v>
      </c>
    </row>
    <row r="1413" spans="1:9" x14ac:dyDescent="0.35">
      <c r="A1413" s="2">
        <v>42340</v>
      </c>
      <c r="B1413" s="93" t="s">
        <v>105</v>
      </c>
      <c r="C1413" t="s">
        <v>104</v>
      </c>
      <c r="D1413" t="s">
        <v>167</v>
      </c>
      <c r="E1413" t="s">
        <v>74</v>
      </c>
      <c r="F1413" t="s">
        <v>82</v>
      </c>
      <c r="G1413">
        <v>1499</v>
      </c>
    </row>
    <row r="1414" spans="1:9" x14ac:dyDescent="0.35">
      <c r="A1414" s="2">
        <v>42340</v>
      </c>
      <c r="B1414" s="93" t="s">
        <v>105</v>
      </c>
      <c r="C1414" t="s">
        <v>104</v>
      </c>
      <c r="D1414" t="s">
        <v>60</v>
      </c>
      <c r="E1414" t="s">
        <v>74</v>
      </c>
      <c r="F1414" s="75">
        <v>98.425196850393704</v>
      </c>
      <c r="G1414">
        <v>1481</v>
      </c>
      <c r="I1414" s="107"/>
    </row>
    <row r="1415" spans="1:9" x14ac:dyDescent="0.35">
      <c r="A1415" s="2">
        <v>42340</v>
      </c>
      <c r="B1415" s="93" t="s">
        <v>105</v>
      </c>
      <c r="C1415" t="s">
        <v>104</v>
      </c>
      <c r="D1415" t="s">
        <v>60</v>
      </c>
      <c r="E1415" t="s">
        <v>74</v>
      </c>
      <c r="F1415" s="75">
        <v>75.787401574803155</v>
      </c>
      <c r="G1415">
        <v>1479</v>
      </c>
      <c r="I1415" s="107"/>
    </row>
    <row r="1416" spans="1:9" x14ac:dyDescent="0.35">
      <c r="A1416" s="2">
        <v>42340</v>
      </c>
      <c r="B1416" s="93" t="s">
        <v>105</v>
      </c>
      <c r="C1416" t="s">
        <v>104</v>
      </c>
      <c r="D1416" t="s">
        <v>60</v>
      </c>
      <c r="E1416" t="s">
        <v>74</v>
      </c>
      <c r="F1416" s="75">
        <v>66.60104986876641</v>
      </c>
      <c r="G1416">
        <v>1478</v>
      </c>
      <c r="I1416" s="107"/>
    </row>
    <row r="1417" spans="1:9" x14ac:dyDescent="0.35">
      <c r="A1417" s="2">
        <v>42340</v>
      </c>
      <c r="B1417" s="93" t="s">
        <v>105</v>
      </c>
      <c r="C1417" t="s">
        <v>104</v>
      </c>
      <c r="D1417" t="s">
        <v>60</v>
      </c>
      <c r="E1417" t="s">
        <v>74</v>
      </c>
      <c r="F1417" s="75">
        <v>56.758530183727032</v>
      </c>
      <c r="G1417">
        <v>1477</v>
      </c>
      <c r="I1417" s="107"/>
    </row>
    <row r="1418" spans="1:9" x14ac:dyDescent="0.35">
      <c r="A1418" s="2">
        <v>42340</v>
      </c>
      <c r="B1418" s="93" t="s">
        <v>105</v>
      </c>
      <c r="C1418" t="s">
        <v>104</v>
      </c>
      <c r="D1418" t="s">
        <v>60</v>
      </c>
      <c r="E1418" t="s">
        <v>74</v>
      </c>
      <c r="F1418" s="75">
        <v>47.572178477690287</v>
      </c>
      <c r="G1418">
        <v>1476</v>
      </c>
      <c r="I1418" s="107"/>
    </row>
    <row r="1419" spans="1:9" x14ac:dyDescent="0.35">
      <c r="A1419" s="2">
        <v>42340</v>
      </c>
      <c r="B1419" s="93" t="s">
        <v>105</v>
      </c>
      <c r="C1419" t="s">
        <v>104</v>
      </c>
      <c r="D1419" t="s">
        <v>60</v>
      </c>
      <c r="E1419" t="s">
        <v>74</v>
      </c>
      <c r="F1419" s="75">
        <v>38.057742782152232</v>
      </c>
      <c r="G1419">
        <v>1475</v>
      </c>
      <c r="I1419" s="107"/>
    </row>
    <row r="1420" spans="1:9" x14ac:dyDescent="0.35">
      <c r="A1420" s="2">
        <v>42340</v>
      </c>
      <c r="B1420" s="93" t="s">
        <v>105</v>
      </c>
      <c r="C1420" t="s">
        <v>104</v>
      </c>
      <c r="D1420" t="s">
        <v>60</v>
      </c>
      <c r="E1420" t="s">
        <v>74</v>
      </c>
      <c r="F1420" s="75">
        <v>28.543307086614174</v>
      </c>
      <c r="G1420">
        <v>1474</v>
      </c>
      <c r="I1420" s="107"/>
    </row>
    <row r="1421" spans="1:9" x14ac:dyDescent="0.35">
      <c r="A1421" s="2">
        <v>42340</v>
      </c>
      <c r="B1421" s="93" t="s">
        <v>105</v>
      </c>
      <c r="C1421" t="s">
        <v>104</v>
      </c>
      <c r="D1421" t="s">
        <v>60</v>
      </c>
      <c r="E1421" t="s">
        <v>74</v>
      </c>
      <c r="F1421" s="75">
        <v>18.700787401574804</v>
      </c>
      <c r="G1421">
        <v>1473</v>
      </c>
      <c r="I1421" s="107"/>
    </row>
    <row r="1422" spans="1:9" x14ac:dyDescent="0.35">
      <c r="A1422" s="2">
        <v>42340</v>
      </c>
      <c r="B1422" s="93" t="s">
        <v>105</v>
      </c>
      <c r="C1422" t="s">
        <v>104</v>
      </c>
      <c r="D1422" t="s">
        <v>60</v>
      </c>
      <c r="E1422" t="s">
        <v>74</v>
      </c>
      <c r="F1422" s="75">
        <v>9.1863517060367457</v>
      </c>
      <c r="G1422">
        <v>1472</v>
      </c>
      <c r="I1422" s="107"/>
    </row>
    <row r="1423" spans="1:9" x14ac:dyDescent="0.35">
      <c r="A1423" s="2">
        <v>42340</v>
      </c>
      <c r="B1423" s="93" t="s">
        <v>105</v>
      </c>
      <c r="C1423" t="s">
        <v>104</v>
      </c>
      <c r="D1423" t="s">
        <v>60</v>
      </c>
      <c r="E1423" t="s">
        <v>74</v>
      </c>
      <c r="F1423" s="75">
        <v>0.3</v>
      </c>
      <c r="G1423">
        <v>1471</v>
      </c>
      <c r="I1423" s="107"/>
    </row>
    <row r="1424" spans="1:9" x14ac:dyDescent="0.35">
      <c r="A1424" s="2">
        <v>42340</v>
      </c>
      <c r="B1424" s="93" t="s">
        <v>105</v>
      </c>
      <c r="C1424" t="s">
        <v>104</v>
      </c>
      <c r="D1424" t="s">
        <v>60</v>
      </c>
      <c r="E1424" t="s">
        <v>74</v>
      </c>
      <c r="F1424" s="75">
        <v>0.3</v>
      </c>
      <c r="G1424">
        <v>1470</v>
      </c>
      <c r="I1424" s="107"/>
    </row>
    <row r="1425" spans="1:7" x14ac:dyDescent="0.35">
      <c r="A1425" s="2">
        <v>42340</v>
      </c>
      <c r="B1425" s="93" t="s">
        <v>105</v>
      </c>
      <c r="C1425" t="s">
        <v>104</v>
      </c>
      <c r="D1425" t="s">
        <v>60</v>
      </c>
      <c r="E1425" t="s">
        <v>78</v>
      </c>
      <c r="F1425" t="s">
        <v>105</v>
      </c>
      <c r="G1425">
        <v>1482</v>
      </c>
    </row>
    <row r="1426" spans="1:7" x14ac:dyDescent="0.35">
      <c r="A1426" s="2">
        <v>42340</v>
      </c>
      <c r="B1426" s="93" t="s">
        <v>105</v>
      </c>
      <c r="C1426" t="s">
        <v>104</v>
      </c>
      <c r="D1426" t="s">
        <v>60</v>
      </c>
      <c r="E1426" t="s">
        <v>78</v>
      </c>
      <c r="F1426" t="s">
        <v>105</v>
      </c>
      <c r="G1426">
        <v>1483</v>
      </c>
    </row>
    <row r="1427" spans="1:7" x14ac:dyDescent="0.35">
      <c r="A1427" s="2">
        <v>42347</v>
      </c>
      <c r="B1427" s="93" t="s">
        <v>105</v>
      </c>
      <c r="C1427" t="s">
        <v>104</v>
      </c>
      <c r="D1427" t="s">
        <v>167</v>
      </c>
      <c r="E1427" t="s">
        <v>78</v>
      </c>
      <c r="F1427" t="s">
        <v>105</v>
      </c>
      <c r="G1427">
        <v>1525</v>
      </c>
    </row>
    <row r="1428" spans="1:7" x14ac:dyDescent="0.35">
      <c r="A1428" s="2">
        <v>42347</v>
      </c>
      <c r="B1428" s="93" t="s">
        <v>105</v>
      </c>
      <c r="C1428" t="s">
        <v>104</v>
      </c>
      <c r="D1428" t="s">
        <v>167</v>
      </c>
      <c r="E1428" t="s">
        <v>78</v>
      </c>
      <c r="F1428" t="s">
        <v>105</v>
      </c>
      <c r="G1428">
        <v>1526</v>
      </c>
    </row>
    <row r="1429" spans="1:7" x14ac:dyDescent="0.35">
      <c r="A1429" s="2">
        <v>42347</v>
      </c>
      <c r="B1429" s="93" t="s">
        <v>105</v>
      </c>
      <c r="C1429" t="s">
        <v>104</v>
      </c>
      <c r="D1429" t="s">
        <v>25</v>
      </c>
      <c r="E1429" t="s">
        <v>74</v>
      </c>
      <c r="F1429" t="s">
        <v>82</v>
      </c>
      <c r="G1429">
        <v>1515</v>
      </c>
    </row>
    <row r="1430" spans="1:7" x14ac:dyDescent="0.35">
      <c r="A1430" s="2">
        <v>42347</v>
      </c>
      <c r="B1430" s="93" t="s">
        <v>105</v>
      </c>
      <c r="C1430" t="s">
        <v>104</v>
      </c>
      <c r="D1430" t="s">
        <v>25</v>
      </c>
      <c r="E1430" t="s">
        <v>74</v>
      </c>
      <c r="F1430" t="s">
        <v>82</v>
      </c>
      <c r="G1430">
        <v>1516</v>
      </c>
    </row>
    <row r="1431" spans="1:7" x14ac:dyDescent="0.35">
      <c r="A1431" s="2">
        <v>42347</v>
      </c>
      <c r="B1431" s="93" t="s">
        <v>105</v>
      </c>
      <c r="C1431" t="s">
        <v>104</v>
      </c>
      <c r="D1431" t="s">
        <v>26</v>
      </c>
      <c r="E1431" t="s">
        <v>74</v>
      </c>
      <c r="F1431" t="s">
        <v>82</v>
      </c>
      <c r="G1431">
        <v>1520</v>
      </c>
    </row>
    <row r="1432" spans="1:7" x14ac:dyDescent="0.35">
      <c r="A1432" s="2">
        <v>42347</v>
      </c>
      <c r="B1432" s="93" t="s">
        <v>105</v>
      </c>
      <c r="C1432" t="s">
        <v>104</v>
      </c>
      <c r="D1432" t="s">
        <v>26</v>
      </c>
      <c r="E1432" t="s">
        <v>74</v>
      </c>
      <c r="F1432" t="s">
        <v>82</v>
      </c>
      <c r="G1432">
        <v>1521</v>
      </c>
    </row>
    <row r="1433" spans="1:7" x14ac:dyDescent="0.35">
      <c r="A1433" s="2">
        <v>42347</v>
      </c>
      <c r="B1433" s="93" t="s">
        <v>105</v>
      </c>
      <c r="C1433" t="s">
        <v>104</v>
      </c>
      <c r="D1433" t="s">
        <v>167</v>
      </c>
      <c r="E1433" t="s">
        <v>74</v>
      </c>
      <c r="F1433" t="s">
        <v>82</v>
      </c>
      <c r="G1433">
        <v>1523</v>
      </c>
    </row>
    <row r="1434" spans="1:7" x14ac:dyDescent="0.35">
      <c r="A1434" s="2">
        <v>42347</v>
      </c>
      <c r="B1434" s="93" t="s">
        <v>105</v>
      </c>
      <c r="C1434" t="s">
        <v>104</v>
      </c>
      <c r="D1434" t="s">
        <v>167</v>
      </c>
      <c r="E1434" t="s">
        <v>74</v>
      </c>
      <c r="F1434" t="s">
        <v>82</v>
      </c>
      <c r="G1434">
        <v>1524</v>
      </c>
    </row>
    <row r="1435" spans="1:7" x14ac:dyDescent="0.35">
      <c r="A1435" s="2">
        <v>42347</v>
      </c>
      <c r="B1435" s="93" t="s">
        <v>105</v>
      </c>
      <c r="C1435" t="s">
        <v>104</v>
      </c>
      <c r="D1435" t="s">
        <v>14</v>
      </c>
      <c r="E1435" t="s">
        <v>74</v>
      </c>
      <c r="F1435" t="s">
        <v>82</v>
      </c>
      <c r="G1435">
        <v>1508</v>
      </c>
    </row>
    <row r="1436" spans="1:7" x14ac:dyDescent="0.35">
      <c r="A1436" s="2">
        <v>42347</v>
      </c>
      <c r="B1436" s="93" t="s">
        <v>105</v>
      </c>
      <c r="C1436" t="s">
        <v>104</v>
      </c>
      <c r="D1436" t="s">
        <v>14</v>
      </c>
      <c r="E1436" t="s">
        <v>74</v>
      </c>
      <c r="F1436" t="s">
        <v>82</v>
      </c>
      <c r="G1436">
        <v>1509</v>
      </c>
    </row>
    <row r="1437" spans="1:7" x14ac:dyDescent="0.35">
      <c r="A1437" s="2">
        <v>42347</v>
      </c>
      <c r="B1437" s="93" t="s">
        <v>105</v>
      </c>
      <c r="C1437" t="s">
        <v>104</v>
      </c>
      <c r="D1437" t="s">
        <v>18</v>
      </c>
      <c r="E1437" t="s">
        <v>74</v>
      </c>
      <c r="F1437" t="s">
        <v>82</v>
      </c>
      <c r="G1437">
        <v>1513</v>
      </c>
    </row>
    <row r="1438" spans="1:7" x14ac:dyDescent="0.35">
      <c r="A1438" s="2">
        <v>42347</v>
      </c>
      <c r="B1438" s="93" t="s">
        <v>105</v>
      </c>
      <c r="C1438" t="s">
        <v>104</v>
      </c>
      <c r="D1438" t="s">
        <v>18</v>
      </c>
      <c r="E1438" t="s">
        <v>74</v>
      </c>
      <c r="F1438" t="s">
        <v>82</v>
      </c>
      <c r="G1438">
        <v>1514</v>
      </c>
    </row>
    <row r="1439" spans="1:7" x14ac:dyDescent="0.35">
      <c r="A1439" s="2">
        <v>42347</v>
      </c>
      <c r="B1439" s="93" t="s">
        <v>105</v>
      </c>
      <c r="C1439" t="s">
        <v>104</v>
      </c>
      <c r="D1439" t="s">
        <v>9</v>
      </c>
      <c r="E1439" t="s">
        <v>74</v>
      </c>
      <c r="F1439" t="s">
        <v>82</v>
      </c>
      <c r="G1439">
        <v>1503</v>
      </c>
    </row>
    <row r="1440" spans="1:7" x14ac:dyDescent="0.35">
      <c r="A1440" s="2">
        <v>42347</v>
      </c>
      <c r="B1440" s="93" t="s">
        <v>105</v>
      </c>
      <c r="C1440" t="s">
        <v>104</v>
      </c>
      <c r="D1440" t="s">
        <v>9</v>
      </c>
      <c r="E1440" t="s">
        <v>74</v>
      </c>
      <c r="F1440" t="s">
        <v>82</v>
      </c>
      <c r="G1440">
        <v>1504</v>
      </c>
    </row>
    <row r="1441" spans="1:7" x14ac:dyDescent="0.35">
      <c r="A1441" s="2">
        <v>42347</v>
      </c>
      <c r="B1441" s="93" t="s">
        <v>105</v>
      </c>
      <c r="C1441" t="s">
        <v>104</v>
      </c>
      <c r="D1441" t="s">
        <v>26</v>
      </c>
      <c r="E1441" t="s">
        <v>10</v>
      </c>
      <c r="F1441" t="s">
        <v>105</v>
      </c>
      <c r="G1441">
        <v>1517</v>
      </c>
    </row>
    <row r="1442" spans="1:7" x14ac:dyDescent="0.35">
      <c r="A1442" s="2">
        <v>42347</v>
      </c>
      <c r="B1442" s="93" t="s">
        <v>105</v>
      </c>
      <c r="C1442" t="s">
        <v>104</v>
      </c>
      <c r="D1442" t="s">
        <v>26</v>
      </c>
      <c r="E1442" t="s">
        <v>10</v>
      </c>
      <c r="F1442" t="s">
        <v>105</v>
      </c>
      <c r="G1442">
        <v>1518</v>
      </c>
    </row>
    <row r="1443" spans="1:7" x14ac:dyDescent="0.35">
      <c r="A1443" s="2">
        <v>42347</v>
      </c>
      <c r="B1443" s="93" t="s">
        <v>105</v>
      </c>
      <c r="C1443" t="s">
        <v>104</v>
      </c>
      <c r="D1443" t="s">
        <v>26</v>
      </c>
      <c r="E1443" t="s">
        <v>10</v>
      </c>
      <c r="F1443" t="s">
        <v>105</v>
      </c>
      <c r="G1443">
        <v>1519</v>
      </c>
    </row>
    <row r="1444" spans="1:7" x14ac:dyDescent="0.35">
      <c r="A1444" s="2">
        <v>42347</v>
      </c>
      <c r="B1444" s="93" t="s">
        <v>105</v>
      </c>
      <c r="C1444" t="s">
        <v>104</v>
      </c>
      <c r="D1444" t="s">
        <v>167</v>
      </c>
      <c r="E1444" t="s">
        <v>10</v>
      </c>
      <c r="F1444" t="s">
        <v>105</v>
      </c>
      <c r="G1444">
        <v>1522</v>
      </c>
    </row>
    <row r="1445" spans="1:7" x14ac:dyDescent="0.35">
      <c r="A1445" s="2">
        <v>42347</v>
      </c>
      <c r="B1445" s="93" t="s">
        <v>105</v>
      </c>
      <c r="C1445" t="s">
        <v>104</v>
      </c>
      <c r="D1445" t="s">
        <v>14</v>
      </c>
      <c r="E1445" t="s">
        <v>10</v>
      </c>
      <c r="F1445" t="s">
        <v>105</v>
      </c>
      <c r="G1445">
        <v>1505</v>
      </c>
    </row>
    <row r="1446" spans="1:7" x14ac:dyDescent="0.35">
      <c r="A1446" s="2">
        <v>42347</v>
      </c>
      <c r="B1446" s="93" t="s">
        <v>105</v>
      </c>
      <c r="C1446" t="s">
        <v>104</v>
      </c>
      <c r="D1446" t="s">
        <v>14</v>
      </c>
      <c r="E1446" t="s">
        <v>10</v>
      </c>
      <c r="F1446" t="s">
        <v>105</v>
      </c>
      <c r="G1446">
        <v>1506</v>
      </c>
    </row>
    <row r="1447" spans="1:7" x14ac:dyDescent="0.35">
      <c r="A1447" s="2">
        <v>42347</v>
      </c>
      <c r="B1447" s="93" t="s">
        <v>105</v>
      </c>
      <c r="C1447" t="s">
        <v>104</v>
      </c>
      <c r="D1447" t="s">
        <v>14</v>
      </c>
      <c r="E1447" t="s">
        <v>10</v>
      </c>
      <c r="F1447" t="s">
        <v>105</v>
      </c>
      <c r="G1447">
        <v>1507</v>
      </c>
    </row>
    <row r="1448" spans="1:7" x14ac:dyDescent="0.35">
      <c r="A1448" s="2">
        <v>42347</v>
      </c>
      <c r="B1448" s="93" t="s">
        <v>105</v>
      </c>
      <c r="C1448" t="s">
        <v>104</v>
      </c>
      <c r="D1448" t="s">
        <v>18</v>
      </c>
      <c r="E1448" t="s">
        <v>10</v>
      </c>
      <c r="F1448" t="s">
        <v>105</v>
      </c>
      <c r="G1448">
        <v>1510</v>
      </c>
    </row>
    <row r="1449" spans="1:7" x14ac:dyDescent="0.35">
      <c r="A1449" s="2">
        <v>42347</v>
      </c>
      <c r="B1449" s="93" t="s">
        <v>105</v>
      </c>
      <c r="C1449" t="s">
        <v>104</v>
      </c>
      <c r="D1449" t="s">
        <v>18</v>
      </c>
      <c r="E1449" t="s">
        <v>10</v>
      </c>
      <c r="F1449" t="s">
        <v>105</v>
      </c>
      <c r="G1449">
        <v>1511</v>
      </c>
    </row>
    <row r="1450" spans="1:7" x14ac:dyDescent="0.35">
      <c r="A1450" s="2">
        <v>42347</v>
      </c>
      <c r="B1450" s="93" t="s">
        <v>105</v>
      </c>
      <c r="C1450" t="s">
        <v>104</v>
      </c>
      <c r="D1450" t="s">
        <v>18</v>
      </c>
      <c r="E1450" t="s">
        <v>10</v>
      </c>
      <c r="F1450" t="s">
        <v>105</v>
      </c>
      <c r="G1450">
        <v>1512</v>
      </c>
    </row>
    <row r="1451" spans="1:7" x14ac:dyDescent="0.35">
      <c r="A1451" s="2">
        <v>42347</v>
      </c>
      <c r="B1451" s="93" t="s">
        <v>105</v>
      </c>
      <c r="C1451" t="s">
        <v>104</v>
      </c>
      <c r="D1451" t="s">
        <v>9</v>
      </c>
      <c r="E1451" t="s">
        <v>10</v>
      </c>
      <c r="F1451" t="s">
        <v>105</v>
      </c>
      <c r="G1451">
        <v>1500</v>
      </c>
    </row>
    <row r="1452" spans="1:7" x14ac:dyDescent="0.35">
      <c r="A1452" s="2">
        <v>42347</v>
      </c>
      <c r="B1452" s="93" t="s">
        <v>105</v>
      </c>
      <c r="C1452" t="s">
        <v>104</v>
      </c>
      <c r="D1452" t="s">
        <v>9</v>
      </c>
      <c r="E1452" t="s">
        <v>10</v>
      </c>
      <c r="F1452" t="s">
        <v>105</v>
      </c>
      <c r="G1452">
        <v>1501</v>
      </c>
    </row>
    <row r="1453" spans="1:7" x14ac:dyDescent="0.35">
      <c r="A1453" s="2">
        <v>42347</v>
      </c>
      <c r="B1453" s="93" t="s">
        <v>105</v>
      </c>
      <c r="C1453" t="s">
        <v>104</v>
      </c>
      <c r="D1453" t="s">
        <v>9</v>
      </c>
      <c r="E1453" t="s">
        <v>10</v>
      </c>
      <c r="F1453" t="s">
        <v>105</v>
      </c>
      <c r="G1453">
        <v>1502</v>
      </c>
    </row>
    <row r="1454" spans="1:7" x14ac:dyDescent="0.35">
      <c r="A1454" s="2">
        <v>42349</v>
      </c>
      <c r="B1454" s="93" t="s">
        <v>105</v>
      </c>
      <c r="C1454" t="s">
        <v>104</v>
      </c>
      <c r="D1454" t="s">
        <v>69</v>
      </c>
      <c r="E1454" t="s">
        <v>74</v>
      </c>
      <c r="F1454" t="s">
        <v>82</v>
      </c>
      <c r="G1454">
        <v>1528</v>
      </c>
    </row>
    <row r="1455" spans="1:7" x14ac:dyDescent="0.35">
      <c r="A1455" s="2">
        <v>42349</v>
      </c>
      <c r="B1455" s="93" t="s">
        <v>105</v>
      </c>
      <c r="C1455" t="s">
        <v>104</v>
      </c>
      <c r="D1455" t="s">
        <v>69</v>
      </c>
      <c r="E1455" t="s">
        <v>74</v>
      </c>
      <c r="F1455" t="s">
        <v>82</v>
      </c>
      <c r="G1455">
        <v>1529</v>
      </c>
    </row>
    <row r="1456" spans="1:7" x14ac:dyDescent="0.35">
      <c r="A1456" s="2">
        <v>42349</v>
      </c>
      <c r="B1456" s="93" t="s">
        <v>105</v>
      </c>
      <c r="C1456" t="s">
        <v>104</v>
      </c>
      <c r="D1456" t="s">
        <v>60</v>
      </c>
      <c r="E1456" t="s">
        <v>74</v>
      </c>
      <c r="F1456" t="s">
        <v>82</v>
      </c>
      <c r="G1456">
        <v>1536</v>
      </c>
    </row>
    <row r="1457" spans="1:7" x14ac:dyDescent="0.35">
      <c r="A1457" s="2">
        <v>42349</v>
      </c>
      <c r="B1457" s="93" t="s">
        <v>105</v>
      </c>
      <c r="C1457" t="s">
        <v>104</v>
      </c>
      <c r="D1457" t="s">
        <v>60</v>
      </c>
      <c r="E1457" t="s">
        <v>74</v>
      </c>
      <c r="F1457" t="s">
        <v>82</v>
      </c>
      <c r="G1457">
        <v>1537</v>
      </c>
    </row>
    <row r="1458" spans="1:7" x14ac:dyDescent="0.35">
      <c r="A1458" s="2">
        <v>42349</v>
      </c>
      <c r="B1458" s="93" t="s">
        <v>105</v>
      </c>
      <c r="C1458" t="s">
        <v>104</v>
      </c>
      <c r="D1458" t="s">
        <v>69</v>
      </c>
      <c r="E1458" t="s">
        <v>10</v>
      </c>
      <c r="F1458" t="s">
        <v>105</v>
      </c>
      <c r="G1458">
        <v>1527</v>
      </c>
    </row>
    <row r="1459" spans="1:7" x14ac:dyDescent="0.35">
      <c r="A1459" s="2">
        <v>42349</v>
      </c>
      <c r="B1459" s="93" t="s">
        <v>105</v>
      </c>
      <c r="C1459" t="s">
        <v>104</v>
      </c>
      <c r="D1459" t="s">
        <v>60</v>
      </c>
      <c r="E1459" t="s">
        <v>10</v>
      </c>
      <c r="F1459" t="s">
        <v>105</v>
      </c>
      <c r="G1459">
        <v>1533</v>
      </c>
    </row>
    <row r="1460" spans="1:7" x14ac:dyDescent="0.35">
      <c r="A1460" s="2">
        <v>42349</v>
      </c>
      <c r="B1460" s="93" t="s">
        <v>105</v>
      </c>
      <c r="C1460" t="s">
        <v>104</v>
      </c>
      <c r="D1460" t="s">
        <v>60</v>
      </c>
      <c r="E1460" t="s">
        <v>10</v>
      </c>
      <c r="F1460" t="s">
        <v>105</v>
      </c>
      <c r="G1460">
        <v>1534</v>
      </c>
    </row>
    <row r="1461" spans="1:7" x14ac:dyDescent="0.35">
      <c r="A1461" s="2">
        <v>42349</v>
      </c>
      <c r="B1461" s="93" t="s">
        <v>105</v>
      </c>
      <c r="C1461" t="s">
        <v>104</v>
      </c>
      <c r="D1461" t="s">
        <v>60</v>
      </c>
      <c r="E1461" t="s">
        <v>10</v>
      </c>
      <c r="F1461" t="s">
        <v>105</v>
      </c>
      <c r="G1461">
        <v>1535</v>
      </c>
    </row>
    <row r="1462" spans="1:7" x14ac:dyDescent="0.35">
      <c r="A1462" s="2"/>
    </row>
  </sheetData>
  <autoFilter ref="A1:P1462" xr:uid="{00000000-0001-0000-0300-000000000000}">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autoFilter>
  <sortState xmlns:xlrd2="http://schemas.microsoft.com/office/spreadsheetml/2017/richdata2" ref="A1428:G1461">
    <sortCondition ref="A1428:A1461"/>
    <sortCondition ref="E1428:E1461"/>
    <sortCondition ref="D1428:D1461"/>
  </sortState>
  <mergeCells count="1">
    <mergeCell ref="A1:P1"/>
  </mergeCells>
  <pageMargins left="0.7" right="0.7" top="0.75" bottom="0.75" header="0.3" footer="0.3"/>
  <pageSetup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7"/>
  <sheetViews>
    <sheetView topLeftCell="A48" zoomScale="90" zoomScaleNormal="90" workbookViewId="0">
      <selection activeCell="G32" sqref="G32"/>
    </sheetView>
  </sheetViews>
  <sheetFormatPr defaultRowHeight="14.5" x14ac:dyDescent="0.35"/>
  <cols>
    <col min="1" max="1" width="14" customWidth="1"/>
    <col min="4" max="4" width="17.81640625" customWidth="1"/>
  </cols>
  <sheetData>
    <row r="1" spans="1:7" ht="29" x14ac:dyDescent="0.35">
      <c r="A1" s="1" t="s">
        <v>143</v>
      </c>
      <c r="B1" s="1" t="s">
        <v>1095</v>
      </c>
      <c r="C1" s="1" t="s">
        <v>2</v>
      </c>
      <c r="D1" s="1" t="s">
        <v>1</v>
      </c>
      <c r="E1" s="1" t="s">
        <v>133</v>
      </c>
      <c r="F1" s="1" t="s">
        <v>2200</v>
      </c>
      <c r="G1" s="3" t="s">
        <v>6</v>
      </c>
    </row>
    <row r="2" spans="1:7" x14ac:dyDescent="0.35">
      <c r="A2" s="2">
        <v>42293</v>
      </c>
      <c r="B2" s="93" t="s">
        <v>105</v>
      </c>
      <c r="C2" t="s">
        <v>8</v>
      </c>
      <c r="D2" t="s">
        <v>2341</v>
      </c>
      <c r="E2" t="s">
        <v>2202</v>
      </c>
      <c r="F2">
        <f>145-21-21-21</f>
        <v>82</v>
      </c>
      <c r="G2">
        <v>1101</v>
      </c>
    </row>
    <row r="3" spans="1:7" x14ac:dyDescent="0.35">
      <c r="A3" s="2">
        <v>42293</v>
      </c>
      <c r="B3" s="93" t="s">
        <v>105</v>
      </c>
      <c r="C3" t="s">
        <v>8</v>
      </c>
      <c r="D3" t="s">
        <v>2341</v>
      </c>
      <c r="E3" t="s">
        <v>2202</v>
      </c>
      <c r="F3">
        <f t="shared" ref="F3:F4" si="0">145-21-21-21</f>
        <v>82</v>
      </c>
      <c r="G3">
        <v>1102</v>
      </c>
    </row>
    <row r="4" spans="1:7" x14ac:dyDescent="0.35">
      <c r="A4" s="2">
        <v>42293</v>
      </c>
      <c r="B4" s="93" t="s">
        <v>105</v>
      </c>
      <c r="C4" t="s">
        <v>8</v>
      </c>
      <c r="D4" t="s">
        <v>2341</v>
      </c>
      <c r="E4" t="s">
        <v>2202</v>
      </c>
      <c r="F4">
        <f t="shared" si="0"/>
        <v>82</v>
      </c>
      <c r="G4">
        <v>1103</v>
      </c>
    </row>
    <row r="5" spans="1:7" x14ac:dyDescent="0.35">
      <c r="A5" s="2">
        <v>42293</v>
      </c>
      <c r="B5" s="93" t="s">
        <v>105</v>
      </c>
      <c r="C5" t="s">
        <v>8</v>
      </c>
      <c r="D5" t="s">
        <v>2340</v>
      </c>
      <c r="E5" t="s">
        <v>2202</v>
      </c>
      <c r="F5">
        <f>281-21-21-21</f>
        <v>218</v>
      </c>
      <c r="G5">
        <v>1104</v>
      </c>
    </row>
    <row r="6" spans="1:7" x14ac:dyDescent="0.35">
      <c r="A6" s="2">
        <v>42293</v>
      </c>
      <c r="B6" s="93" t="s">
        <v>105</v>
      </c>
      <c r="C6" t="s">
        <v>8</v>
      </c>
      <c r="D6" t="s">
        <v>2340</v>
      </c>
      <c r="E6" t="s">
        <v>2202</v>
      </c>
      <c r="F6">
        <f>281-21-21-21</f>
        <v>218</v>
      </c>
      <c r="G6">
        <v>1105</v>
      </c>
    </row>
    <row r="7" spans="1:7" x14ac:dyDescent="0.35">
      <c r="A7" s="2">
        <v>42293</v>
      </c>
      <c r="B7" s="93" t="s">
        <v>105</v>
      </c>
      <c r="C7" t="s">
        <v>8</v>
      </c>
      <c r="D7" t="s">
        <v>2340</v>
      </c>
      <c r="E7" t="s">
        <v>2202</v>
      </c>
      <c r="F7">
        <f>281-21-21-21</f>
        <v>218</v>
      </c>
      <c r="G7">
        <v>1106</v>
      </c>
    </row>
    <row r="8" spans="1:7" x14ac:dyDescent="0.35">
      <c r="A8" s="2">
        <v>42298</v>
      </c>
      <c r="B8" s="93" t="s">
        <v>105</v>
      </c>
      <c r="C8" t="s">
        <v>8</v>
      </c>
      <c r="D8" t="s">
        <v>2340</v>
      </c>
      <c r="E8" t="s">
        <v>2201</v>
      </c>
      <c r="F8">
        <f>140+6+21+21+21</f>
        <v>209</v>
      </c>
      <c r="G8">
        <v>1166</v>
      </c>
    </row>
    <row r="9" spans="1:7" x14ac:dyDescent="0.35">
      <c r="A9" s="2">
        <v>42298</v>
      </c>
      <c r="B9" s="93" t="s">
        <v>105</v>
      </c>
      <c r="C9" t="s">
        <v>8</v>
      </c>
      <c r="D9" t="s">
        <v>2340</v>
      </c>
      <c r="E9" t="s">
        <v>2201</v>
      </c>
      <c r="F9">
        <f>140+6+21+21+21</f>
        <v>209</v>
      </c>
      <c r="G9">
        <v>1167</v>
      </c>
    </row>
    <row r="10" spans="1:7" x14ac:dyDescent="0.35">
      <c r="A10" s="2">
        <v>42298</v>
      </c>
      <c r="B10" s="93" t="s">
        <v>105</v>
      </c>
      <c r="C10" t="s">
        <v>8</v>
      </c>
      <c r="D10" t="s">
        <v>2340</v>
      </c>
      <c r="E10" t="s">
        <v>2201</v>
      </c>
      <c r="F10">
        <f>140+6+21+21+21</f>
        <v>209</v>
      </c>
      <c r="G10">
        <v>1168</v>
      </c>
    </row>
    <row r="11" spans="1:7" x14ac:dyDescent="0.35">
      <c r="A11" s="2">
        <v>42298</v>
      </c>
      <c r="B11" s="93" t="s">
        <v>105</v>
      </c>
      <c r="C11" t="s">
        <v>8</v>
      </c>
      <c r="D11" t="s">
        <v>2340</v>
      </c>
      <c r="E11" t="s">
        <v>2202</v>
      </c>
      <c r="F11">
        <f>420-22-22-22</f>
        <v>354</v>
      </c>
      <c r="G11">
        <v>1169</v>
      </c>
    </row>
    <row r="12" spans="1:7" x14ac:dyDescent="0.35">
      <c r="A12" s="2">
        <v>42298</v>
      </c>
      <c r="B12" s="93" t="s">
        <v>105</v>
      </c>
      <c r="C12" t="s">
        <v>8</v>
      </c>
      <c r="D12" t="s">
        <v>2340</v>
      </c>
      <c r="E12" t="s">
        <v>2202</v>
      </c>
      <c r="F12">
        <f>420-22-22-22</f>
        <v>354</v>
      </c>
      <c r="G12">
        <v>1170</v>
      </c>
    </row>
    <row r="13" spans="1:7" x14ac:dyDescent="0.35">
      <c r="A13" s="2">
        <v>42298</v>
      </c>
      <c r="B13" s="93" t="s">
        <v>105</v>
      </c>
      <c r="C13" t="s">
        <v>8</v>
      </c>
      <c r="D13" t="s">
        <v>2340</v>
      </c>
      <c r="E13" t="s">
        <v>2202</v>
      </c>
      <c r="F13">
        <f>420-22-22-22</f>
        <v>354</v>
      </c>
      <c r="G13">
        <v>1171</v>
      </c>
    </row>
    <row r="14" spans="1:7" x14ac:dyDescent="0.35">
      <c r="A14" s="2">
        <v>42298</v>
      </c>
      <c r="B14" s="93" t="s">
        <v>105</v>
      </c>
      <c r="C14" t="s">
        <v>8</v>
      </c>
      <c r="D14" t="s">
        <v>2341</v>
      </c>
      <c r="E14" t="s">
        <v>2201</v>
      </c>
      <c r="F14">
        <f>21+21+20</f>
        <v>62</v>
      </c>
      <c r="G14">
        <v>1172</v>
      </c>
    </row>
    <row r="15" spans="1:7" x14ac:dyDescent="0.35">
      <c r="A15" s="2">
        <v>42298</v>
      </c>
      <c r="B15" s="93" t="s">
        <v>105</v>
      </c>
      <c r="C15" t="s">
        <v>8</v>
      </c>
      <c r="D15" t="s">
        <v>2341</v>
      </c>
      <c r="E15" t="s">
        <v>2201</v>
      </c>
      <c r="F15">
        <f t="shared" ref="F15:F16" si="1">21+21+20</f>
        <v>62</v>
      </c>
      <c r="G15">
        <v>1173</v>
      </c>
    </row>
    <row r="16" spans="1:7" x14ac:dyDescent="0.35">
      <c r="A16" s="2">
        <v>42298</v>
      </c>
      <c r="B16" s="93" t="s">
        <v>105</v>
      </c>
      <c r="C16" t="s">
        <v>8</v>
      </c>
      <c r="D16" t="s">
        <v>2341</v>
      </c>
      <c r="E16" t="s">
        <v>2201</v>
      </c>
      <c r="F16">
        <f t="shared" si="1"/>
        <v>62</v>
      </c>
      <c r="G16">
        <v>1174</v>
      </c>
    </row>
    <row r="17" spans="1:7" x14ac:dyDescent="0.35">
      <c r="A17" s="2">
        <v>42298</v>
      </c>
      <c r="B17" s="93" t="s">
        <v>105</v>
      </c>
      <c r="C17" t="s">
        <v>8</v>
      </c>
      <c r="D17" t="s">
        <v>2341</v>
      </c>
      <c r="E17" t="s">
        <v>2202</v>
      </c>
      <c r="F17">
        <f>280-25-25-25</f>
        <v>205</v>
      </c>
      <c r="G17">
        <v>1175</v>
      </c>
    </row>
    <row r="18" spans="1:7" x14ac:dyDescent="0.35">
      <c r="A18" s="2">
        <v>42298</v>
      </c>
      <c r="B18" s="93" t="s">
        <v>105</v>
      </c>
      <c r="C18" t="s">
        <v>8</v>
      </c>
      <c r="D18" t="s">
        <v>2341</v>
      </c>
      <c r="E18" t="s">
        <v>2202</v>
      </c>
      <c r="F18">
        <f t="shared" ref="F18:F19" si="2">280-25-25-25</f>
        <v>205</v>
      </c>
      <c r="G18">
        <v>1176</v>
      </c>
    </row>
    <row r="19" spans="1:7" x14ac:dyDescent="0.35">
      <c r="A19" s="2">
        <v>42298</v>
      </c>
      <c r="B19" s="93" t="s">
        <v>105</v>
      </c>
      <c r="C19" t="s">
        <v>8</v>
      </c>
      <c r="D19" t="s">
        <v>2341</v>
      </c>
      <c r="E19" t="s">
        <v>2202</v>
      </c>
      <c r="F19">
        <f t="shared" si="2"/>
        <v>205</v>
      </c>
      <c r="G19">
        <v>1177</v>
      </c>
    </row>
    <row r="20" spans="1:7" x14ac:dyDescent="0.35">
      <c r="A20" s="2">
        <v>42307</v>
      </c>
      <c r="B20" s="93" t="s">
        <v>105</v>
      </c>
      <c r="C20" t="s">
        <v>8</v>
      </c>
      <c r="D20" t="s">
        <v>2340</v>
      </c>
      <c r="E20" t="s">
        <v>2201</v>
      </c>
      <c r="F20">
        <f>28+28+27+140+50+10</f>
        <v>283</v>
      </c>
      <c r="G20">
        <v>1232</v>
      </c>
    </row>
    <row r="21" spans="1:7" x14ac:dyDescent="0.35">
      <c r="A21" s="2">
        <v>42307</v>
      </c>
      <c r="B21" s="93" t="s">
        <v>105</v>
      </c>
      <c r="C21" t="s">
        <v>8</v>
      </c>
      <c r="D21" t="s">
        <v>2340</v>
      </c>
      <c r="E21" t="s">
        <v>2201</v>
      </c>
      <c r="F21">
        <f>28+28+27+140+50+10</f>
        <v>283</v>
      </c>
      <c r="G21">
        <v>1233</v>
      </c>
    </row>
    <row r="22" spans="1:7" x14ac:dyDescent="0.35">
      <c r="A22" s="2">
        <v>42307</v>
      </c>
      <c r="B22" s="93" t="s">
        <v>105</v>
      </c>
      <c r="C22" t="s">
        <v>8</v>
      </c>
      <c r="D22" t="s">
        <v>2340</v>
      </c>
      <c r="E22" t="s">
        <v>2201</v>
      </c>
      <c r="F22">
        <f>28+28+27+140+50+10</f>
        <v>283</v>
      </c>
      <c r="G22">
        <v>1234</v>
      </c>
    </row>
    <row r="23" spans="1:7" x14ac:dyDescent="0.35">
      <c r="A23" s="2">
        <v>42307</v>
      </c>
      <c r="B23" s="93" t="s">
        <v>105</v>
      </c>
      <c r="C23" t="s">
        <v>8</v>
      </c>
      <c r="D23" t="s">
        <v>2340</v>
      </c>
      <c r="E23" t="s">
        <v>2202</v>
      </c>
      <c r="F23">
        <f>140+140+140-26-28-28</f>
        <v>338</v>
      </c>
      <c r="G23">
        <v>1235</v>
      </c>
    </row>
    <row r="24" spans="1:7" x14ac:dyDescent="0.35">
      <c r="A24" s="2">
        <v>42307</v>
      </c>
      <c r="B24" s="93" t="s">
        <v>105</v>
      </c>
      <c r="C24" t="s">
        <v>8</v>
      </c>
      <c r="D24" t="s">
        <v>2340</v>
      </c>
      <c r="E24" t="s">
        <v>2202</v>
      </c>
      <c r="F24">
        <f>140+140+140-26-28-28</f>
        <v>338</v>
      </c>
      <c r="G24">
        <v>1236</v>
      </c>
    </row>
    <row r="25" spans="1:7" x14ac:dyDescent="0.35">
      <c r="A25" s="2">
        <v>42307</v>
      </c>
      <c r="B25" s="93" t="s">
        <v>105</v>
      </c>
      <c r="C25" t="s">
        <v>8</v>
      </c>
      <c r="D25" t="s">
        <v>2340</v>
      </c>
      <c r="E25" t="s">
        <v>2202</v>
      </c>
      <c r="F25">
        <f>140+140+140-26-28-28</f>
        <v>338</v>
      </c>
      <c r="G25">
        <v>1237</v>
      </c>
    </row>
    <row r="26" spans="1:7" x14ac:dyDescent="0.35">
      <c r="A26" s="2">
        <v>42307</v>
      </c>
      <c r="B26" s="93" t="s">
        <v>105</v>
      </c>
      <c r="C26" t="s">
        <v>8</v>
      </c>
      <c r="D26" t="s">
        <v>2341</v>
      </c>
      <c r="E26" t="s">
        <v>2201</v>
      </c>
      <c r="F26">
        <f>28+28+27+90</f>
        <v>173</v>
      </c>
      <c r="G26">
        <v>1238</v>
      </c>
    </row>
    <row r="27" spans="1:7" x14ac:dyDescent="0.35">
      <c r="A27" s="2">
        <v>42307</v>
      </c>
      <c r="B27" s="93" t="s">
        <v>105</v>
      </c>
      <c r="C27" t="s">
        <v>8</v>
      </c>
      <c r="D27" t="s">
        <v>2341</v>
      </c>
      <c r="E27" t="s">
        <v>2201</v>
      </c>
      <c r="F27">
        <f>28+28+27+90</f>
        <v>173</v>
      </c>
      <c r="G27">
        <v>1239</v>
      </c>
    </row>
    <row r="28" spans="1:7" x14ac:dyDescent="0.35">
      <c r="A28" s="2">
        <v>42307</v>
      </c>
      <c r="B28" s="93" t="s">
        <v>105</v>
      </c>
      <c r="C28" t="s">
        <v>8</v>
      </c>
      <c r="D28" t="s">
        <v>2341</v>
      </c>
      <c r="E28" t="s">
        <v>2201</v>
      </c>
      <c r="F28">
        <f>28+28+27+90</f>
        <v>173</v>
      </c>
      <c r="G28">
        <v>1240</v>
      </c>
    </row>
    <row r="29" spans="1:7" x14ac:dyDescent="0.35">
      <c r="A29" s="2">
        <v>42307</v>
      </c>
      <c r="B29" s="93" t="s">
        <v>105</v>
      </c>
      <c r="C29" t="s">
        <v>8</v>
      </c>
      <c r="D29" t="s">
        <v>2341</v>
      </c>
      <c r="E29" t="s">
        <v>2202</v>
      </c>
      <c r="F29">
        <f>140+140-24-23-23</f>
        <v>210</v>
      </c>
      <c r="G29">
        <v>1241</v>
      </c>
    </row>
    <row r="30" spans="1:7" x14ac:dyDescent="0.35">
      <c r="A30" s="2">
        <v>42307</v>
      </c>
      <c r="B30" s="93" t="s">
        <v>105</v>
      </c>
      <c r="C30" t="s">
        <v>8</v>
      </c>
      <c r="D30" t="s">
        <v>2341</v>
      </c>
      <c r="E30" t="s">
        <v>2202</v>
      </c>
      <c r="F30">
        <f t="shared" ref="F30:F31" si="3">140+140-24-23-23</f>
        <v>210</v>
      </c>
      <c r="G30">
        <v>1242</v>
      </c>
    </row>
    <row r="31" spans="1:7" x14ac:dyDescent="0.35">
      <c r="A31" s="2">
        <v>42307</v>
      </c>
      <c r="B31" s="93" t="s">
        <v>105</v>
      </c>
      <c r="C31" t="s">
        <v>8</v>
      </c>
      <c r="D31" t="s">
        <v>2341</v>
      </c>
      <c r="E31" t="s">
        <v>2202</v>
      </c>
      <c r="F31">
        <f t="shared" si="3"/>
        <v>210</v>
      </c>
      <c r="G31">
        <v>1243</v>
      </c>
    </row>
    <row r="32" spans="1:7" x14ac:dyDescent="0.35">
      <c r="A32" s="2">
        <v>42313</v>
      </c>
      <c r="B32" s="93" t="s">
        <v>105</v>
      </c>
      <c r="C32" t="s">
        <v>8</v>
      </c>
      <c r="D32" t="s">
        <v>2340</v>
      </c>
      <c r="E32" t="s">
        <v>2201</v>
      </c>
      <c r="F32">
        <f>26+26+26+140+85</f>
        <v>303</v>
      </c>
      <c r="G32">
        <v>1268</v>
      </c>
    </row>
    <row r="33" spans="1:7" x14ac:dyDescent="0.35">
      <c r="A33" s="2">
        <v>42313</v>
      </c>
      <c r="B33" s="93" t="s">
        <v>105</v>
      </c>
      <c r="C33" t="s">
        <v>8</v>
      </c>
      <c r="D33" t="s">
        <v>2340</v>
      </c>
      <c r="E33" t="s">
        <v>2201</v>
      </c>
      <c r="F33">
        <f>26+26+26+140+85</f>
        <v>303</v>
      </c>
      <c r="G33">
        <v>1269</v>
      </c>
    </row>
    <row r="34" spans="1:7" x14ac:dyDescent="0.35">
      <c r="A34" s="2">
        <v>42313</v>
      </c>
      <c r="B34" s="93" t="s">
        <v>105</v>
      </c>
      <c r="C34" t="s">
        <v>8</v>
      </c>
      <c r="D34" t="s">
        <v>2340</v>
      </c>
      <c r="E34" t="s">
        <v>2201</v>
      </c>
      <c r="F34">
        <f>26+26+26+140+85</f>
        <v>303</v>
      </c>
      <c r="G34">
        <v>1270</v>
      </c>
    </row>
    <row r="35" spans="1:7" x14ac:dyDescent="0.35">
      <c r="A35" s="2">
        <v>42313</v>
      </c>
      <c r="B35" s="93" t="s">
        <v>105</v>
      </c>
      <c r="C35" t="s">
        <v>8</v>
      </c>
      <c r="D35" t="s">
        <v>2340</v>
      </c>
      <c r="E35" t="s">
        <v>2202</v>
      </c>
      <c r="F35">
        <f>420-23-23-22</f>
        <v>352</v>
      </c>
      <c r="G35">
        <v>1271</v>
      </c>
    </row>
    <row r="36" spans="1:7" x14ac:dyDescent="0.35">
      <c r="A36" s="2">
        <v>42313</v>
      </c>
      <c r="B36" s="93" t="s">
        <v>105</v>
      </c>
      <c r="C36" t="s">
        <v>8</v>
      </c>
      <c r="D36" t="s">
        <v>2340</v>
      </c>
      <c r="E36" t="s">
        <v>2202</v>
      </c>
      <c r="F36">
        <f t="shared" ref="F36:F37" si="4">420-23-23-22</f>
        <v>352</v>
      </c>
      <c r="G36">
        <v>1272</v>
      </c>
    </row>
    <row r="37" spans="1:7" x14ac:dyDescent="0.35">
      <c r="A37" s="2">
        <v>42313</v>
      </c>
      <c r="B37" s="93" t="s">
        <v>105</v>
      </c>
      <c r="C37" t="s">
        <v>8</v>
      </c>
      <c r="D37" t="s">
        <v>2340</v>
      </c>
      <c r="E37" t="s">
        <v>2202</v>
      </c>
      <c r="F37">
        <f t="shared" si="4"/>
        <v>352</v>
      </c>
      <c r="G37">
        <v>1273</v>
      </c>
    </row>
    <row r="38" spans="1:7" x14ac:dyDescent="0.35">
      <c r="A38" s="2">
        <v>42313</v>
      </c>
      <c r="B38" s="93" t="s">
        <v>105</v>
      </c>
      <c r="C38" t="s">
        <v>8</v>
      </c>
      <c r="D38" t="s">
        <v>2341</v>
      </c>
      <c r="E38" t="s">
        <v>2201</v>
      </c>
      <c r="F38">
        <f>25+25+24+103</f>
        <v>177</v>
      </c>
      <c r="G38">
        <v>1274</v>
      </c>
    </row>
    <row r="39" spans="1:7" x14ac:dyDescent="0.35">
      <c r="A39" s="2">
        <v>42313</v>
      </c>
      <c r="B39" s="93" t="s">
        <v>105</v>
      </c>
      <c r="C39" t="s">
        <v>8</v>
      </c>
      <c r="D39" t="s">
        <v>2341</v>
      </c>
      <c r="E39" t="s">
        <v>2201</v>
      </c>
      <c r="F39">
        <f>25+25+24+103</f>
        <v>177</v>
      </c>
      <c r="G39">
        <v>1275</v>
      </c>
    </row>
    <row r="40" spans="1:7" x14ac:dyDescent="0.35">
      <c r="A40" s="2">
        <v>42313</v>
      </c>
      <c r="B40" s="93" t="s">
        <v>105</v>
      </c>
      <c r="C40" t="s">
        <v>8</v>
      </c>
      <c r="D40" t="s">
        <v>2341</v>
      </c>
      <c r="E40" t="s">
        <v>2201</v>
      </c>
      <c r="F40">
        <f>25+25+24+103</f>
        <v>177</v>
      </c>
      <c r="G40">
        <v>1276</v>
      </c>
    </row>
    <row r="41" spans="1:7" x14ac:dyDescent="0.35">
      <c r="A41" s="2">
        <v>42313</v>
      </c>
      <c r="B41" s="93" t="s">
        <v>105</v>
      </c>
      <c r="C41" t="s">
        <v>8</v>
      </c>
      <c r="D41" t="s">
        <v>2341</v>
      </c>
      <c r="E41" t="s">
        <v>2202</v>
      </c>
      <c r="F41">
        <f>280-22-23-23</f>
        <v>212</v>
      </c>
      <c r="G41">
        <v>1277</v>
      </c>
    </row>
    <row r="42" spans="1:7" x14ac:dyDescent="0.35">
      <c r="A42" s="2">
        <v>42313</v>
      </c>
      <c r="B42" s="93" t="s">
        <v>105</v>
      </c>
      <c r="C42" t="s">
        <v>8</v>
      </c>
      <c r="D42" t="s">
        <v>2341</v>
      </c>
      <c r="E42" t="s">
        <v>2202</v>
      </c>
      <c r="F42">
        <f t="shared" ref="F42:F43" si="5">280-22-23-23</f>
        <v>212</v>
      </c>
      <c r="G42">
        <v>1278</v>
      </c>
    </row>
    <row r="43" spans="1:7" x14ac:dyDescent="0.35">
      <c r="A43" s="2">
        <v>42313</v>
      </c>
      <c r="B43" s="93" t="s">
        <v>105</v>
      </c>
      <c r="C43" t="s">
        <v>8</v>
      </c>
      <c r="D43" t="s">
        <v>2341</v>
      </c>
      <c r="E43" t="s">
        <v>2202</v>
      </c>
      <c r="F43">
        <f t="shared" si="5"/>
        <v>212</v>
      </c>
      <c r="G43">
        <v>1279</v>
      </c>
    </row>
    <row r="44" spans="1:7" x14ac:dyDescent="0.35">
      <c r="A44" s="2">
        <v>42320</v>
      </c>
      <c r="B44" s="93" t="s">
        <v>105</v>
      </c>
      <c r="C44" t="s">
        <v>8</v>
      </c>
      <c r="D44" t="s">
        <v>2340</v>
      </c>
      <c r="E44" t="s">
        <v>2201</v>
      </c>
      <c r="F44">
        <f>140+55+26+27+26</f>
        <v>274</v>
      </c>
      <c r="G44">
        <v>1336</v>
      </c>
    </row>
    <row r="45" spans="1:7" x14ac:dyDescent="0.35">
      <c r="A45" s="2">
        <v>42320</v>
      </c>
      <c r="B45" s="93" t="s">
        <v>105</v>
      </c>
      <c r="C45" t="s">
        <v>8</v>
      </c>
      <c r="D45" t="s">
        <v>2340</v>
      </c>
      <c r="E45" t="s">
        <v>2201</v>
      </c>
      <c r="F45">
        <f t="shared" ref="F45:F46" si="6">140+55+26+27+26</f>
        <v>274</v>
      </c>
      <c r="G45">
        <v>1337</v>
      </c>
    </row>
    <row r="46" spans="1:7" x14ac:dyDescent="0.35">
      <c r="A46" s="2">
        <v>42320</v>
      </c>
      <c r="B46" s="93" t="s">
        <v>105</v>
      </c>
      <c r="C46" t="s">
        <v>8</v>
      </c>
      <c r="D46" t="s">
        <v>2340</v>
      </c>
      <c r="E46" t="s">
        <v>2201</v>
      </c>
      <c r="F46">
        <f t="shared" si="6"/>
        <v>274</v>
      </c>
      <c r="G46">
        <v>1338</v>
      </c>
    </row>
    <row r="47" spans="1:7" x14ac:dyDescent="0.35">
      <c r="A47" s="2">
        <v>42320</v>
      </c>
      <c r="B47" s="93" t="s">
        <v>105</v>
      </c>
      <c r="C47" t="s">
        <v>8</v>
      </c>
      <c r="D47" t="s">
        <v>2341</v>
      </c>
      <c r="E47" t="s">
        <v>2201</v>
      </c>
      <c r="F47">
        <f>105+26+27+28</f>
        <v>186</v>
      </c>
      <c r="G47">
        <v>1339</v>
      </c>
    </row>
    <row r="48" spans="1:7" x14ac:dyDescent="0.35">
      <c r="A48" s="2">
        <v>42320</v>
      </c>
      <c r="B48" s="93" t="s">
        <v>105</v>
      </c>
      <c r="C48" t="s">
        <v>8</v>
      </c>
      <c r="D48" t="s">
        <v>2341</v>
      </c>
      <c r="E48" t="s">
        <v>2201</v>
      </c>
      <c r="F48">
        <f t="shared" ref="F48:F49" si="7">105+26+27+28</f>
        <v>186</v>
      </c>
      <c r="G48">
        <v>1340</v>
      </c>
    </row>
    <row r="49" spans="1:7" x14ac:dyDescent="0.35">
      <c r="A49" s="2">
        <v>42320</v>
      </c>
      <c r="B49" s="93" t="s">
        <v>105</v>
      </c>
      <c r="C49" t="s">
        <v>8</v>
      </c>
      <c r="D49" t="s">
        <v>2341</v>
      </c>
      <c r="E49" t="s">
        <v>2201</v>
      </c>
      <c r="F49">
        <f t="shared" si="7"/>
        <v>186</v>
      </c>
      <c r="G49">
        <v>1341</v>
      </c>
    </row>
    <row r="50" spans="1:7" x14ac:dyDescent="0.35">
      <c r="A50" s="2">
        <v>42328</v>
      </c>
      <c r="B50" s="93" t="s">
        <v>105</v>
      </c>
      <c r="C50" t="s">
        <v>8</v>
      </c>
      <c r="D50" t="s">
        <v>2340</v>
      </c>
      <c r="E50" t="s">
        <v>2202</v>
      </c>
      <c r="F50">
        <f>(140*3)-23-23-22</f>
        <v>352</v>
      </c>
      <c r="G50">
        <v>1391</v>
      </c>
    </row>
    <row r="51" spans="1:7" x14ac:dyDescent="0.35">
      <c r="A51" s="2">
        <v>42328</v>
      </c>
      <c r="B51" s="93" t="s">
        <v>105</v>
      </c>
      <c r="C51" t="s">
        <v>8</v>
      </c>
      <c r="D51" t="s">
        <v>2340</v>
      </c>
      <c r="E51" t="s">
        <v>2202</v>
      </c>
      <c r="F51">
        <f>(140*3)-23-23-22</f>
        <v>352</v>
      </c>
      <c r="G51">
        <v>1392</v>
      </c>
    </row>
    <row r="52" spans="1:7" x14ac:dyDescent="0.35">
      <c r="A52" s="2">
        <v>42328</v>
      </c>
      <c r="B52" s="93" t="s">
        <v>105</v>
      </c>
      <c r="C52" t="s">
        <v>8</v>
      </c>
      <c r="D52" t="s">
        <v>2340</v>
      </c>
      <c r="E52" t="s">
        <v>2202</v>
      </c>
      <c r="F52">
        <f>(140*3)-23-23-22</f>
        <v>352</v>
      </c>
      <c r="G52">
        <v>1393</v>
      </c>
    </row>
    <row r="53" spans="1:7" x14ac:dyDescent="0.35">
      <c r="A53" s="2">
        <v>42328</v>
      </c>
      <c r="B53" s="93" t="s">
        <v>105</v>
      </c>
      <c r="C53" t="s">
        <v>8</v>
      </c>
      <c r="D53" t="s">
        <v>2341</v>
      </c>
      <c r="E53" t="s">
        <v>2202</v>
      </c>
      <c r="F53">
        <f>280-24-24-23</f>
        <v>209</v>
      </c>
      <c r="G53">
        <v>1394</v>
      </c>
    </row>
    <row r="54" spans="1:7" x14ac:dyDescent="0.35">
      <c r="A54" s="2">
        <v>42328</v>
      </c>
      <c r="B54" s="93" t="s">
        <v>105</v>
      </c>
      <c r="C54" t="s">
        <v>8</v>
      </c>
      <c r="D54" t="s">
        <v>2341</v>
      </c>
      <c r="E54" t="s">
        <v>2202</v>
      </c>
      <c r="F54">
        <f>280-24-24-23</f>
        <v>209</v>
      </c>
      <c r="G54">
        <v>1395</v>
      </c>
    </row>
    <row r="55" spans="1:7" x14ac:dyDescent="0.35">
      <c r="A55" s="2">
        <v>42328</v>
      </c>
      <c r="B55" s="93" t="s">
        <v>105</v>
      </c>
      <c r="C55" t="s">
        <v>8</v>
      </c>
      <c r="D55" t="s">
        <v>2341</v>
      </c>
      <c r="E55" t="s">
        <v>2202</v>
      </c>
      <c r="F55">
        <f>280-24-24-23</f>
        <v>209</v>
      </c>
      <c r="G55">
        <v>1396</v>
      </c>
    </row>
    <row r="56" spans="1:7" x14ac:dyDescent="0.35">
      <c r="A56" s="2">
        <v>42333</v>
      </c>
      <c r="B56" s="93" t="s">
        <v>105</v>
      </c>
      <c r="C56" t="s">
        <v>8</v>
      </c>
      <c r="D56" t="s">
        <v>2340</v>
      </c>
      <c r="E56" t="s">
        <v>2201</v>
      </c>
      <c r="F56">
        <f>25+26+26+140+110</f>
        <v>327</v>
      </c>
      <c r="G56">
        <v>1443</v>
      </c>
    </row>
    <row r="57" spans="1:7" x14ac:dyDescent="0.35">
      <c r="A57" s="2">
        <v>42333</v>
      </c>
      <c r="B57" s="93" t="s">
        <v>105</v>
      </c>
      <c r="C57" t="s">
        <v>8</v>
      </c>
      <c r="D57" t="s">
        <v>2340</v>
      </c>
      <c r="E57" t="s">
        <v>2201</v>
      </c>
      <c r="F57">
        <f>25+26+26+140+110</f>
        <v>327</v>
      </c>
      <c r="G57">
        <v>1444</v>
      </c>
    </row>
    <row r="58" spans="1:7" x14ac:dyDescent="0.35">
      <c r="A58" s="2">
        <v>42333</v>
      </c>
      <c r="B58" s="93" t="s">
        <v>105</v>
      </c>
      <c r="C58" t="s">
        <v>8</v>
      </c>
      <c r="D58" t="s">
        <v>2340</v>
      </c>
      <c r="E58" t="s">
        <v>2201</v>
      </c>
      <c r="F58">
        <f>25+26+26+140+110</f>
        <v>327</v>
      </c>
      <c r="G58">
        <v>1445</v>
      </c>
    </row>
    <row r="59" spans="1:7" x14ac:dyDescent="0.35">
      <c r="A59" s="2">
        <v>42333</v>
      </c>
      <c r="B59" s="93" t="s">
        <v>105</v>
      </c>
      <c r="C59" t="s">
        <v>8</v>
      </c>
      <c r="D59" t="s">
        <v>2341</v>
      </c>
      <c r="E59" t="s">
        <v>2201</v>
      </c>
      <c r="F59">
        <f>28+25+26+100</f>
        <v>179</v>
      </c>
      <c r="G59">
        <v>1446</v>
      </c>
    </row>
    <row r="60" spans="1:7" x14ac:dyDescent="0.35">
      <c r="A60" s="2">
        <v>42333</v>
      </c>
      <c r="B60" s="93" t="s">
        <v>105</v>
      </c>
      <c r="C60" t="s">
        <v>8</v>
      </c>
      <c r="D60" t="s">
        <v>2341</v>
      </c>
      <c r="E60" t="s">
        <v>2201</v>
      </c>
      <c r="F60">
        <f>28+25+26+100</f>
        <v>179</v>
      </c>
      <c r="G60">
        <v>1447</v>
      </c>
    </row>
    <row r="61" spans="1:7" x14ac:dyDescent="0.35">
      <c r="A61" s="2">
        <v>42333</v>
      </c>
      <c r="B61" s="93" t="s">
        <v>105</v>
      </c>
      <c r="C61" t="s">
        <v>8</v>
      </c>
      <c r="D61" t="s">
        <v>2341</v>
      </c>
      <c r="E61" t="s">
        <v>2201</v>
      </c>
      <c r="F61">
        <f>28+25+26+100</f>
        <v>179</v>
      </c>
      <c r="G61">
        <v>1448</v>
      </c>
    </row>
    <row r="62" spans="1:7" x14ac:dyDescent="0.35">
      <c r="A62" s="2"/>
      <c r="B62" s="93"/>
    </row>
    <row r="63" spans="1:7" x14ac:dyDescent="0.35">
      <c r="A63" s="2"/>
      <c r="B63" s="93"/>
    </row>
    <row r="64" spans="1:7" x14ac:dyDescent="0.35">
      <c r="A64" s="2"/>
      <c r="B64" s="93"/>
    </row>
    <row r="65" spans="1:2" x14ac:dyDescent="0.35">
      <c r="A65" s="2"/>
      <c r="B65" s="93"/>
    </row>
    <row r="66" spans="1:2" x14ac:dyDescent="0.35">
      <c r="A66" s="2"/>
      <c r="B66" s="93"/>
    </row>
    <row r="67" spans="1:2" x14ac:dyDescent="0.35">
      <c r="A67" s="2"/>
      <c r="B67" s="93"/>
    </row>
  </sheetData>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1"/>
  <sheetViews>
    <sheetView workbookViewId="0"/>
  </sheetViews>
  <sheetFormatPr defaultRowHeight="14.5" x14ac:dyDescent="0.35"/>
  <sheetData>
    <row r="1" spans="1:1" x14ac:dyDescent="0.35">
      <c r="A1">
        <v>1</v>
      </c>
    </row>
    <row r="2" spans="1:1" x14ac:dyDescent="0.35">
      <c r="A2">
        <v>2</v>
      </c>
    </row>
    <row r="3" spans="1:1" x14ac:dyDescent="0.35">
      <c r="A3">
        <v>3</v>
      </c>
    </row>
    <row r="4" spans="1:1" x14ac:dyDescent="0.35">
      <c r="A4">
        <v>4</v>
      </c>
    </row>
    <row r="5" spans="1:1" x14ac:dyDescent="0.35">
      <c r="A5">
        <v>5</v>
      </c>
    </row>
    <row r="6" spans="1:1" x14ac:dyDescent="0.35">
      <c r="A6">
        <v>6</v>
      </c>
    </row>
    <row r="7" spans="1:1" x14ac:dyDescent="0.35">
      <c r="A7">
        <v>7</v>
      </c>
    </row>
    <row r="8" spans="1:1" x14ac:dyDescent="0.35">
      <c r="A8">
        <v>8</v>
      </c>
    </row>
    <row r="9" spans="1:1" x14ac:dyDescent="0.35">
      <c r="A9">
        <v>9</v>
      </c>
    </row>
    <row r="10" spans="1:1" x14ac:dyDescent="0.35">
      <c r="A10">
        <v>10</v>
      </c>
    </row>
    <row r="11" spans="1:1" x14ac:dyDescent="0.35">
      <c r="A11">
        <v>11</v>
      </c>
    </row>
    <row r="12" spans="1:1" x14ac:dyDescent="0.35">
      <c r="A12">
        <v>12</v>
      </c>
    </row>
    <row r="13" spans="1:1" x14ac:dyDescent="0.35">
      <c r="A13">
        <v>13</v>
      </c>
    </row>
    <row r="14" spans="1:1" x14ac:dyDescent="0.35">
      <c r="A14">
        <v>14</v>
      </c>
    </row>
    <row r="15" spans="1:1" x14ac:dyDescent="0.35">
      <c r="A15">
        <v>15</v>
      </c>
    </row>
    <row r="16" spans="1:1" x14ac:dyDescent="0.35">
      <c r="A16">
        <v>16</v>
      </c>
    </row>
    <row r="17" spans="1:1" x14ac:dyDescent="0.35">
      <c r="A17">
        <v>17</v>
      </c>
    </row>
    <row r="18" spans="1:1" x14ac:dyDescent="0.35">
      <c r="A18">
        <v>18</v>
      </c>
    </row>
    <row r="19" spans="1:1" x14ac:dyDescent="0.35">
      <c r="A19">
        <v>19</v>
      </c>
    </row>
    <row r="20" spans="1:1" x14ac:dyDescent="0.35">
      <c r="A20">
        <v>20</v>
      </c>
    </row>
    <row r="21" spans="1:1" x14ac:dyDescent="0.35">
      <c r="A21">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masterDataSheet</vt:lpstr>
      <vt:lpstr>sensorCalcs</vt:lpstr>
      <vt:lpstr>sondeData</vt:lpstr>
      <vt:lpstr>exetainerCodes</vt:lpstr>
      <vt:lpstr>controlTrap</vt:lpstr>
      <vt:lpstr>dropdownList</vt:lpstr>
      <vt:lpstr>circuitNumbers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Platz, Michelle</dc:creator>
  <cp:lastModifiedBy>Beaulieu, Jake</cp:lastModifiedBy>
  <cp:lastPrinted>2015-06-29T19:34:02Z</cp:lastPrinted>
  <dcterms:created xsi:type="dcterms:W3CDTF">2015-06-19T18:16:29Z</dcterms:created>
  <dcterms:modified xsi:type="dcterms:W3CDTF">2026-04-16T14:18:38Z</dcterms:modified>
</cp:coreProperties>
</file>