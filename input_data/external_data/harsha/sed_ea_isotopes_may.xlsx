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9"/>
  <workbookPr/>
  <mc:AlternateContent xmlns:mc="http://schemas.openxmlformats.org/markup-compatibility/2006">
    <mc:Choice Requires="x15">
      <x15ac:absPath xmlns:x15ac="http://schemas.microsoft.com/office/spreadsheetml/2010/11/ac" url="/Users/meganberberich/Dropbox/research_projects/Berberich_HarshaSedCH4_LimnolOcean_2018/data/May/raw/"/>
    </mc:Choice>
  </mc:AlternateContent>
  <xr:revisionPtr revIDLastSave="0" documentId="13_ncr:1_{884FC4D4-17F2-2C49-8722-DFB15FCEAA46}" xr6:coauthVersionLast="40" xr6:coauthVersionMax="40" xr10:uidLastSave="{00000000-0000-0000-0000-000000000000}"/>
  <bookViews>
    <workbookView xWindow="0" yWindow="460" windowWidth="28800" windowHeight="16100" tabRatio="500" xr2:uid="{00000000-000D-0000-FFFF-FFFF00000000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3" i="1" l="1"/>
  <c r="S3" i="1" s="1"/>
  <c r="P3" i="1"/>
  <c r="N4" i="1"/>
  <c r="S4" i="1" s="1"/>
  <c r="P4" i="1"/>
  <c r="N5" i="1"/>
  <c r="S5" i="1" s="1"/>
  <c r="P5" i="1"/>
  <c r="R5" i="1" s="1"/>
  <c r="N6" i="1"/>
  <c r="S6" i="1" s="1"/>
  <c r="P6" i="1"/>
  <c r="N7" i="1"/>
  <c r="P7" i="1"/>
  <c r="S7" i="1"/>
  <c r="N8" i="1"/>
  <c r="S8" i="1" s="1"/>
  <c r="P8" i="1"/>
  <c r="N9" i="1"/>
  <c r="P9" i="1"/>
  <c r="S9" i="1"/>
  <c r="N10" i="1"/>
  <c r="P10" i="1"/>
  <c r="S10" i="1"/>
  <c r="N11" i="1"/>
  <c r="S11" i="1" s="1"/>
  <c r="P11" i="1"/>
  <c r="N12" i="1"/>
  <c r="P12" i="1"/>
  <c r="S12" i="1"/>
  <c r="N13" i="1"/>
  <c r="S13" i="1" s="1"/>
  <c r="P13" i="1"/>
  <c r="R13" i="1" s="1"/>
  <c r="N14" i="1"/>
  <c r="S14" i="1" s="1"/>
  <c r="P14" i="1"/>
  <c r="N15" i="1"/>
  <c r="P15" i="1"/>
  <c r="S15" i="1"/>
  <c r="N16" i="1"/>
  <c r="S16" i="1" s="1"/>
  <c r="P16" i="1"/>
  <c r="N17" i="1"/>
  <c r="S17" i="1" s="1"/>
  <c r="P17" i="1"/>
  <c r="N18" i="1"/>
  <c r="P18" i="1"/>
  <c r="S18" i="1"/>
  <c r="N19" i="1"/>
  <c r="P19" i="1"/>
  <c r="S19" i="1"/>
  <c r="N20" i="1"/>
  <c r="P20" i="1"/>
  <c r="S20" i="1"/>
  <c r="N21" i="1"/>
  <c r="S21" i="1" s="1"/>
  <c r="P21" i="1"/>
  <c r="R21" i="1" s="1"/>
  <c r="N22" i="1"/>
  <c r="P22" i="1"/>
  <c r="S22" i="1"/>
  <c r="N23" i="1"/>
  <c r="P23" i="1"/>
  <c r="S23" i="1"/>
  <c r="N24" i="1"/>
  <c r="S24" i="1" s="1"/>
  <c r="P24" i="1"/>
  <c r="N25" i="1"/>
  <c r="S25" i="1" s="1"/>
  <c r="P25" i="1"/>
  <c r="N26" i="1"/>
  <c r="P26" i="1"/>
  <c r="S26" i="1"/>
  <c r="N27" i="1"/>
  <c r="S27" i="1" s="1"/>
  <c r="P27" i="1"/>
  <c r="N28" i="1"/>
  <c r="P28" i="1"/>
  <c r="S28" i="1"/>
  <c r="N29" i="1"/>
  <c r="S29" i="1" s="1"/>
  <c r="P29" i="1"/>
  <c r="R29" i="1" s="1"/>
  <c r="N30" i="1"/>
  <c r="S30" i="1" s="1"/>
  <c r="P30" i="1"/>
  <c r="N31" i="1"/>
  <c r="P31" i="1"/>
  <c r="S31" i="1"/>
  <c r="N32" i="1"/>
  <c r="S32" i="1" s="1"/>
  <c r="P32" i="1"/>
  <c r="N33" i="1"/>
  <c r="S33" i="1" s="1"/>
  <c r="P33" i="1"/>
  <c r="N34" i="1"/>
  <c r="P34" i="1"/>
  <c r="S34" i="1"/>
  <c r="N35" i="1"/>
  <c r="S35" i="1" s="1"/>
  <c r="P35" i="1"/>
  <c r="N36" i="1"/>
  <c r="P36" i="1"/>
  <c r="S36" i="1"/>
  <c r="N37" i="1"/>
  <c r="S37" i="1" s="1"/>
  <c r="P37" i="1"/>
  <c r="Q37" i="1" s="1"/>
  <c r="N38" i="1"/>
  <c r="S38" i="1" s="1"/>
  <c r="P38" i="1"/>
  <c r="N39" i="1"/>
  <c r="P39" i="1"/>
  <c r="S39" i="1"/>
  <c r="N40" i="1"/>
  <c r="S40" i="1" s="1"/>
  <c r="P40" i="1"/>
  <c r="N41" i="1"/>
  <c r="S41" i="1" s="1"/>
  <c r="P41" i="1"/>
  <c r="N42" i="1"/>
  <c r="P42" i="1"/>
  <c r="S42" i="1"/>
  <c r="N43" i="1"/>
  <c r="S43" i="1" s="1"/>
  <c r="P43" i="1"/>
  <c r="N44" i="1"/>
  <c r="P44" i="1"/>
  <c r="S44" i="1"/>
  <c r="N45" i="1"/>
  <c r="S45" i="1" s="1"/>
  <c r="P45" i="1"/>
  <c r="R45" i="1" s="1"/>
  <c r="N46" i="1"/>
  <c r="S46" i="1" s="1"/>
  <c r="P46" i="1"/>
  <c r="N47" i="1"/>
  <c r="P47" i="1"/>
  <c r="S47" i="1"/>
  <c r="N2" i="1"/>
  <c r="S2" i="1" s="1"/>
  <c r="P2" i="1"/>
  <c r="R3" i="1"/>
  <c r="R4" i="1"/>
  <c r="R6" i="1"/>
  <c r="R7" i="1"/>
  <c r="R8" i="1"/>
  <c r="R9" i="1"/>
  <c r="R10" i="1"/>
  <c r="R11" i="1"/>
  <c r="R12" i="1"/>
  <c r="R14" i="1"/>
  <c r="R15" i="1"/>
  <c r="R16" i="1"/>
  <c r="R17" i="1"/>
  <c r="R18" i="1"/>
  <c r="R19" i="1"/>
  <c r="R20" i="1"/>
  <c r="R22" i="1"/>
  <c r="R23" i="1"/>
  <c r="R24" i="1"/>
  <c r="R25" i="1"/>
  <c r="R26" i="1"/>
  <c r="R27" i="1"/>
  <c r="R28" i="1"/>
  <c r="R30" i="1"/>
  <c r="R31" i="1"/>
  <c r="R32" i="1"/>
  <c r="R33" i="1"/>
  <c r="R34" i="1"/>
  <c r="R35" i="1"/>
  <c r="R36" i="1"/>
  <c r="R38" i="1"/>
  <c r="R39" i="1"/>
  <c r="R40" i="1"/>
  <c r="R41" i="1"/>
  <c r="R42" i="1"/>
  <c r="R43" i="1"/>
  <c r="R44" i="1"/>
  <c r="R46" i="1"/>
  <c r="R47" i="1"/>
  <c r="R2" i="1"/>
  <c r="O15" i="1"/>
  <c r="Q15" i="1" s="1"/>
  <c r="O3" i="1"/>
  <c r="Q3" i="1" s="1"/>
  <c r="O4" i="1"/>
  <c r="Q4" i="1"/>
  <c r="O5" i="1"/>
  <c r="Q5" i="1"/>
  <c r="O6" i="1"/>
  <c r="Q6" i="1" s="1"/>
  <c r="O7" i="1"/>
  <c r="Q7" i="1" s="1"/>
  <c r="O8" i="1"/>
  <c r="Q8" i="1"/>
  <c r="O9" i="1"/>
  <c r="Q9" i="1"/>
  <c r="O10" i="1"/>
  <c r="Q10" i="1" s="1"/>
  <c r="O11" i="1"/>
  <c r="Q11" i="1" s="1"/>
  <c r="O12" i="1"/>
  <c r="Q12" i="1"/>
  <c r="O13" i="1"/>
  <c r="Q13" i="1"/>
  <c r="O14" i="1"/>
  <c r="Q14" i="1" s="1"/>
  <c r="O16" i="1"/>
  <c r="Q16" i="1" s="1"/>
  <c r="O17" i="1"/>
  <c r="Q17" i="1"/>
  <c r="O18" i="1"/>
  <c r="Q18" i="1"/>
  <c r="O19" i="1"/>
  <c r="Q19" i="1" s="1"/>
  <c r="O20" i="1"/>
  <c r="Q20" i="1" s="1"/>
  <c r="O21" i="1"/>
  <c r="O22" i="1"/>
  <c r="Q22" i="1"/>
  <c r="O23" i="1"/>
  <c r="Q23" i="1" s="1"/>
  <c r="O24" i="1"/>
  <c r="Q24" i="1" s="1"/>
  <c r="O25" i="1"/>
  <c r="Q25" i="1"/>
  <c r="O26" i="1"/>
  <c r="Q26" i="1"/>
  <c r="O27" i="1"/>
  <c r="Q27" i="1" s="1"/>
  <c r="O28" i="1"/>
  <c r="Q28" i="1" s="1"/>
  <c r="O29" i="1"/>
  <c r="O30" i="1"/>
  <c r="Q30" i="1"/>
  <c r="O31" i="1"/>
  <c r="Q31" i="1" s="1"/>
  <c r="O32" i="1"/>
  <c r="Q32" i="1" s="1"/>
  <c r="O33" i="1"/>
  <c r="Q33" i="1"/>
  <c r="O34" i="1"/>
  <c r="Q34" i="1"/>
  <c r="O35" i="1"/>
  <c r="Q35" i="1" s="1"/>
  <c r="O36" i="1"/>
  <c r="Q36" i="1" s="1"/>
  <c r="O37" i="1"/>
  <c r="O38" i="1"/>
  <c r="Q38" i="1"/>
  <c r="O39" i="1"/>
  <c r="Q39" i="1" s="1"/>
  <c r="O40" i="1"/>
  <c r="Q40" i="1" s="1"/>
  <c r="O41" i="1"/>
  <c r="Q41" i="1"/>
  <c r="O42" i="1"/>
  <c r="Q42" i="1"/>
  <c r="O43" i="1"/>
  <c r="Q43" i="1" s="1"/>
  <c r="O44" i="1"/>
  <c r="Q44" i="1" s="1"/>
  <c r="O45" i="1"/>
  <c r="O46" i="1"/>
  <c r="Q46" i="1"/>
  <c r="O47" i="1"/>
  <c r="Q47" i="1" s="1"/>
  <c r="O2" i="1"/>
  <c r="Q2" i="1" s="1"/>
  <c r="Q45" i="1" l="1"/>
  <c r="Q29" i="1"/>
  <c r="Q21" i="1"/>
  <c r="R37" i="1"/>
</calcChain>
</file>

<file path=xl/sharedStrings.xml><?xml version="1.0" encoding="utf-8"?>
<sst xmlns="http://schemas.openxmlformats.org/spreadsheetml/2006/main" count="249" uniqueCount="102">
  <si>
    <t>sample.id</t>
  </si>
  <si>
    <t>site.number</t>
  </si>
  <si>
    <t>site.name</t>
  </si>
  <si>
    <t>zone</t>
  </si>
  <si>
    <t>H001</t>
  </si>
  <si>
    <t>01</t>
  </si>
  <si>
    <t>EFL</t>
  </si>
  <si>
    <t>lacustrine</t>
  </si>
  <si>
    <t>H002</t>
  </si>
  <si>
    <t>H003</t>
  </si>
  <si>
    <t>H004</t>
  </si>
  <si>
    <t>02</t>
  </si>
  <si>
    <t>EMB</t>
  </si>
  <si>
    <t>H005</t>
  </si>
  <si>
    <t>H006</t>
  </si>
  <si>
    <t>H007</t>
  </si>
  <si>
    <t>H008</t>
  </si>
  <si>
    <t>03</t>
  </si>
  <si>
    <t>ENN</t>
  </si>
  <si>
    <t>transitional</t>
  </si>
  <si>
    <t>H009</t>
  </si>
  <si>
    <t>H010</t>
  </si>
  <si>
    <t>H011</t>
  </si>
  <si>
    <t>04</t>
  </si>
  <si>
    <t>EUS</t>
  </si>
  <si>
    <t>riverine</t>
  </si>
  <si>
    <t>H014</t>
  </si>
  <si>
    <t>H017</t>
  </si>
  <si>
    <t>H020</t>
  </si>
  <si>
    <t>05</t>
  </si>
  <si>
    <t>ECP</t>
  </si>
  <si>
    <t>H021</t>
  </si>
  <si>
    <t>H022</t>
  </si>
  <si>
    <t>H023</t>
  </si>
  <si>
    <t>06</t>
  </si>
  <si>
    <t>HWD</t>
  </si>
  <si>
    <t>H024</t>
  </si>
  <si>
    <t>H025</t>
  </si>
  <si>
    <t>H026</t>
  </si>
  <si>
    <t>07</t>
  </si>
  <si>
    <t>HCW</t>
  </si>
  <si>
    <t>H027</t>
  </si>
  <si>
    <t>H028</t>
  </si>
  <si>
    <t>H029</t>
  </si>
  <si>
    <t>08</t>
  </si>
  <si>
    <t>HND</t>
  </si>
  <si>
    <t>H030</t>
  </si>
  <si>
    <t>H031</t>
  </si>
  <si>
    <t>H032</t>
  </si>
  <si>
    <t>09</t>
  </si>
  <si>
    <t>HST</t>
  </si>
  <si>
    <t>H033</t>
  </si>
  <si>
    <t>H034</t>
  </si>
  <si>
    <t>H035</t>
  </si>
  <si>
    <t>10</t>
  </si>
  <si>
    <t>HTM</t>
  </si>
  <si>
    <t>H036</t>
  </si>
  <si>
    <t>H037</t>
  </si>
  <si>
    <t>H038</t>
  </si>
  <si>
    <t>11</t>
  </si>
  <si>
    <t>EOF</t>
  </si>
  <si>
    <t>H039</t>
  </si>
  <si>
    <t>H040</t>
  </si>
  <si>
    <t>H041</t>
  </si>
  <si>
    <t>12</t>
  </si>
  <si>
    <t>HCE</t>
  </si>
  <si>
    <t>H042</t>
  </si>
  <si>
    <t>H043</t>
  </si>
  <si>
    <t>H044</t>
  </si>
  <si>
    <t>13</t>
  </si>
  <si>
    <t>HEB</t>
  </si>
  <si>
    <t>H045</t>
  </si>
  <si>
    <t>H046</t>
  </si>
  <si>
    <t>H047</t>
  </si>
  <si>
    <t>14</t>
  </si>
  <si>
    <t>HRM</t>
  </si>
  <si>
    <t>H048</t>
  </si>
  <si>
    <t>H049</t>
  </si>
  <si>
    <t>H050</t>
  </si>
  <si>
    <t>15</t>
  </si>
  <si>
    <t>HEF</t>
  </si>
  <si>
    <t>H051</t>
  </si>
  <si>
    <t>H052</t>
  </si>
  <si>
    <t>d13C_org</t>
  </si>
  <si>
    <t>d13c_total</t>
  </si>
  <si>
    <t>d15n_total</t>
  </si>
  <si>
    <t>n_percent</t>
  </si>
  <si>
    <t>c_total_percent</t>
  </si>
  <si>
    <t>c_org_percent</t>
  </si>
  <si>
    <t>amount_total_mg</t>
  </si>
  <si>
    <t>n_amount_total_ug</t>
  </si>
  <si>
    <t>c_amount_total_ug</t>
  </si>
  <si>
    <t>c_amount_org_ug</t>
  </si>
  <si>
    <t>amount_org_mg</t>
  </si>
  <si>
    <t>carbonate_percent</t>
  </si>
  <si>
    <t>cn</t>
  </si>
  <si>
    <t>nc</t>
  </si>
  <si>
    <t>core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</si>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</sst>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0.00"/>
    <numFmt numFmtId="165" formatCode="0.000"/>
  </numFmts>
  <fonts count="2"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 applyFont="1" applyFill="1" applyBorder="1"/>
    <xf numFmtId="0" fontId="0" fillId="0" borderId="1" xfId="0" applyFont="1" applyFill="1" applyBorder="1"/>
    <xf numFmtId="0" fontId="0" fillId="0" borderId="0" xfId="0" applyFont="1" applyFill="1"/>
    <xf numFmtId="49" fontId="0" fillId="0" borderId="0" xfId="0" applyNumberFormat="1" applyFont="1" applyFill="1"/>
    <xf numFmtId="2" fontId="0" fillId="0" borderId="0" xfId="0" applyNumberFormat="1" applyFont="1" applyFill="1"/>
    <xf numFmtId="0" fontId="0" fillId="0" borderId="0" xfId="0" quotePrefix="1" applyNumberFormat="1" applyFont="1" applyFill="1"/>
    <xf numFmtId="165" fontId="0" fillId="0" borderId="0" xfId="0" applyNumberFormat="1" applyFont="1" applyFill="1"/>
    <xf numFmtId="164" fontId="1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65" fontId="1" fillId="0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7"/>
  <sheetViews>
    <sheetView tabSelected="1" workbookViewId="0">
      <pane xSplit="5" ySplit="1" topLeftCell="F2" activePane="bottomRight" state="frozen"/>
      <selection pane="topRight" activeCell="E1" sqref="E1"/>
      <selection pane="bottomLeft" activeCell="A2" sqref="A2"/>
      <selection pane="bottomRight" activeCell="C48" sqref="C48"/>
    </sheetView>
  </sheetViews>
  <sheetFormatPr baseColWidth="10" defaultRowHeight="16"/>
  <cols>
    <col min="1" max="1" width="12.6640625" customWidth="1"/>
    <col min="2" max="3" width="12" customWidth="1"/>
    <col min="5" max="5" width="17.83203125" customWidth="1"/>
    <col min="7" max="7" width="18" customWidth="1"/>
    <col min="9" max="9" width="19.83203125" customWidth="1"/>
    <col min="10" max="10" width="20.33203125" customWidth="1"/>
    <col min="12" max="12" width="16.1640625" customWidth="1"/>
    <col min="13" max="13" width="17.83203125" customWidth="1"/>
    <col min="15" max="15" width="13.83203125" customWidth="1"/>
    <col min="16" max="16" width="12.33203125" customWidth="1"/>
    <col min="17" max="17" width="14.5" customWidth="1"/>
  </cols>
  <sheetData>
    <row r="1" spans="1:19">
      <c r="A1" s="2" t="s">
        <v>0</v>
      </c>
      <c r="B1" s="2" t="s">
        <v>1</v>
      </c>
      <c r="C1" s="2" t="s">
        <v>97</v>
      </c>
      <c r="D1" s="2" t="s">
        <v>2</v>
      </c>
      <c r="E1" s="2" t="s">
        <v>3</v>
      </c>
      <c r="F1" s="8" t="s">
        <v>84</v>
      </c>
      <c r="G1" s="8" t="s">
        <v>91</v>
      </c>
      <c r="H1" s="8" t="s">
        <v>85</v>
      </c>
      <c r="I1" s="8" t="s">
        <v>90</v>
      </c>
      <c r="J1" s="8" t="s">
        <v>89</v>
      </c>
      <c r="K1" s="8" t="s">
        <v>83</v>
      </c>
      <c r="L1" s="8" t="s">
        <v>92</v>
      </c>
      <c r="M1" s="8" t="s">
        <v>93</v>
      </c>
      <c r="N1" s="8" t="s">
        <v>86</v>
      </c>
      <c r="O1" s="8" t="s">
        <v>87</v>
      </c>
      <c r="P1" s="8" t="s">
        <v>88</v>
      </c>
      <c r="Q1" s="8" t="s">
        <v>94</v>
      </c>
      <c r="R1" s="8" t="s">
        <v>95</v>
      </c>
      <c r="S1" s="8" t="s">
        <v>96</v>
      </c>
    </row>
    <row r="2" spans="1:19">
      <c r="A2" s="3" t="s">
        <v>4</v>
      </c>
      <c r="B2" s="4" t="s">
        <v>5</v>
      </c>
      <c r="C2" s="4" t="s">
        <v>98</v>
      </c>
      <c r="D2" s="3" t="s">
        <v>6</v>
      </c>
      <c r="E2" s="1" t="s">
        <v>7</v>
      </c>
      <c r="F2" s="5">
        <v>-19.354224456078271</v>
      </c>
      <c r="G2" s="5">
        <v>772.06733824000003</v>
      </c>
      <c r="H2" s="5">
        <v>6.3585370976249989</v>
      </c>
      <c r="I2" s="5">
        <v>75.48855033000001</v>
      </c>
      <c r="J2" s="6">
        <v>23.457000000000001</v>
      </c>
      <c r="K2" s="5">
        <v>-25.901079559953441</v>
      </c>
      <c r="L2" s="5">
        <v>677.16869565000002</v>
      </c>
      <c r="M2" s="3">
        <v>27.634</v>
      </c>
      <c r="N2" s="5">
        <f>((I2/1000)/J2)*100</f>
        <v>0.32181672988873267</v>
      </c>
      <c r="O2" s="5">
        <f>((G2/1000)/J2)*100</f>
        <v>3.291415518779043</v>
      </c>
      <c r="P2" s="5">
        <f>((L2/1000)/M2)*100</f>
        <v>2.4504910459940654</v>
      </c>
      <c r="Q2" s="3">
        <f>((O2-P2)/O2)*100</f>
        <v>25.549021932573257</v>
      </c>
      <c r="R2" s="5">
        <f>P2/N2</f>
        <v>7.6145545535849442</v>
      </c>
      <c r="S2" s="7">
        <f>N2/P2</f>
        <v>0.131327445743914</v>
      </c>
    </row>
    <row r="3" spans="1:19">
      <c r="A3" s="3" t="s">
        <v>8</v>
      </c>
      <c r="B3" s="4" t="s">
        <v>5</v>
      </c>
      <c r="C3" s="4" t="s">
        <v>99</v>
      </c>
      <c r="D3" s="3" t="s">
        <v>6</v>
      </c>
      <c r="E3" s="1" t="s">
        <v>7</v>
      </c>
      <c r="F3" s="9">
        <v>-20.946195288829308</v>
      </c>
      <c r="G3" s="9">
        <v>771.51652969528504</v>
      </c>
      <c r="H3" s="9">
        <v>6.3967677919171573</v>
      </c>
      <c r="I3" s="9">
        <v>73.143752719020824</v>
      </c>
      <c r="J3" s="10">
        <v>24.25</v>
      </c>
      <c r="K3" s="9">
        <v>-26.670724859618847</v>
      </c>
      <c r="L3" s="9">
        <v>662.66063353529637</v>
      </c>
      <c r="M3" s="10">
        <v>27.245000000000001</v>
      </c>
      <c r="N3" s="5">
        <f t="shared" ref="N3:N47" si="0">((I3/1000)/J3)*100</f>
        <v>0.30162372255266318</v>
      </c>
      <c r="O3" s="5">
        <f t="shared" ref="O3:O47" si="1">((G3/1000)/J3)*100</f>
        <v>3.1815114626609695</v>
      </c>
      <c r="P3" s="5">
        <f t="shared" ref="P3:P47" si="2">((L3/1000)/M3)*100</f>
        <v>2.432228421858309</v>
      </c>
      <c r="Q3" s="3">
        <f t="shared" ref="Q3:Q47" si="3">((O3-P3)/O3)*100</f>
        <v>23.551165840401254</v>
      </c>
      <c r="R3" s="5">
        <f t="shared" ref="R3:R47" si="4">P3/N3</f>
        <v>8.0637835819881332</v>
      </c>
      <c r="S3" s="7">
        <f t="shared" ref="S3:S47" si="5">N3/P3</f>
        <v>0.12401126466658585</v>
      </c>
    </row>
    <row r="4" spans="1:19">
      <c r="A4" s="3" t="s">
        <v>9</v>
      </c>
      <c r="B4" s="4" t="s">
        <v>5</v>
      </c>
      <c r="C4" s="4" t="s">
        <v>100</v>
      </c>
      <c r="D4" s="3" t="s">
        <v>6</v>
      </c>
      <c r="E4" s="1" t="s">
        <v>7</v>
      </c>
      <c r="F4" s="9">
        <v>-21.047296636303443</v>
      </c>
      <c r="G4" s="9">
        <v>768.0138654913427</v>
      </c>
      <c r="H4" s="9">
        <v>6.3838443765242534</v>
      </c>
      <c r="I4" s="9">
        <v>73.381843546427064</v>
      </c>
      <c r="J4" s="10">
        <v>23.536000000000001</v>
      </c>
      <c r="K4" s="9">
        <v>-26.717452296329625</v>
      </c>
      <c r="L4" s="9">
        <v>670.99007775687903</v>
      </c>
      <c r="M4" s="10">
        <v>26.882999999999999</v>
      </c>
      <c r="N4" s="5">
        <f t="shared" si="0"/>
        <v>0.31178553512248069</v>
      </c>
      <c r="O4" s="5">
        <f t="shared" si="1"/>
        <v>3.2631452476688589</v>
      </c>
      <c r="P4" s="5">
        <f t="shared" si="2"/>
        <v>2.4959642813557976</v>
      </c>
      <c r="Q4" s="3">
        <f t="shared" si="3"/>
        <v>23.510475571417597</v>
      </c>
      <c r="R4" s="5">
        <f t="shared" si="4"/>
        <v>8.0053883204533278</v>
      </c>
      <c r="S4" s="7">
        <f t="shared" si="5"/>
        <v>0.12491586416177401</v>
      </c>
    </row>
    <row r="5" spans="1:19">
      <c r="A5" s="3" t="s">
        <v>10</v>
      </c>
      <c r="B5" s="4" t="s">
        <v>11</v>
      </c>
      <c r="C5" s="4" t="s">
        <v>98</v>
      </c>
      <c r="D5" s="3" t="s">
        <v>12</v>
      </c>
      <c r="E5" s="1" t="s">
        <v>7</v>
      </c>
      <c r="F5" s="5">
        <v>-23.303634670964321</v>
      </c>
      <c r="G5" s="5">
        <v>850.16758759000004</v>
      </c>
      <c r="H5" s="5">
        <v>6.5846441884709987</v>
      </c>
      <c r="I5" s="5">
        <v>104.42156408000001</v>
      </c>
      <c r="J5" s="6">
        <v>28.045999999999999</v>
      </c>
      <c r="K5" s="5">
        <v>-25.14359981991408</v>
      </c>
      <c r="L5" s="5">
        <v>624.56114415000002</v>
      </c>
      <c r="M5" s="7">
        <v>25.606999999999999</v>
      </c>
      <c r="N5" s="5">
        <f t="shared" si="0"/>
        <v>0.37232248477501256</v>
      </c>
      <c r="O5" s="5">
        <f t="shared" si="1"/>
        <v>3.0313327661342084</v>
      </c>
      <c r="P5" s="5">
        <f t="shared" si="2"/>
        <v>2.4390250484242588</v>
      </c>
      <c r="Q5" s="3">
        <f t="shared" si="3"/>
        <v>19.539514906682665</v>
      </c>
      <c r="R5" s="5">
        <f t="shared" si="4"/>
        <v>6.5508400597888023</v>
      </c>
      <c r="S5" s="7">
        <f t="shared" si="5"/>
        <v>0.15265217756396265</v>
      </c>
    </row>
    <row r="6" spans="1:19">
      <c r="A6" s="3" t="s">
        <v>13</v>
      </c>
      <c r="B6" s="4" t="s">
        <v>11</v>
      </c>
      <c r="C6" s="4" t="s">
        <v>99</v>
      </c>
      <c r="D6" s="3" t="s">
        <v>12</v>
      </c>
      <c r="E6" s="1" t="s">
        <v>7</v>
      </c>
      <c r="F6" s="9">
        <v>-24.653816480769002</v>
      </c>
      <c r="G6" s="9">
        <v>710.80905229517612</v>
      </c>
      <c r="H6" s="9">
        <v>6.0855893962433649</v>
      </c>
      <c r="I6" s="9">
        <v>85.326134968958314</v>
      </c>
      <c r="J6" s="10">
        <v>23.283999999999999</v>
      </c>
      <c r="K6" s="9">
        <v>-25.655926296720104</v>
      </c>
      <c r="L6" s="9">
        <v>783.66188024958535</v>
      </c>
      <c r="M6" s="10">
        <v>28.152000000000001</v>
      </c>
      <c r="N6" s="5">
        <f t="shared" si="0"/>
        <v>0.36645823298813912</v>
      </c>
      <c r="O6" s="5">
        <f t="shared" si="1"/>
        <v>3.0527789567736474</v>
      </c>
      <c r="P6" s="5">
        <f t="shared" si="2"/>
        <v>2.7836810182210332</v>
      </c>
      <c r="Q6" s="3">
        <f t="shared" si="3"/>
        <v>8.8148517256884009</v>
      </c>
      <c r="R6" s="5">
        <f t="shared" si="4"/>
        <v>7.5961754100122247</v>
      </c>
      <c r="S6" s="7">
        <f t="shared" si="5"/>
        <v>0.13164519590765883</v>
      </c>
    </row>
    <row r="7" spans="1:19">
      <c r="A7" s="3" t="s">
        <v>14</v>
      </c>
      <c r="B7" s="4" t="s">
        <v>11</v>
      </c>
      <c r="C7" s="4" t="s">
        <v>100</v>
      </c>
      <c r="D7" s="3" t="s">
        <v>12</v>
      </c>
      <c r="E7" s="1" t="s">
        <v>7</v>
      </c>
      <c r="F7" s="9">
        <v>-25.60647725383506</v>
      </c>
      <c r="G7" s="9">
        <v>804.12967155235185</v>
      </c>
      <c r="H7" s="9">
        <v>5.7474688799888183</v>
      </c>
      <c r="I7" s="9">
        <v>95.331387008493152</v>
      </c>
      <c r="J7" s="10">
        <v>25.381</v>
      </c>
      <c r="K7" s="9">
        <v>-26.876522043782952</v>
      </c>
      <c r="L7" s="9">
        <v>727.16565080583746</v>
      </c>
      <c r="M7" s="10">
        <v>25.407</v>
      </c>
      <c r="N7" s="5">
        <f t="shared" si="0"/>
        <v>0.37560138295769729</v>
      </c>
      <c r="O7" s="5">
        <f t="shared" si="1"/>
        <v>3.1682347880396824</v>
      </c>
      <c r="P7" s="5">
        <f t="shared" si="2"/>
        <v>2.8620681340018006</v>
      </c>
      <c r="Q7" s="3">
        <f t="shared" si="3"/>
        <v>9.6636352581470053</v>
      </c>
      <c r="R7" s="5">
        <f t="shared" si="4"/>
        <v>7.6199616504717333</v>
      </c>
      <c r="S7" s="7">
        <f t="shared" si="5"/>
        <v>0.13123425626926777</v>
      </c>
    </row>
    <row r="8" spans="1:19">
      <c r="A8" s="3" t="s">
        <v>15</v>
      </c>
      <c r="B8" s="4" t="s">
        <v>11</v>
      </c>
      <c r="C8" s="4" t="s">
        <v>101</v>
      </c>
      <c r="D8" s="3" t="s">
        <v>12</v>
      </c>
      <c r="E8" s="1" t="s">
        <v>7</v>
      </c>
      <c r="F8" s="9">
        <v>-24.559789943256387</v>
      </c>
      <c r="G8" s="9">
        <v>740.51341041918511</v>
      </c>
      <c r="H8" s="9">
        <v>6.1276073483690841</v>
      </c>
      <c r="I8" s="9">
        <v>84.929871691017951</v>
      </c>
      <c r="J8" s="10">
        <v>24.175999999999998</v>
      </c>
      <c r="K8" s="9">
        <v>-26.104294167395789</v>
      </c>
      <c r="L8" s="9">
        <v>708.71205417275701</v>
      </c>
      <c r="M8" s="10">
        <v>25.234000000000002</v>
      </c>
      <c r="N8" s="5">
        <f t="shared" si="0"/>
        <v>0.35129827800718877</v>
      </c>
      <c r="O8" s="5">
        <f t="shared" si="1"/>
        <v>3.0630104666577807</v>
      </c>
      <c r="P8" s="5">
        <f t="shared" si="2"/>
        <v>2.8085600942092293</v>
      </c>
      <c r="Q8" s="3">
        <f t="shared" si="3"/>
        <v>8.3071989213995803</v>
      </c>
      <c r="R8" s="5">
        <f t="shared" si="4"/>
        <v>7.9948017682903547</v>
      </c>
      <c r="S8" s="7">
        <f t="shared" si="5"/>
        <v>0.12508127518136633</v>
      </c>
    </row>
    <row r="9" spans="1:19">
      <c r="A9" s="3" t="s">
        <v>16</v>
      </c>
      <c r="B9" s="4" t="s">
        <v>17</v>
      </c>
      <c r="C9" s="4" t="s">
        <v>98</v>
      </c>
      <c r="D9" s="3" t="s">
        <v>18</v>
      </c>
      <c r="E9" s="1" t="s">
        <v>19</v>
      </c>
      <c r="F9" s="5">
        <v>-21.87719286588684</v>
      </c>
      <c r="G9" s="5">
        <v>739.06220085999996</v>
      </c>
      <c r="H9" s="5">
        <v>6.0261917555689974</v>
      </c>
      <c r="I9" s="5">
        <v>81.672580940000003</v>
      </c>
      <c r="J9" s="7">
        <v>27.594000000000001</v>
      </c>
      <c r="K9" s="5">
        <v>-24.897437703726556</v>
      </c>
      <c r="L9" s="5">
        <v>588.02291112</v>
      </c>
      <c r="M9" s="7">
        <v>28.923999999999999</v>
      </c>
      <c r="N9" s="5">
        <f t="shared" si="0"/>
        <v>0.29597949170109444</v>
      </c>
      <c r="O9" s="5">
        <f t="shared" si="1"/>
        <v>2.6783438459810101</v>
      </c>
      <c r="P9" s="5">
        <f t="shared" si="2"/>
        <v>2.0329930546259161</v>
      </c>
      <c r="Q9" s="3">
        <f t="shared" si="3"/>
        <v>24.095143434382983</v>
      </c>
      <c r="R9" s="5">
        <f t="shared" si="4"/>
        <v>6.8686956753037718</v>
      </c>
      <c r="S9" s="7">
        <f t="shared" si="5"/>
        <v>0.14558804862988409</v>
      </c>
    </row>
    <row r="10" spans="1:19">
      <c r="A10" s="3" t="s">
        <v>20</v>
      </c>
      <c r="B10" s="4" t="s">
        <v>17</v>
      </c>
      <c r="C10" s="4" t="s">
        <v>99</v>
      </c>
      <c r="D10" s="3" t="s">
        <v>18</v>
      </c>
      <c r="E10" s="1" t="s">
        <v>19</v>
      </c>
      <c r="F10" s="9">
        <v>-23.322731280794727</v>
      </c>
      <c r="G10" s="9">
        <v>685.71234477210487</v>
      </c>
      <c r="H10" s="9">
        <v>5.6857490676425151</v>
      </c>
      <c r="I10" s="9">
        <v>73.31451343279673</v>
      </c>
      <c r="J10" s="10">
        <v>24.959</v>
      </c>
      <c r="K10" s="9">
        <v>-25.617113511180225</v>
      </c>
      <c r="L10" s="9">
        <v>636.114713318388</v>
      </c>
      <c r="M10" s="10">
        <v>25.79</v>
      </c>
      <c r="N10" s="5">
        <f t="shared" si="0"/>
        <v>0.29373978698183711</v>
      </c>
      <c r="O10" s="5">
        <f t="shared" si="1"/>
        <v>2.7473550413562435</v>
      </c>
      <c r="P10" s="5">
        <f t="shared" si="2"/>
        <v>2.4665169186443894</v>
      </c>
      <c r="Q10" s="3">
        <f t="shared" si="3"/>
        <v>10.222127045262312</v>
      </c>
      <c r="R10" s="5">
        <f t="shared" si="4"/>
        <v>8.3969452827202531</v>
      </c>
      <c r="S10" s="7">
        <f t="shared" si="5"/>
        <v>0.11909092727540585</v>
      </c>
    </row>
    <row r="11" spans="1:19">
      <c r="A11" s="3" t="s">
        <v>21</v>
      </c>
      <c r="B11" s="4" t="s">
        <v>17</v>
      </c>
      <c r="C11" s="4" t="s">
        <v>100</v>
      </c>
      <c r="D11" s="3" t="s">
        <v>18</v>
      </c>
      <c r="E11" s="1" t="s">
        <v>19</v>
      </c>
      <c r="F11" s="9">
        <v>-22.954641980137733</v>
      </c>
      <c r="G11" s="9">
        <v>672.14223253060527</v>
      </c>
      <c r="H11" s="9">
        <v>5.5400141614715404</v>
      </c>
      <c r="I11" s="9">
        <v>67.128560782275741</v>
      </c>
      <c r="J11" s="10">
        <v>25.398</v>
      </c>
      <c r="K11" s="9">
        <v>-25.793878350805873</v>
      </c>
      <c r="L11" s="9">
        <v>622.13169559669825</v>
      </c>
      <c r="M11" s="10">
        <v>26.931000000000001</v>
      </c>
      <c r="N11" s="5">
        <f t="shared" si="0"/>
        <v>0.26430648390533013</v>
      </c>
      <c r="O11" s="5">
        <f t="shared" si="1"/>
        <v>2.6464376428482765</v>
      </c>
      <c r="P11" s="5">
        <f t="shared" si="2"/>
        <v>2.3100950413898413</v>
      </c>
      <c r="Q11" s="3">
        <f t="shared" si="3"/>
        <v>12.709258514643873</v>
      </c>
      <c r="R11" s="5">
        <f t="shared" si="4"/>
        <v>8.740213282914679</v>
      </c>
      <c r="S11" s="7">
        <f t="shared" si="5"/>
        <v>0.11441368392631728</v>
      </c>
    </row>
    <row r="12" spans="1:19">
      <c r="A12" s="3" t="s">
        <v>22</v>
      </c>
      <c r="B12" s="4" t="s">
        <v>23</v>
      </c>
      <c r="C12" s="4" t="s">
        <v>98</v>
      </c>
      <c r="D12" s="3" t="s">
        <v>24</v>
      </c>
      <c r="E12" s="1" t="s">
        <v>25</v>
      </c>
      <c r="F12" s="9">
        <v>-19.409759716427068</v>
      </c>
      <c r="G12" s="9">
        <v>713.17320466000001</v>
      </c>
      <c r="H12" s="9">
        <v>5.3090618198519985</v>
      </c>
      <c r="I12" s="9">
        <v>55.48217348</v>
      </c>
      <c r="J12" s="6">
        <v>27.469000000000001</v>
      </c>
      <c r="K12" s="9">
        <v>-25.632768902188161</v>
      </c>
      <c r="L12" s="9">
        <v>530.22128213999997</v>
      </c>
      <c r="M12" s="10">
        <v>28.838999999999999</v>
      </c>
      <c r="N12" s="5">
        <f t="shared" si="0"/>
        <v>0.201981045833485</v>
      </c>
      <c r="O12" s="5">
        <f t="shared" si="1"/>
        <v>2.5962838278058902</v>
      </c>
      <c r="P12" s="5">
        <f t="shared" si="2"/>
        <v>1.8385564067408717</v>
      </c>
      <c r="Q12" s="3">
        <f t="shared" si="3"/>
        <v>29.185076490861594</v>
      </c>
      <c r="R12" s="5">
        <f t="shared" si="4"/>
        <v>9.1026185113260301</v>
      </c>
      <c r="S12" s="7">
        <f t="shared" si="5"/>
        <v>0.10985849827230916</v>
      </c>
    </row>
    <row r="13" spans="1:19">
      <c r="A13" s="3" t="s">
        <v>26</v>
      </c>
      <c r="B13" s="4" t="s">
        <v>23</v>
      </c>
      <c r="C13" s="4" t="s">
        <v>99</v>
      </c>
      <c r="D13" s="3" t="s">
        <v>24</v>
      </c>
      <c r="E13" s="1" t="s">
        <v>25</v>
      </c>
      <c r="F13" s="9">
        <v>-20.18745856633263</v>
      </c>
      <c r="G13" s="9">
        <v>703.16066941390454</v>
      </c>
      <c r="H13" s="9">
        <v>5.3838253597088999</v>
      </c>
      <c r="I13" s="9">
        <v>51.317358497765539</v>
      </c>
      <c r="J13" s="10">
        <v>29.277000000000001</v>
      </c>
      <c r="K13" s="9">
        <v>-26.296875239242077</v>
      </c>
      <c r="L13" s="9">
        <v>553.52806320484979</v>
      </c>
      <c r="M13" s="10">
        <v>30.227</v>
      </c>
      <c r="N13" s="5">
        <f t="shared" si="0"/>
        <v>0.17528216175757605</v>
      </c>
      <c r="O13" s="5">
        <f t="shared" si="1"/>
        <v>2.4017510995453923</v>
      </c>
      <c r="P13" s="5">
        <f t="shared" si="2"/>
        <v>1.8312371826673168</v>
      </c>
      <c r="Q13" s="3">
        <f t="shared" si="3"/>
        <v>23.75408163593902</v>
      </c>
      <c r="R13" s="5">
        <f t="shared" si="4"/>
        <v>10.447367628886326</v>
      </c>
      <c r="S13" s="7">
        <f t="shared" si="5"/>
        <v>9.5717891388741955E-2</v>
      </c>
    </row>
    <row r="14" spans="1:19">
      <c r="A14" s="3" t="s">
        <v>27</v>
      </c>
      <c r="B14" s="4" t="s">
        <v>23</v>
      </c>
      <c r="C14" s="4" t="s">
        <v>100</v>
      </c>
      <c r="D14" s="3" t="s">
        <v>24</v>
      </c>
      <c r="E14" s="1" t="s">
        <v>25</v>
      </c>
      <c r="F14" s="9">
        <v>-20.640567564906565</v>
      </c>
      <c r="G14" s="9">
        <v>719.96429690030186</v>
      </c>
      <c r="H14" s="9">
        <v>5.3540191779170385</v>
      </c>
      <c r="I14" s="9">
        <v>52.0801425784095</v>
      </c>
      <c r="J14" s="10">
        <v>27.015999999999998</v>
      </c>
      <c r="K14" s="9">
        <v>-26.408739683166548</v>
      </c>
      <c r="L14" s="9">
        <v>518.59890544691063</v>
      </c>
      <c r="M14" s="10">
        <v>25.672000000000001</v>
      </c>
      <c r="N14" s="5">
        <f t="shared" si="0"/>
        <v>0.19277517981347905</v>
      </c>
      <c r="O14" s="5">
        <f t="shared" si="1"/>
        <v>2.6649552002528201</v>
      </c>
      <c r="P14" s="5">
        <f t="shared" si="2"/>
        <v>2.0200954559321858</v>
      </c>
      <c r="Q14" s="3">
        <f t="shared" si="3"/>
        <v>24.197770538861498</v>
      </c>
      <c r="R14" s="5">
        <f t="shared" si="4"/>
        <v>10.479022547854672</v>
      </c>
      <c r="S14" s="7">
        <f t="shared" si="5"/>
        <v>9.5428747808613698E-2</v>
      </c>
    </row>
    <row r="15" spans="1:19">
      <c r="A15" s="3" t="s">
        <v>28</v>
      </c>
      <c r="B15" s="4" t="s">
        <v>29</v>
      </c>
      <c r="C15" s="4" t="s">
        <v>98</v>
      </c>
      <c r="D15" s="3" t="s">
        <v>30</v>
      </c>
      <c r="E15" s="1" t="s">
        <v>19</v>
      </c>
      <c r="F15" s="5">
        <v>-20.789307528602862</v>
      </c>
      <c r="G15" s="5">
        <v>728.69060506000005</v>
      </c>
      <c r="H15" s="5">
        <v>6.0992736229599993</v>
      </c>
      <c r="I15" s="5">
        <v>76.133374820000014</v>
      </c>
      <c r="J15" s="7">
        <v>26.193000000000001</v>
      </c>
      <c r="K15" s="5">
        <v>-25.210170246371682</v>
      </c>
      <c r="L15" s="5">
        <v>527.56095612000001</v>
      </c>
      <c r="M15" s="7">
        <v>28.018000000000001</v>
      </c>
      <c r="N15" s="5">
        <f t="shared" si="0"/>
        <v>0.29066305814530607</v>
      </c>
      <c r="O15" s="5">
        <f t="shared" si="1"/>
        <v>2.7820051351887911</v>
      </c>
      <c r="P15" s="5">
        <f t="shared" si="2"/>
        <v>1.882935813120137</v>
      </c>
      <c r="Q15" s="3">
        <f t="shared" si="3"/>
        <v>32.317313533917755</v>
      </c>
      <c r="R15" s="5">
        <f t="shared" si="4"/>
        <v>6.478070605652384</v>
      </c>
      <c r="S15" s="7">
        <f t="shared" si="5"/>
        <v>0.15436694980253204</v>
      </c>
    </row>
    <row r="16" spans="1:19">
      <c r="A16" s="3" t="s">
        <v>31</v>
      </c>
      <c r="B16" s="4" t="s">
        <v>29</v>
      </c>
      <c r="C16" s="4" t="s">
        <v>99</v>
      </c>
      <c r="D16" s="3" t="s">
        <v>30</v>
      </c>
      <c r="E16" s="1" t="s">
        <v>19</v>
      </c>
      <c r="F16" s="9">
        <v>-22.776835886285514</v>
      </c>
      <c r="G16" s="9">
        <v>713.99061292922079</v>
      </c>
      <c r="H16" s="9">
        <v>5.6600354341286385</v>
      </c>
      <c r="I16" s="9">
        <v>74.590472059287265</v>
      </c>
      <c r="J16" s="10">
        <v>25.856999999999999</v>
      </c>
      <c r="K16" s="9">
        <v>-26.152852206273199</v>
      </c>
      <c r="L16" s="9">
        <v>650.19646050530514</v>
      </c>
      <c r="M16" s="10">
        <v>27.963000000000001</v>
      </c>
      <c r="N16" s="5">
        <f t="shared" si="0"/>
        <v>0.2884730326769821</v>
      </c>
      <c r="O16" s="5">
        <f t="shared" si="1"/>
        <v>2.7613049190904624</v>
      </c>
      <c r="P16" s="5">
        <f t="shared" si="2"/>
        <v>2.3252028055119447</v>
      </c>
      <c r="Q16" s="3">
        <f t="shared" si="3"/>
        <v>15.793334179195393</v>
      </c>
      <c r="R16" s="5">
        <f t="shared" si="4"/>
        <v>8.060381880186327</v>
      </c>
      <c r="S16" s="7">
        <f t="shared" si="5"/>
        <v>0.12406360081501296</v>
      </c>
    </row>
    <row r="17" spans="1:19">
      <c r="A17" s="3" t="s">
        <v>32</v>
      </c>
      <c r="B17" s="4" t="s">
        <v>29</v>
      </c>
      <c r="C17" s="4" t="s">
        <v>100</v>
      </c>
      <c r="D17" s="3" t="s">
        <v>30</v>
      </c>
      <c r="E17" s="1" t="s">
        <v>19</v>
      </c>
      <c r="F17" s="9">
        <v>-22.288441126934369</v>
      </c>
      <c r="G17" s="9">
        <v>837.10014858537374</v>
      </c>
      <c r="H17" s="9">
        <v>5.8076440563521379</v>
      </c>
      <c r="I17" s="9">
        <v>85.008071996293069</v>
      </c>
      <c r="J17" s="10">
        <v>30.045999999999999</v>
      </c>
      <c r="K17" s="9">
        <v>-26.008504174907515</v>
      </c>
      <c r="L17" s="9">
        <v>745.98504745323737</v>
      </c>
      <c r="M17" s="10">
        <v>32.630000000000003</v>
      </c>
      <c r="N17" s="5">
        <f t="shared" si="0"/>
        <v>0.28292641947777764</v>
      </c>
      <c r="O17" s="5">
        <f t="shared" si="1"/>
        <v>2.7860618670883768</v>
      </c>
      <c r="P17" s="5">
        <f t="shared" si="2"/>
        <v>2.2861938322195443</v>
      </c>
      <c r="Q17" s="3">
        <f t="shared" si="3"/>
        <v>17.941742097465639</v>
      </c>
      <c r="R17" s="5">
        <f t="shared" si="4"/>
        <v>8.080524386656343</v>
      </c>
      <c r="S17" s="7">
        <f t="shared" si="5"/>
        <v>0.12375434466249932</v>
      </c>
    </row>
    <row r="18" spans="1:19">
      <c r="A18" s="3" t="s">
        <v>33</v>
      </c>
      <c r="B18" s="4" t="s">
        <v>34</v>
      </c>
      <c r="C18" s="4" t="s">
        <v>98</v>
      </c>
      <c r="D18" s="3" t="s">
        <v>35</v>
      </c>
      <c r="E18" s="1" t="s">
        <v>7</v>
      </c>
      <c r="F18" s="5">
        <v>-23.74767843107611</v>
      </c>
      <c r="G18" s="5">
        <v>811.89533259999996</v>
      </c>
      <c r="H18" s="5">
        <v>6.393499365432997</v>
      </c>
      <c r="I18" s="5">
        <v>103.73336773000001</v>
      </c>
      <c r="J18" s="6">
        <v>25.385999999999999</v>
      </c>
      <c r="K18" s="5">
        <v>-24.984381146005759</v>
      </c>
      <c r="L18" s="5">
        <v>730.17292277999991</v>
      </c>
      <c r="M18" s="7">
        <v>27.850999999999999</v>
      </c>
      <c r="N18" s="5">
        <f t="shared" si="0"/>
        <v>0.4086243115496731</v>
      </c>
      <c r="O18" s="5">
        <f t="shared" si="1"/>
        <v>3.1982011053336477</v>
      </c>
      <c r="P18" s="5">
        <f t="shared" si="2"/>
        <v>2.6217116899931776</v>
      </c>
      <c r="Q18" s="3">
        <f t="shared" si="3"/>
        <v>18.025427305964509</v>
      </c>
      <c r="R18" s="5">
        <f t="shared" si="4"/>
        <v>6.4159464228904</v>
      </c>
      <c r="S18" s="7">
        <f t="shared" si="5"/>
        <v>0.15586165065722252</v>
      </c>
    </row>
    <row r="19" spans="1:19">
      <c r="A19" s="3" t="s">
        <v>36</v>
      </c>
      <c r="B19" s="4" t="s">
        <v>34</v>
      </c>
      <c r="C19" s="4" t="s">
        <v>99</v>
      </c>
      <c r="D19" s="3" t="s">
        <v>35</v>
      </c>
      <c r="E19" s="1" t="s">
        <v>7</v>
      </c>
      <c r="F19" s="9">
        <v>-25.43042589805594</v>
      </c>
      <c r="G19" s="9">
        <v>895.27611145756885</v>
      </c>
      <c r="H19" s="9">
        <v>5.9695701984052469</v>
      </c>
      <c r="I19" s="9">
        <v>119.51875009940289</v>
      </c>
      <c r="J19" s="10">
        <v>26.481999999999999</v>
      </c>
      <c r="K19" s="9">
        <v>-26.259031035205744</v>
      </c>
      <c r="L19" s="9">
        <v>955.46785612646852</v>
      </c>
      <c r="M19" s="10">
        <v>32.969000000000001</v>
      </c>
      <c r="N19" s="5">
        <f t="shared" si="0"/>
        <v>0.45132070878106978</v>
      </c>
      <c r="O19" s="5">
        <f t="shared" si="1"/>
        <v>3.3806967429105383</v>
      </c>
      <c r="P19" s="5">
        <f t="shared" si="2"/>
        <v>2.8980795781687907</v>
      </c>
      <c r="Q19" s="3">
        <f t="shared" si="3"/>
        <v>14.275671597986891</v>
      </c>
      <c r="R19" s="5">
        <f t="shared" si="4"/>
        <v>6.4213308225894288</v>
      </c>
      <c r="S19" s="7">
        <f t="shared" si="5"/>
        <v>0.15573095790083369</v>
      </c>
    </row>
    <row r="20" spans="1:19">
      <c r="A20" s="3" t="s">
        <v>37</v>
      </c>
      <c r="B20" s="4" t="s">
        <v>34</v>
      </c>
      <c r="C20" s="4" t="s">
        <v>100</v>
      </c>
      <c r="D20" s="3" t="s">
        <v>35</v>
      </c>
      <c r="E20" s="1" t="s">
        <v>7</v>
      </c>
      <c r="F20" s="9">
        <v>-26.270953825170825</v>
      </c>
      <c r="G20" s="9">
        <v>906.85323494795489</v>
      </c>
      <c r="H20" s="9">
        <v>5.8107761484067249</v>
      </c>
      <c r="I20" s="9">
        <v>117.08681895325716</v>
      </c>
      <c r="J20" s="10">
        <v>25.93</v>
      </c>
      <c r="K20" s="9">
        <v>-27.254246965260542</v>
      </c>
      <c r="L20" s="9">
        <v>830.61692544451705</v>
      </c>
      <c r="M20" s="10">
        <v>26.079000000000001</v>
      </c>
      <c r="N20" s="5">
        <f t="shared" si="0"/>
        <v>0.4515496295921988</v>
      </c>
      <c r="O20" s="5">
        <f t="shared" si="1"/>
        <v>3.4973128999149825</v>
      </c>
      <c r="P20" s="5">
        <f t="shared" si="2"/>
        <v>3.1850029734442153</v>
      </c>
      <c r="Q20" s="3">
        <f t="shared" si="3"/>
        <v>8.929996697703519</v>
      </c>
      <c r="R20" s="5">
        <f t="shared" si="4"/>
        <v>7.0534948203160726</v>
      </c>
      <c r="S20" s="7">
        <f t="shared" si="5"/>
        <v>0.14177369169106291</v>
      </c>
    </row>
    <row r="21" spans="1:19">
      <c r="A21" s="3" t="s">
        <v>38</v>
      </c>
      <c r="B21" s="4" t="s">
        <v>39</v>
      </c>
      <c r="C21" s="4" t="s">
        <v>98</v>
      </c>
      <c r="D21" s="3" t="s">
        <v>40</v>
      </c>
      <c r="E21" s="1" t="s">
        <v>19</v>
      </c>
      <c r="F21" s="9">
        <v>-24.85045059563928</v>
      </c>
      <c r="G21" s="9">
        <v>607.55356558000005</v>
      </c>
      <c r="H21" s="9">
        <v>6.3088573621559982</v>
      </c>
      <c r="I21" s="9">
        <v>75.243366550000005</v>
      </c>
      <c r="J21" s="6">
        <v>28.513999999999999</v>
      </c>
      <c r="K21" s="9">
        <v>-26.118949834366401</v>
      </c>
      <c r="L21" s="9">
        <v>448.15237167000004</v>
      </c>
      <c r="M21" s="10">
        <v>27.018999999999998</v>
      </c>
      <c r="N21" s="5">
        <f t="shared" si="0"/>
        <v>0.26388218611909942</v>
      </c>
      <c r="O21" s="5">
        <f t="shared" si="1"/>
        <v>2.1307202271866452</v>
      </c>
      <c r="P21" s="5">
        <f t="shared" si="2"/>
        <v>1.6586563961286505</v>
      </c>
      <c r="Q21" s="3">
        <f t="shared" si="3"/>
        <v>22.155129755411256</v>
      </c>
      <c r="R21" s="5">
        <f t="shared" si="4"/>
        <v>6.2855944181849388</v>
      </c>
      <c r="S21" s="7">
        <f t="shared" si="5"/>
        <v>0.15909394298602633</v>
      </c>
    </row>
    <row r="22" spans="1:19">
      <c r="A22" s="3" t="s">
        <v>41</v>
      </c>
      <c r="B22" s="4" t="s">
        <v>39</v>
      </c>
      <c r="C22" s="4" t="s">
        <v>99</v>
      </c>
      <c r="D22" s="3" t="s">
        <v>40</v>
      </c>
      <c r="E22" s="1" t="s">
        <v>19</v>
      </c>
      <c r="F22" s="9">
        <v>-25.889052586396854</v>
      </c>
      <c r="G22" s="9">
        <v>569.15953036920803</v>
      </c>
      <c r="H22" s="9">
        <v>6.0863239937701499</v>
      </c>
      <c r="I22" s="9">
        <v>66.861928758157376</v>
      </c>
      <c r="J22" s="10">
        <v>25.893000000000001</v>
      </c>
      <c r="K22" s="9">
        <v>-26.839672417456704</v>
      </c>
      <c r="L22" s="9">
        <v>574.92152605313402</v>
      </c>
      <c r="M22" s="10">
        <v>27.952999999999999</v>
      </c>
      <c r="N22" s="5">
        <f t="shared" si="0"/>
        <v>0.25822395534761272</v>
      </c>
      <c r="O22" s="5">
        <f t="shared" si="1"/>
        <v>2.1981212311018736</v>
      </c>
      <c r="P22" s="5">
        <f t="shared" si="2"/>
        <v>2.0567435554435449</v>
      </c>
      <c r="Q22" s="3">
        <f t="shared" si="3"/>
        <v>6.4317506085621563</v>
      </c>
      <c r="R22" s="5">
        <f t="shared" si="4"/>
        <v>7.9649603100332937</v>
      </c>
      <c r="S22" s="7">
        <f t="shared" si="5"/>
        <v>0.12554990371268027</v>
      </c>
    </row>
    <row r="23" spans="1:19">
      <c r="A23" s="3" t="s">
        <v>42</v>
      </c>
      <c r="B23" s="4" t="s">
        <v>39</v>
      </c>
      <c r="C23" s="4" t="s">
        <v>100</v>
      </c>
      <c r="D23" s="3" t="s">
        <v>40</v>
      </c>
      <c r="E23" s="1" t="s">
        <v>19</v>
      </c>
      <c r="F23" s="9">
        <v>-25.776240736984338</v>
      </c>
      <c r="G23" s="9">
        <v>601.63863041391664</v>
      </c>
      <c r="H23" s="9">
        <v>6.3011511938104077</v>
      </c>
      <c r="I23" s="9">
        <v>71.489551297322123</v>
      </c>
      <c r="J23" s="10">
        <v>27.547000000000001</v>
      </c>
      <c r="K23" s="9">
        <v>-26.670875147185171</v>
      </c>
      <c r="L23" s="9">
        <v>551.44897095784336</v>
      </c>
      <c r="M23" s="10">
        <v>26.876999999999999</v>
      </c>
      <c r="N23" s="5">
        <f t="shared" si="0"/>
        <v>0.25951846406985196</v>
      </c>
      <c r="O23" s="5">
        <f t="shared" si="1"/>
        <v>2.1840441079388557</v>
      </c>
      <c r="P23" s="5">
        <f t="shared" si="2"/>
        <v>2.0517504593438383</v>
      </c>
      <c r="Q23" s="3">
        <f t="shared" si="3"/>
        <v>6.0572791599830245</v>
      </c>
      <c r="R23" s="5">
        <f t="shared" si="4"/>
        <v>7.9059902989853903</v>
      </c>
      <c r="S23" s="7">
        <f t="shared" si="5"/>
        <v>0.1264863682071978</v>
      </c>
    </row>
    <row r="24" spans="1:19">
      <c r="A24" s="3" t="s">
        <v>43</v>
      </c>
      <c r="B24" s="4" t="s">
        <v>44</v>
      </c>
      <c r="C24" s="4" t="s">
        <v>98</v>
      </c>
      <c r="D24" s="3" t="s">
        <v>45</v>
      </c>
      <c r="E24" s="1" t="s">
        <v>19</v>
      </c>
      <c r="F24" s="5">
        <v>-23.376237932502359</v>
      </c>
      <c r="G24" s="5">
        <v>577.23464485</v>
      </c>
      <c r="H24" s="9">
        <v>6.456751774952</v>
      </c>
      <c r="I24" s="5">
        <v>67.044314730000011</v>
      </c>
      <c r="J24" s="6">
        <v>25.751000000000001</v>
      </c>
      <c r="K24" s="5">
        <v>-25.428263753335159</v>
      </c>
      <c r="L24" s="5">
        <v>385.09902858000004</v>
      </c>
      <c r="M24" s="7">
        <v>25.367000000000001</v>
      </c>
      <c r="N24" s="5">
        <f t="shared" si="0"/>
        <v>0.26035615987728639</v>
      </c>
      <c r="O24" s="5">
        <f t="shared" si="1"/>
        <v>2.2416008887033509</v>
      </c>
      <c r="P24" s="5">
        <f t="shared" si="2"/>
        <v>1.5181102557653645</v>
      </c>
      <c r="Q24" s="3">
        <f t="shared" si="3"/>
        <v>32.275622149511548</v>
      </c>
      <c r="R24" s="5">
        <f t="shared" si="4"/>
        <v>5.8308981684201173</v>
      </c>
      <c r="S24" s="7">
        <f t="shared" si="5"/>
        <v>0.17150016534604481</v>
      </c>
    </row>
    <row r="25" spans="1:19">
      <c r="A25" s="3" t="s">
        <v>46</v>
      </c>
      <c r="B25" s="4" t="s">
        <v>44</v>
      </c>
      <c r="C25" s="4" t="s">
        <v>99</v>
      </c>
      <c r="D25" s="3" t="s">
        <v>45</v>
      </c>
      <c r="E25" s="1" t="s">
        <v>19</v>
      </c>
      <c r="F25" s="9">
        <v>-24.250470619308082</v>
      </c>
      <c r="G25" s="9">
        <v>595.67298598946797</v>
      </c>
      <c r="H25" s="9">
        <v>5.9031064820029586</v>
      </c>
      <c r="I25" s="9">
        <v>67.704821472055528</v>
      </c>
      <c r="J25" s="10">
        <v>25.106999999999999</v>
      </c>
      <c r="K25" s="9">
        <v>-25.896855382212841</v>
      </c>
      <c r="L25" s="9">
        <v>595.57190653235978</v>
      </c>
      <c r="M25" s="10">
        <v>27.596</v>
      </c>
      <c r="N25" s="5">
        <f t="shared" si="0"/>
        <v>0.26966511917813973</v>
      </c>
      <c r="O25" s="5">
        <f t="shared" si="1"/>
        <v>2.3725374835283706</v>
      </c>
      <c r="P25" s="5">
        <f t="shared" si="2"/>
        <v>2.1581820065674728</v>
      </c>
      <c r="Q25" s="3">
        <f t="shared" si="3"/>
        <v>9.0348615543099609</v>
      </c>
      <c r="R25" s="5">
        <f t="shared" si="4"/>
        <v>8.0031930460453289</v>
      </c>
      <c r="S25" s="7">
        <f t="shared" si="5"/>
        <v>0.12495012856076695</v>
      </c>
    </row>
    <row r="26" spans="1:19">
      <c r="A26" s="3" t="s">
        <v>47</v>
      </c>
      <c r="B26" s="4" t="s">
        <v>44</v>
      </c>
      <c r="C26" s="4" t="s">
        <v>100</v>
      </c>
      <c r="D26" s="3" t="s">
        <v>45</v>
      </c>
      <c r="E26" s="1" t="s">
        <v>19</v>
      </c>
      <c r="F26" s="9">
        <v>-24.332542088753492</v>
      </c>
      <c r="G26" s="9">
        <v>643.80370199119352</v>
      </c>
      <c r="H26" s="9">
        <v>5.6781410860254606</v>
      </c>
      <c r="I26" s="9">
        <v>73.124689010198693</v>
      </c>
      <c r="J26" s="10">
        <v>26.35</v>
      </c>
      <c r="K26" s="9">
        <v>-25.843985650972925</v>
      </c>
      <c r="L26" s="9">
        <v>576.40970638841657</v>
      </c>
      <c r="M26" s="10">
        <v>25.516999999999999</v>
      </c>
      <c r="N26" s="5">
        <f t="shared" si="0"/>
        <v>0.2775130512721013</v>
      </c>
      <c r="O26" s="5">
        <f t="shared" si="1"/>
        <v>2.4432778064181915</v>
      </c>
      <c r="P26" s="5">
        <f t="shared" si="2"/>
        <v>2.2589242716166344</v>
      </c>
      <c r="Q26" s="3">
        <f t="shared" si="3"/>
        <v>7.5453366095858145</v>
      </c>
      <c r="R26" s="5">
        <f t="shared" si="4"/>
        <v>8.1398848135677824</v>
      </c>
      <c r="S26" s="7">
        <f t="shared" si="5"/>
        <v>0.12285186128594508</v>
      </c>
    </row>
    <row r="27" spans="1:19">
      <c r="A27" s="3" t="s">
        <v>48</v>
      </c>
      <c r="B27" s="4" t="s">
        <v>49</v>
      </c>
      <c r="C27" s="4" t="s">
        <v>98</v>
      </c>
      <c r="D27" s="3" t="s">
        <v>50</v>
      </c>
      <c r="E27" s="1" t="s">
        <v>19</v>
      </c>
      <c r="F27" s="5">
        <v>-23.448673706266717</v>
      </c>
      <c r="G27" s="5">
        <v>809.23844437000002</v>
      </c>
      <c r="H27" s="5">
        <v>5.8188811622690011</v>
      </c>
      <c r="I27" s="5">
        <v>99.522756749999999</v>
      </c>
      <c r="J27" s="6">
        <v>27.678000000000001</v>
      </c>
      <c r="K27" s="5">
        <v>-25.364943091067317</v>
      </c>
      <c r="L27" s="5">
        <v>542.56117160999997</v>
      </c>
      <c r="M27" s="7">
        <v>25.943000000000001</v>
      </c>
      <c r="N27" s="5">
        <f t="shared" si="0"/>
        <v>0.35957351235638413</v>
      </c>
      <c r="O27" s="5">
        <f t="shared" si="1"/>
        <v>2.9237605476190476</v>
      </c>
      <c r="P27" s="5">
        <f t="shared" si="2"/>
        <v>2.0913586385922982</v>
      </c>
      <c r="Q27" s="3">
        <f t="shared" si="3"/>
        <v>28.470249032692248</v>
      </c>
      <c r="R27" s="5">
        <f t="shared" si="4"/>
        <v>5.8162199570459174</v>
      </c>
      <c r="S27" s="7">
        <f t="shared" si="5"/>
        <v>0.17193297491931583</v>
      </c>
    </row>
    <row r="28" spans="1:19">
      <c r="A28" s="3" t="s">
        <v>51</v>
      </c>
      <c r="B28" s="4" t="s">
        <v>49</v>
      </c>
      <c r="C28" s="4" t="s">
        <v>99</v>
      </c>
      <c r="D28" s="3" t="s">
        <v>50</v>
      </c>
      <c r="E28" s="1" t="s">
        <v>19</v>
      </c>
      <c r="F28" s="9">
        <v>-24.573260563012706</v>
      </c>
      <c r="G28" s="9">
        <v>749.2475754428965</v>
      </c>
      <c r="H28" s="9">
        <v>5.6285477635122101</v>
      </c>
      <c r="I28" s="9">
        <v>90.847240667051921</v>
      </c>
      <c r="J28" s="10">
        <v>27.530999999999999</v>
      </c>
      <c r="K28" s="9">
        <v>-26.167112581269382</v>
      </c>
      <c r="L28" s="9">
        <v>664.38661164004407</v>
      </c>
      <c r="M28" s="10">
        <v>26.483000000000001</v>
      </c>
      <c r="N28" s="5">
        <f t="shared" si="0"/>
        <v>0.32998162314137491</v>
      </c>
      <c r="O28" s="5">
        <f t="shared" si="1"/>
        <v>2.7214688004173353</v>
      </c>
      <c r="P28" s="5">
        <f t="shared" si="2"/>
        <v>2.5087286623118379</v>
      </c>
      <c r="Q28" s="3">
        <f t="shared" si="3"/>
        <v>7.8171073676418361</v>
      </c>
      <c r="R28" s="5">
        <f t="shared" si="4"/>
        <v>7.6026314387726268</v>
      </c>
      <c r="S28" s="7">
        <f t="shared" si="5"/>
        <v>0.13153340498660823</v>
      </c>
    </row>
    <row r="29" spans="1:19">
      <c r="A29" s="3" t="s">
        <v>52</v>
      </c>
      <c r="B29" s="4" t="s">
        <v>49</v>
      </c>
      <c r="C29" s="4" t="s">
        <v>100</v>
      </c>
      <c r="D29" s="3" t="s">
        <v>50</v>
      </c>
      <c r="E29" s="1" t="s">
        <v>19</v>
      </c>
      <c r="F29" s="9">
        <v>-24.591431387178091</v>
      </c>
      <c r="G29" s="9">
        <v>761.4445487714645</v>
      </c>
      <c r="H29" s="9">
        <v>5.7508304118647819</v>
      </c>
      <c r="I29" s="9">
        <v>88.695832027175101</v>
      </c>
      <c r="J29" s="10">
        <v>26.013999999999999</v>
      </c>
      <c r="K29" s="9">
        <v>-25.927367630489098</v>
      </c>
      <c r="L29" s="9">
        <v>876.67913229895419</v>
      </c>
      <c r="M29" s="10">
        <v>33.450000000000003</v>
      </c>
      <c r="N29" s="5">
        <f t="shared" si="0"/>
        <v>0.34095422475272968</v>
      </c>
      <c r="O29" s="5">
        <f t="shared" si="1"/>
        <v>2.9270567723974188</v>
      </c>
      <c r="P29" s="5">
        <f t="shared" si="2"/>
        <v>2.6208643715962756</v>
      </c>
      <c r="Q29" s="3">
        <f t="shared" si="3"/>
        <v>10.460760573166299</v>
      </c>
      <c r="R29" s="5">
        <f t="shared" si="4"/>
        <v>7.6868511410791456</v>
      </c>
      <c r="S29" s="7">
        <f t="shared" si="5"/>
        <v>0.13009228117556748</v>
      </c>
    </row>
    <row r="30" spans="1:19">
      <c r="A30" s="3" t="s">
        <v>53</v>
      </c>
      <c r="B30" s="4" t="s">
        <v>54</v>
      </c>
      <c r="C30" s="4" t="s">
        <v>98</v>
      </c>
      <c r="D30" s="3" t="s">
        <v>55</v>
      </c>
      <c r="E30" s="1" t="s">
        <v>25</v>
      </c>
      <c r="F30" s="5">
        <v>-18.190418815140436</v>
      </c>
      <c r="G30" s="5">
        <v>763.20482296</v>
      </c>
      <c r="H30" s="5">
        <v>5.6367134105975012</v>
      </c>
      <c r="I30" s="5">
        <v>66.801343799999998</v>
      </c>
      <c r="J30" s="6">
        <v>26.652000000000001</v>
      </c>
      <c r="K30" s="5">
        <v>-24.92457911420512</v>
      </c>
      <c r="L30" s="5">
        <v>570.38045169000009</v>
      </c>
      <c r="M30" s="7">
        <v>28.399000000000001</v>
      </c>
      <c r="N30" s="5">
        <f t="shared" si="0"/>
        <v>0.25064289284106256</v>
      </c>
      <c r="O30" s="5">
        <f t="shared" si="1"/>
        <v>2.8635930622842563</v>
      </c>
      <c r="P30" s="5">
        <f t="shared" si="2"/>
        <v>2.0084525923095886</v>
      </c>
      <c r="Q30" s="3">
        <f t="shared" si="3"/>
        <v>29.862499711901506</v>
      </c>
      <c r="R30" s="5">
        <f t="shared" si="4"/>
        <v>8.0132038436980011</v>
      </c>
      <c r="S30" s="7">
        <f t="shared" si="5"/>
        <v>0.12479402989185803</v>
      </c>
    </row>
    <row r="31" spans="1:19">
      <c r="A31" s="3" t="s">
        <v>56</v>
      </c>
      <c r="B31" s="4" t="s">
        <v>54</v>
      </c>
      <c r="C31" s="4" t="s">
        <v>99</v>
      </c>
      <c r="D31" s="3" t="s">
        <v>55</v>
      </c>
      <c r="E31" s="1" t="s">
        <v>25</v>
      </c>
      <c r="F31" s="9">
        <v>-21.630673874092572</v>
      </c>
      <c r="G31" s="9">
        <v>778.53550990972474</v>
      </c>
      <c r="H31" s="9">
        <v>5.0291601704330331</v>
      </c>
      <c r="I31" s="9">
        <v>56.939696937351812</v>
      </c>
      <c r="J31" s="10">
        <v>27.506</v>
      </c>
      <c r="K31" s="9">
        <v>-26.821549191458125</v>
      </c>
      <c r="L31" s="9">
        <v>588.96969200173191</v>
      </c>
      <c r="M31" s="10">
        <v>25.324999999999999</v>
      </c>
      <c r="N31" s="5">
        <f t="shared" si="0"/>
        <v>0.2070082779660867</v>
      </c>
      <c r="O31" s="5">
        <f t="shared" si="1"/>
        <v>2.8304206715252116</v>
      </c>
      <c r="P31" s="5">
        <f t="shared" si="2"/>
        <v>2.325645378091735</v>
      </c>
      <c r="Q31" s="3">
        <f t="shared" si="3"/>
        <v>17.833931843123214</v>
      </c>
      <c r="R31" s="5">
        <f t="shared" si="4"/>
        <v>11.234552554814913</v>
      </c>
      <c r="S31" s="7">
        <f t="shared" si="5"/>
        <v>8.9011110600165311E-2</v>
      </c>
    </row>
    <row r="32" spans="1:19">
      <c r="A32" s="3" t="s">
        <v>57</v>
      </c>
      <c r="B32" s="4" t="s">
        <v>54</v>
      </c>
      <c r="C32" s="4" t="s">
        <v>100</v>
      </c>
      <c r="D32" s="3" t="s">
        <v>55</v>
      </c>
      <c r="E32" s="1" t="s">
        <v>25</v>
      </c>
      <c r="F32" s="9">
        <v>-21.416147072853207</v>
      </c>
      <c r="G32" s="9">
        <v>779.70772252083964</v>
      </c>
      <c r="H32" s="9">
        <v>5.0852416881983542</v>
      </c>
      <c r="I32" s="9">
        <v>54.698898885304637</v>
      </c>
      <c r="J32" s="10">
        <v>25.58</v>
      </c>
      <c r="K32" s="9">
        <v>-26.840040689733769</v>
      </c>
      <c r="L32" s="9">
        <v>617.0871923924509</v>
      </c>
      <c r="M32" s="10">
        <v>26.582000000000001</v>
      </c>
      <c r="N32" s="5">
        <f t="shared" si="0"/>
        <v>0.21383463207703146</v>
      </c>
      <c r="O32" s="5">
        <f t="shared" si="1"/>
        <v>3.0481146306522269</v>
      </c>
      <c r="P32" s="5">
        <f t="shared" si="2"/>
        <v>2.3214475674984985</v>
      </c>
      <c r="Q32" s="3">
        <f t="shared" si="3"/>
        <v>23.839886329938921</v>
      </c>
      <c r="R32" s="5">
        <f t="shared" si="4"/>
        <v>10.856274986655219</v>
      </c>
      <c r="S32" s="7">
        <f t="shared" si="5"/>
        <v>9.2112626221169128E-2</v>
      </c>
    </row>
    <row r="33" spans="1:19">
      <c r="A33" s="3" t="s">
        <v>58</v>
      </c>
      <c r="B33" s="4" t="s">
        <v>59</v>
      </c>
      <c r="C33" s="4" t="s">
        <v>98</v>
      </c>
      <c r="D33" s="3" t="s">
        <v>60</v>
      </c>
      <c r="E33" s="1" t="s">
        <v>7</v>
      </c>
      <c r="F33" s="9">
        <v>-23.535776959022478</v>
      </c>
      <c r="G33" s="9">
        <v>998.22011797000005</v>
      </c>
      <c r="H33" s="9">
        <v>6.4845518883205013</v>
      </c>
      <c r="I33" s="9">
        <v>121.81190966</v>
      </c>
      <c r="J33" s="6">
        <v>27.024000000000001</v>
      </c>
      <c r="K33" s="9">
        <v>-25.001250088956642</v>
      </c>
      <c r="L33" s="9">
        <v>861.62851425000008</v>
      </c>
      <c r="M33" s="10">
        <v>27.347999999999999</v>
      </c>
      <c r="N33" s="5">
        <f t="shared" si="0"/>
        <v>0.45075455025162814</v>
      </c>
      <c r="O33" s="5">
        <f t="shared" si="1"/>
        <v>3.6938281452412673</v>
      </c>
      <c r="P33" s="5">
        <f t="shared" si="2"/>
        <v>3.1506088717639318</v>
      </c>
      <c r="Q33" s="3">
        <f t="shared" si="3"/>
        <v>14.706132828002872</v>
      </c>
      <c r="R33" s="5">
        <f t="shared" si="4"/>
        <v>6.9896329831948307</v>
      </c>
      <c r="S33" s="7">
        <f t="shared" si="5"/>
        <v>0.14306902843172156</v>
      </c>
    </row>
    <row r="34" spans="1:19">
      <c r="A34" s="3" t="s">
        <v>61</v>
      </c>
      <c r="B34" s="4" t="s">
        <v>59</v>
      </c>
      <c r="C34" s="4" t="s">
        <v>99</v>
      </c>
      <c r="D34" s="3" t="s">
        <v>60</v>
      </c>
      <c r="E34" s="1" t="s">
        <v>7</v>
      </c>
      <c r="F34" s="9">
        <v>-25.776420394782264</v>
      </c>
      <c r="G34" s="9">
        <v>981.6261512542261</v>
      </c>
      <c r="H34" s="9">
        <v>5.9930331433512745</v>
      </c>
      <c r="I34" s="9">
        <v>122.23445183160433</v>
      </c>
      <c r="J34" s="10">
        <v>27.059000000000001</v>
      </c>
      <c r="K34" s="9">
        <v>-26.503589805994281</v>
      </c>
      <c r="L34" s="9">
        <v>991.98548118610313</v>
      </c>
      <c r="M34" s="10">
        <v>30.108000000000001</v>
      </c>
      <c r="N34" s="5">
        <f t="shared" si="0"/>
        <v>0.45173307155328846</v>
      </c>
      <c r="O34" s="5">
        <f t="shared" si="1"/>
        <v>3.6277251607754391</v>
      </c>
      <c r="P34" s="5">
        <f t="shared" si="2"/>
        <v>3.2947571448987079</v>
      </c>
      <c r="Q34" s="3">
        <f t="shared" si="3"/>
        <v>9.1784245255657169</v>
      </c>
      <c r="R34" s="5">
        <f t="shared" si="4"/>
        <v>7.2935929476441785</v>
      </c>
      <c r="S34" s="7">
        <f t="shared" si="5"/>
        <v>0.1371066369042433</v>
      </c>
    </row>
    <row r="35" spans="1:19">
      <c r="A35" s="3" t="s">
        <v>62</v>
      </c>
      <c r="B35" s="4" t="s">
        <v>59</v>
      </c>
      <c r="C35" s="4" t="s">
        <v>100</v>
      </c>
      <c r="D35" s="3" t="s">
        <v>60</v>
      </c>
      <c r="E35" s="1" t="s">
        <v>7</v>
      </c>
      <c r="F35" s="9">
        <v>-26.354542306288248</v>
      </c>
      <c r="G35" s="9">
        <v>1037.00801343793</v>
      </c>
      <c r="H35" s="9">
        <v>6.2413875686275757</v>
      </c>
      <c r="I35" s="9">
        <v>126.80126470494127</v>
      </c>
      <c r="J35" s="10">
        <v>27.689</v>
      </c>
      <c r="K35" s="9">
        <v>-27.216639203917914</v>
      </c>
      <c r="L35" s="9">
        <v>910.30353143959269</v>
      </c>
      <c r="M35" s="10">
        <v>27.03</v>
      </c>
      <c r="N35" s="5">
        <f t="shared" si="0"/>
        <v>0.45794815524194182</v>
      </c>
      <c r="O35" s="5">
        <f t="shared" si="1"/>
        <v>3.74519850279147</v>
      </c>
      <c r="P35" s="5">
        <f t="shared" si="2"/>
        <v>3.367752613539003</v>
      </c>
      <c r="Q35" s="3">
        <f t="shared" si="3"/>
        <v>10.078127740656178</v>
      </c>
      <c r="R35" s="5">
        <f t="shared" si="4"/>
        <v>7.3540041050274825</v>
      </c>
      <c r="S35" s="7">
        <f t="shared" si="5"/>
        <v>0.13598034291500616</v>
      </c>
    </row>
    <row r="36" spans="1:19">
      <c r="A36" s="3" t="s">
        <v>63</v>
      </c>
      <c r="B36" s="4" t="s">
        <v>64</v>
      </c>
      <c r="C36" s="4" t="s">
        <v>98</v>
      </c>
      <c r="D36" s="3" t="s">
        <v>65</v>
      </c>
      <c r="E36" s="1" t="s">
        <v>7</v>
      </c>
      <c r="F36" s="5">
        <v>-23.258579246425242</v>
      </c>
      <c r="G36" s="5">
        <v>740.21800723000001</v>
      </c>
      <c r="H36" s="5">
        <v>6.3270513730440001</v>
      </c>
      <c r="I36" s="5">
        <v>91.857444350000009</v>
      </c>
      <c r="J36" s="6">
        <v>26.029</v>
      </c>
      <c r="K36" s="5">
        <v>-24.832119011726956</v>
      </c>
      <c r="L36" s="5">
        <v>557.19409485000006</v>
      </c>
      <c r="M36" s="7">
        <v>25.65</v>
      </c>
      <c r="N36" s="5">
        <f t="shared" si="0"/>
        <v>0.35290423892581357</v>
      </c>
      <c r="O36" s="5">
        <f t="shared" si="1"/>
        <v>2.8438203819970029</v>
      </c>
      <c r="P36" s="5">
        <f t="shared" si="2"/>
        <v>2.1722966660818717</v>
      </c>
      <c r="Q36" s="3">
        <f t="shared" si="3"/>
        <v>23.613436353655018</v>
      </c>
      <c r="R36" s="5">
        <f t="shared" si="4"/>
        <v>6.1554847646319288</v>
      </c>
      <c r="S36" s="7">
        <f t="shared" si="5"/>
        <v>0.16245674195244242</v>
      </c>
    </row>
    <row r="37" spans="1:19">
      <c r="A37" s="3" t="s">
        <v>66</v>
      </c>
      <c r="B37" s="4" t="s">
        <v>64</v>
      </c>
      <c r="C37" s="4" t="s">
        <v>99</v>
      </c>
      <c r="D37" s="3" t="s">
        <v>65</v>
      </c>
      <c r="E37" s="1" t="s">
        <v>7</v>
      </c>
      <c r="F37" s="9">
        <v>-24.452253942661184</v>
      </c>
      <c r="G37" s="9">
        <v>746.31133854010511</v>
      </c>
      <c r="H37" s="9">
        <v>6.0683847122486769</v>
      </c>
      <c r="I37" s="9">
        <v>88.022216790314985</v>
      </c>
      <c r="J37" s="10">
        <v>26.896999999999998</v>
      </c>
      <c r="K37" s="9">
        <v>-25.593676350334832</v>
      </c>
      <c r="L37" s="9">
        <v>694.18710694626566</v>
      </c>
      <c r="M37" s="10">
        <v>26.143999999999998</v>
      </c>
      <c r="N37" s="5">
        <f t="shared" si="0"/>
        <v>0.3272566337893259</v>
      </c>
      <c r="O37" s="5">
        <f t="shared" si="1"/>
        <v>2.7747010392984541</v>
      </c>
      <c r="P37" s="5">
        <f t="shared" si="2"/>
        <v>2.6552444421139292</v>
      </c>
      <c r="Q37" s="3">
        <f t="shared" si="3"/>
        <v>4.3052060561712961</v>
      </c>
      <c r="R37" s="5">
        <f t="shared" si="4"/>
        <v>8.1136458912037348</v>
      </c>
      <c r="S37" s="7">
        <f t="shared" si="5"/>
        <v>0.12324915499259492</v>
      </c>
    </row>
    <row r="38" spans="1:19">
      <c r="A38" s="3" t="s">
        <v>67</v>
      </c>
      <c r="B38" s="4" t="s">
        <v>64</v>
      </c>
      <c r="C38" s="4" t="s">
        <v>100</v>
      </c>
      <c r="D38" s="3" t="s">
        <v>65</v>
      </c>
      <c r="E38" s="1" t="s">
        <v>7</v>
      </c>
      <c r="F38" s="9">
        <v>-24.773811269661451</v>
      </c>
      <c r="G38" s="9">
        <v>733.34304729094549</v>
      </c>
      <c r="H38" s="9">
        <v>5.9718673987625728</v>
      </c>
      <c r="I38" s="9">
        <v>83.13192447851219</v>
      </c>
      <c r="J38" s="10">
        <v>25.166</v>
      </c>
      <c r="K38" s="9">
        <v>-25.708162068564722</v>
      </c>
      <c r="L38" s="9">
        <v>762.34570730636347</v>
      </c>
      <c r="M38" s="10">
        <v>28.131</v>
      </c>
      <c r="N38" s="5">
        <f t="shared" si="0"/>
        <v>0.33033427830609624</v>
      </c>
      <c r="O38" s="5">
        <f t="shared" si="1"/>
        <v>2.9140230759395434</v>
      </c>
      <c r="P38" s="5">
        <f t="shared" si="2"/>
        <v>2.7099843848649652</v>
      </c>
      <c r="Q38" s="3">
        <f t="shared" si="3"/>
        <v>7.001958658436215</v>
      </c>
      <c r="R38" s="5">
        <f t="shared" si="4"/>
        <v>8.2037637715387923</v>
      </c>
      <c r="S38" s="7">
        <f t="shared" si="5"/>
        <v>0.12189527000634594</v>
      </c>
    </row>
    <row r="39" spans="1:19">
      <c r="A39" s="3" t="s">
        <v>68</v>
      </c>
      <c r="B39" s="4" t="s">
        <v>69</v>
      </c>
      <c r="C39" s="4" t="s">
        <v>98</v>
      </c>
      <c r="D39" s="3" t="s">
        <v>70</v>
      </c>
      <c r="E39" s="1" t="s">
        <v>7</v>
      </c>
      <c r="F39" s="5">
        <v>-21.665490517786878</v>
      </c>
      <c r="G39" s="5">
        <v>741.00720835000004</v>
      </c>
      <c r="H39" s="5">
        <v>6.4588156691965004</v>
      </c>
      <c r="I39" s="5">
        <v>80.96712436</v>
      </c>
      <c r="J39" s="6">
        <v>27.105</v>
      </c>
      <c r="K39" s="5">
        <v>-24.771394624049798</v>
      </c>
      <c r="L39" s="5">
        <v>569.05593933</v>
      </c>
      <c r="M39" s="7">
        <v>28.268000000000001</v>
      </c>
      <c r="N39" s="5">
        <f t="shared" si="0"/>
        <v>0.29871656284818299</v>
      </c>
      <c r="O39" s="5">
        <f t="shared" si="1"/>
        <v>2.7338395438111047</v>
      </c>
      <c r="P39" s="5">
        <f t="shared" si="2"/>
        <v>2.0130746403353617</v>
      </c>
      <c r="Q39" s="3">
        <f t="shared" si="3"/>
        <v>26.364564998242795</v>
      </c>
      <c r="R39" s="5">
        <f t="shared" si="4"/>
        <v>6.7390794174291182</v>
      </c>
      <c r="S39" s="7">
        <f t="shared" si="5"/>
        <v>0.1483882201200544</v>
      </c>
    </row>
    <row r="40" spans="1:19">
      <c r="A40" s="3" t="s">
        <v>71</v>
      </c>
      <c r="B40" s="4" t="s">
        <v>69</v>
      </c>
      <c r="C40" s="4" t="s">
        <v>99</v>
      </c>
      <c r="D40" s="3" t="s">
        <v>70</v>
      </c>
      <c r="E40" s="1" t="s">
        <v>7</v>
      </c>
      <c r="F40" s="9">
        <v>-23.075969998087867</v>
      </c>
      <c r="G40" s="9">
        <v>698.54267254034062</v>
      </c>
      <c r="H40" s="9">
        <v>6.1463447156617974</v>
      </c>
      <c r="I40" s="9">
        <v>72.197423575922102</v>
      </c>
      <c r="J40" s="10">
        <v>25.538</v>
      </c>
      <c r="K40" s="9">
        <v>-25.715031915823573</v>
      </c>
      <c r="L40" s="9">
        <v>656.58600397583848</v>
      </c>
      <c r="M40" s="10">
        <v>27.013999999999999</v>
      </c>
      <c r="N40" s="5">
        <f t="shared" si="0"/>
        <v>0.28270586410808246</v>
      </c>
      <c r="O40" s="5">
        <f t="shared" si="1"/>
        <v>2.7353068859751768</v>
      </c>
      <c r="P40" s="5">
        <f t="shared" si="2"/>
        <v>2.4305397348628062</v>
      </c>
      <c r="Q40" s="3">
        <f t="shared" si="3"/>
        <v>11.141972868748756</v>
      </c>
      <c r="R40" s="5">
        <f t="shared" si="4"/>
        <v>8.5974153473292532</v>
      </c>
      <c r="S40" s="7">
        <f t="shared" si="5"/>
        <v>0.11631402690235798</v>
      </c>
    </row>
    <row r="41" spans="1:19">
      <c r="A41" s="3" t="s">
        <v>72</v>
      </c>
      <c r="B41" s="4" t="s">
        <v>69</v>
      </c>
      <c r="C41" s="4" t="s">
        <v>100</v>
      </c>
      <c r="D41" s="3" t="s">
        <v>70</v>
      </c>
      <c r="E41" s="1" t="s">
        <v>7</v>
      </c>
      <c r="F41" s="9">
        <v>-23.201203075380985</v>
      </c>
      <c r="G41" s="9">
        <v>717.41831949777361</v>
      </c>
      <c r="H41" s="9">
        <v>6.139516758392336</v>
      </c>
      <c r="I41" s="9">
        <v>76.789598636862991</v>
      </c>
      <c r="J41" s="10">
        <v>25.992000000000001</v>
      </c>
      <c r="K41" s="9">
        <v>-25.464682238180441</v>
      </c>
      <c r="L41" s="9">
        <v>733.18973266007936</v>
      </c>
      <c r="M41" s="10">
        <v>30.1</v>
      </c>
      <c r="N41" s="5">
        <f t="shared" si="0"/>
        <v>0.29543551337666585</v>
      </c>
      <c r="O41" s="5">
        <f t="shared" si="1"/>
        <v>2.760150505916334</v>
      </c>
      <c r="P41" s="5">
        <f t="shared" si="2"/>
        <v>2.4358462879072404</v>
      </c>
      <c r="Q41" s="3">
        <f t="shared" si="3"/>
        <v>11.749512112254502</v>
      </c>
      <c r="R41" s="5">
        <f t="shared" si="4"/>
        <v>8.2449339284463594</v>
      </c>
      <c r="S41" s="7">
        <f t="shared" si="5"/>
        <v>0.12128659958690971</v>
      </c>
    </row>
    <row r="42" spans="1:19">
      <c r="A42" s="3" t="s">
        <v>73</v>
      </c>
      <c r="B42" s="4" t="s">
        <v>74</v>
      </c>
      <c r="C42" s="4" t="s">
        <v>98</v>
      </c>
      <c r="D42" s="3" t="s">
        <v>75</v>
      </c>
      <c r="E42" s="1" t="s">
        <v>25</v>
      </c>
      <c r="F42" s="5">
        <v>-20.578644721832717</v>
      </c>
      <c r="G42" s="5">
        <v>760.82788783000001</v>
      </c>
      <c r="H42" s="5">
        <v>5.7179608660939998</v>
      </c>
      <c r="I42" s="5">
        <v>66.651312570000002</v>
      </c>
      <c r="J42" s="6">
        <v>25.648</v>
      </c>
      <c r="K42" s="5">
        <v>-25.243279658654799</v>
      </c>
      <c r="L42" s="5">
        <v>628.90762413000004</v>
      </c>
      <c r="M42" s="7">
        <v>28.716999999999999</v>
      </c>
      <c r="N42" s="5">
        <f t="shared" si="0"/>
        <v>0.25986943453680594</v>
      </c>
      <c r="O42" s="5">
        <f t="shared" si="1"/>
        <v>2.9664218957813473</v>
      </c>
      <c r="P42" s="5">
        <f t="shared" si="2"/>
        <v>2.1900185399937322</v>
      </c>
      <c r="Q42" s="3">
        <f t="shared" si="3"/>
        <v>26.173059094923939</v>
      </c>
      <c r="R42" s="5">
        <f t="shared" si="4"/>
        <v>8.4273802492287899</v>
      </c>
      <c r="S42" s="7">
        <f t="shared" si="5"/>
        <v>0.11866083770119576</v>
      </c>
    </row>
    <row r="43" spans="1:19">
      <c r="A43" s="3" t="s">
        <v>76</v>
      </c>
      <c r="B43" s="4" t="s">
        <v>74</v>
      </c>
      <c r="C43" s="4" t="s">
        <v>99</v>
      </c>
      <c r="D43" s="3" t="s">
        <v>75</v>
      </c>
      <c r="E43" s="1" t="s">
        <v>25</v>
      </c>
      <c r="F43" s="9">
        <v>-21.895228380727417</v>
      </c>
      <c r="G43" s="9">
        <v>748.28555105612384</v>
      </c>
      <c r="H43" s="9">
        <v>5.6209626384499849</v>
      </c>
      <c r="I43" s="9">
        <v>63.328964595399036</v>
      </c>
      <c r="J43" s="10">
        <v>25.302</v>
      </c>
      <c r="K43" s="9">
        <v>-26.165430719506794</v>
      </c>
      <c r="L43" s="9">
        <v>716.10675637016095</v>
      </c>
      <c r="M43" s="10">
        <v>29.244</v>
      </c>
      <c r="N43" s="5">
        <f t="shared" si="0"/>
        <v>0.25029232707058352</v>
      </c>
      <c r="O43" s="5">
        <f t="shared" si="1"/>
        <v>2.9574166115568881</v>
      </c>
      <c r="P43" s="5">
        <f t="shared" si="2"/>
        <v>2.4487305306051188</v>
      </c>
      <c r="Q43" s="3">
        <f t="shared" si="3"/>
        <v>17.200352461805473</v>
      </c>
      <c r="R43" s="5">
        <f t="shared" si="4"/>
        <v>9.7834822156356651</v>
      </c>
      <c r="S43" s="7">
        <f t="shared" si="5"/>
        <v>0.10221309529257695</v>
      </c>
    </row>
    <row r="44" spans="1:19">
      <c r="A44" s="3" t="s">
        <v>77</v>
      </c>
      <c r="B44" s="4" t="s">
        <v>74</v>
      </c>
      <c r="C44" s="4" t="s">
        <v>100</v>
      </c>
      <c r="D44" s="3" t="s">
        <v>75</v>
      </c>
      <c r="E44" s="1" t="s">
        <v>25</v>
      </c>
      <c r="F44" s="9">
        <v>-21.984627703580092</v>
      </c>
      <c r="G44" s="9">
        <v>775.98149740795316</v>
      </c>
      <c r="H44" s="9">
        <v>5.689249035782117</v>
      </c>
      <c r="I44" s="9">
        <v>65.849318763536246</v>
      </c>
      <c r="J44" s="10">
        <v>26.218</v>
      </c>
      <c r="K44" s="9">
        <v>-26.108499094371492</v>
      </c>
      <c r="L44" s="9">
        <v>723.22359619576912</v>
      </c>
      <c r="M44" s="10">
        <v>29.327999999999999</v>
      </c>
      <c r="N44" s="5">
        <f t="shared" si="0"/>
        <v>0.25116072455387994</v>
      </c>
      <c r="O44" s="5">
        <f t="shared" si="1"/>
        <v>2.9597280395451722</v>
      </c>
      <c r="P44" s="5">
        <f t="shared" si="2"/>
        <v>2.4659833476396931</v>
      </c>
      <c r="Q44" s="3">
        <f t="shared" si="3"/>
        <v>16.682096642276427</v>
      </c>
      <c r="R44" s="5">
        <f t="shared" si="4"/>
        <v>9.8183478010738146</v>
      </c>
      <c r="S44" s="7">
        <f t="shared" si="5"/>
        <v>0.10185013000768132</v>
      </c>
    </row>
    <row r="45" spans="1:19">
      <c r="A45" s="3" t="s">
        <v>78</v>
      </c>
      <c r="B45" s="4" t="s">
        <v>79</v>
      </c>
      <c r="C45" s="4" t="s">
        <v>98</v>
      </c>
      <c r="D45" s="3" t="s">
        <v>80</v>
      </c>
      <c r="E45" s="1" t="s">
        <v>25</v>
      </c>
      <c r="F45" s="5">
        <v>-20.609317139893676</v>
      </c>
      <c r="G45" s="5">
        <v>609.80252215000007</v>
      </c>
      <c r="H45" s="5">
        <v>5.7556673460249996</v>
      </c>
      <c r="I45" s="5">
        <v>56.520442699999997</v>
      </c>
      <c r="J45" s="6">
        <v>26.125</v>
      </c>
      <c r="K45" s="5">
        <v>-25.173041197985917</v>
      </c>
      <c r="L45" s="5">
        <v>539.72341518000007</v>
      </c>
      <c r="M45" s="7">
        <v>30.803999999999998</v>
      </c>
      <c r="N45" s="5">
        <f t="shared" si="0"/>
        <v>0.21634619215311005</v>
      </c>
      <c r="O45" s="5">
        <f t="shared" si="1"/>
        <v>2.3341723335885174</v>
      </c>
      <c r="P45" s="5">
        <f t="shared" si="2"/>
        <v>1.7521212023763153</v>
      </c>
      <c r="Q45" s="3">
        <f t="shared" si="3"/>
        <v>24.936082175105145</v>
      </c>
      <c r="R45" s="5">
        <f t="shared" si="4"/>
        <v>8.098692123669661</v>
      </c>
      <c r="S45" s="7">
        <f t="shared" si="5"/>
        <v>0.12347672744310748</v>
      </c>
    </row>
    <row r="46" spans="1:19">
      <c r="A46" s="3" t="s">
        <v>81</v>
      </c>
      <c r="B46" s="4" t="s">
        <v>79</v>
      </c>
      <c r="C46" s="4" t="s">
        <v>99</v>
      </c>
      <c r="D46" s="3" t="s">
        <v>80</v>
      </c>
      <c r="E46" s="1" t="s">
        <v>25</v>
      </c>
      <c r="F46" s="9">
        <v>-20.69917067971479</v>
      </c>
      <c r="G46" s="9">
        <v>561.48974526807478</v>
      </c>
      <c r="H46" s="9">
        <v>5.5631549756342853</v>
      </c>
      <c r="I46" s="9">
        <v>52.779078919378698</v>
      </c>
      <c r="J46" s="10">
        <v>28.937999999999999</v>
      </c>
      <c r="K46" s="9">
        <v>-25.424312465512372</v>
      </c>
      <c r="L46" s="9">
        <v>469.65051674996744</v>
      </c>
      <c r="M46" s="10">
        <v>26.78</v>
      </c>
      <c r="N46" s="5">
        <f t="shared" si="0"/>
        <v>0.18238675416192793</v>
      </c>
      <c r="O46" s="5">
        <f t="shared" si="1"/>
        <v>1.9403198053358037</v>
      </c>
      <c r="P46" s="5">
        <f t="shared" si="2"/>
        <v>1.753736059559251</v>
      </c>
      <c r="Q46" s="3">
        <f t="shared" si="3"/>
        <v>9.6161336529913601</v>
      </c>
      <c r="R46" s="5">
        <f t="shared" si="4"/>
        <v>9.6154793017602387</v>
      </c>
      <c r="S46" s="7">
        <f t="shared" si="5"/>
        <v>0.10399897588224614</v>
      </c>
    </row>
    <row r="47" spans="1:19">
      <c r="A47" s="3" t="s">
        <v>82</v>
      </c>
      <c r="B47" s="4" t="s">
        <v>79</v>
      </c>
      <c r="C47" s="4" t="s">
        <v>100</v>
      </c>
      <c r="D47" s="3" t="s">
        <v>80</v>
      </c>
      <c r="E47" s="1" t="s">
        <v>25</v>
      </c>
      <c r="F47" s="9">
        <v>-21.772648769237485</v>
      </c>
      <c r="G47" s="9">
        <v>664.82560936113123</v>
      </c>
      <c r="H47" s="9">
        <v>5.7068113054338641</v>
      </c>
      <c r="I47" s="9">
        <v>63.340331609740062</v>
      </c>
      <c r="J47" s="10">
        <v>25.923999999999999</v>
      </c>
      <c r="K47" s="9">
        <v>-25.733722693763831</v>
      </c>
      <c r="L47" s="9">
        <v>583.22748523635653</v>
      </c>
      <c r="M47" s="10">
        <v>26.515000000000001</v>
      </c>
      <c r="N47" s="5">
        <f t="shared" si="0"/>
        <v>0.24433085792987219</v>
      </c>
      <c r="O47" s="5">
        <f t="shared" si="1"/>
        <v>2.5645178574337728</v>
      </c>
      <c r="P47" s="5">
        <f t="shared" si="2"/>
        <v>2.1996133706820911</v>
      </c>
      <c r="Q47" s="3">
        <f t="shared" si="3"/>
        <v>14.228970396674463</v>
      </c>
      <c r="R47" s="5">
        <f t="shared" si="4"/>
        <v>9.0026015924416054</v>
      </c>
      <c r="S47" s="7">
        <f t="shared" si="5"/>
        <v>0.11107900196756224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Berberich, Megan (berberme)</dc:creator>
  <cp:lastModifiedBy>Berberich, Megan (berberme)</cp:lastModifiedBy>
  <dcterms:created xsi:type="dcterms:W3CDTF">2018-11-26T00:33:45Z</dcterms:created>
  <dcterms:modified xsi:type="dcterms:W3CDTF">2019-01-17T03:00:05Z</dcterms:modified>
</cp:coreProperties>
</file>